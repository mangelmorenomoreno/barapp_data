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13_ncr:1_{E952DD4F-CEE9-43BD-9F61-D9F487183648}" xr6:coauthVersionLast="47" xr6:coauthVersionMax="47" xr10:uidLastSave="{00000000-0000-0000-0000-000000000000}"/>
  <bookViews>
    <workbookView xWindow="-120" yWindow="-120" windowWidth="29040" windowHeight="15720" firstSheet="6" activeTab="9" xr2:uid="{00000000-000D-0000-FFFF-FFFF00000000}"/>
  </bookViews>
  <sheets>
    <sheet name="INV. FEB" sheetId="1" r:id="rId1"/>
    <sheet name="INV. ENE" sheetId="2" r:id="rId2"/>
    <sheet name="GANAN. ENE" sheetId="3" r:id="rId3"/>
    <sheet name="PRECIOS" sheetId="4" r:id="rId4"/>
    <sheet name="GANAN. FEB" sheetId="5" r:id="rId5"/>
    <sheet name="TABLA DIARIA" sheetId="6" r:id="rId6"/>
    <sheet name="TABLA FEBRERO" sheetId="7" r:id="rId7"/>
    <sheet name="Hoja1" sheetId="12" r:id="rId8"/>
    <sheet name="INVENTARIO MAR" sheetId="8" r:id="rId9"/>
    <sheet name="Mayo Inventario" sheetId="11" r:id="rId10"/>
    <sheet name="GANANCIA MARZO Y MAYO" sheetId="9" r:id="rId11"/>
    <sheet name="TABLA MAYO" sheetId="14" r:id="rId12"/>
    <sheet name="Hoja2" sheetId="13" r:id="rId13"/>
    <sheet name="TABLA MARZO " sheetId="10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3" i="11" l="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30" i="11"/>
  <c r="AX31" i="11"/>
  <c r="AX32" i="11"/>
  <c r="AX33" i="11"/>
  <c r="AX34" i="11"/>
  <c r="AX35" i="11"/>
  <c r="AX36" i="11"/>
  <c r="AX37" i="11"/>
  <c r="AX38" i="11"/>
  <c r="AX39" i="11"/>
  <c r="AX40" i="11"/>
  <c r="AX41" i="11"/>
  <c r="AX42" i="11"/>
  <c r="AX43" i="11"/>
  <c r="AX44" i="11"/>
  <c r="AX45" i="11"/>
  <c r="AX46" i="11"/>
  <c r="AX47" i="11"/>
  <c r="AX48" i="11"/>
  <c r="AX49" i="11"/>
  <c r="AX50" i="11"/>
  <c r="AX51" i="11"/>
  <c r="AX52" i="11"/>
  <c r="AX53" i="11"/>
  <c r="AX54" i="11"/>
  <c r="AX55" i="11"/>
  <c r="AX56" i="11"/>
  <c r="AX57" i="11"/>
  <c r="AX58" i="11"/>
  <c r="AX59" i="11"/>
  <c r="AX60" i="11"/>
  <c r="AX61" i="11"/>
  <c r="AX62" i="11"/>
  <c r="AX63" i="11"/>
  <c r="AX64" i="11"/>
  <c r="AX65" i="11"/>
  <c r="AX66" i="11"/>
  <c r="AX2" i="11"/>
  <c r="CO62" i="9"/>
  <c r="CO3" i="9"/>
  <c r="CO4" i="9"/>
  <c r="CO5" i="9"/>
  <c r="CO6" i="9"/>
  <c r="CO7" i="9"/>
  <c r="CO8" i="9"/>
  <c r="CO9" i="9"/>
  <c r="CO10" i="9"/>
  <c r="CO11" i="9"/>
  <c r="CO12" i="9"/>
  <c r="CO13" i="9"/>
  <c r="CO14" i="9"/>
  <c r="CO15" i="9"/>
  <c r="CO16" i="9"/>
  <c r="CO17" i="9"/>
  <c r="CO18" i="9"/>
  <c r="CO19" i="9"/>
  <c r="CO20" i="9"/>
  <c r="CO21" i="9"/>
  <c r="CO22" i="9"/>
  <c r="CO23" i="9"/>
  <c r="CO24" i="9"/>
  <c r="CO25" i="9"/>
  <c r="CO26" i="9"/>
  <c r="CO27" i="9"/>
  <c r="CO28" i="9"/>
  <c r="CO29" i="9"/>
  <c r="CO30" i="9"/>
  <c r="CO31" i="9"/>
  <c r="CO32" i="9"/>
  <c r="CO33" i="9"/>
  <c r="CO34" i="9"/>
  <c r="CO35" i="9"/>
  <c r="CO36" i="9"/>
  <c r="CO37" i="9"/>
  <c r="CO38" i="9"/>
  <c r="CO39" i="9"/>
  <c r="CO40" i="9"/>
  <c r="CO41" i="9"/>
  <c r="CO42" i="9"/>
  <c r="CO43" i="9"/>
  <c r="CO44" i="9"/>
  <c r="CO45" i="9"/>
  <c r="CO46" i="9"/>
  <c r="CO47" i="9"/>
  <c r="CO48" i="9"/>
  <c r="CO49" i="9"/>
  <c r="CO50" i="9"/>
  <c r="CO51" i="9"/>
  <c r="CO52" i="9"/>
  <c r="CO53" i="9"/>
  <c r="CO54" i="9"/>
  <c r="CO55" i="9"/>
  <c r="CO56" i="9"/>
  <c r="CO57" i="9"/>
  <c r="CO58" i="9"/>
  <c r="CO59" i="9"/>
  <c r="CO60" i="9"/>
  <c r="CO61" i="9"/>
  <c r="CO2" i="9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30" i="11"/>
  <c r="AU31" i="11"/>
  <c r="AU32" i="11"/>
  <c r="AU33" i="11"/>
  <c r="AU34" i="11"/>
  <c r="AU35" i="11"/>
  <c r="AU36" i="11"/>
  <c r="AU37" i="11"/>
  <c r="AU38" i="11"/>
  <c r="AU39" i="11"/>
  <c r="AU40" i="11"/>
  <c r="AU41" i="11"/>
  <c r="AU42" i="11"/>
  <c r="AU43" i="11"/>
  <c r="AU44" i="11"/>
  <c r="AU45" i="11"/>
  <c r="AU46" i="11"/>
  <c r="AU47" i="11"/>
  <c r="AU48" i="11"/>
  <c r="AU49" i="11"/>
  <c r="AU50" i="11"/>
  <c r="AU52" i="11"/>
  <c r="AU53" i="11"/>
  <c r="AU54" i="11"/>
  <c r="AU55" i="11"/>
  <c r="AU56" i="11"/>
  <c r="AU57" i="11"/>
  <c r="AU58" i="11"/>
  <c r="AU59" i="11"/>
  <c r="AU60" i="11"/>
  <c r="AU61" i="11"/>
  <c r="AU62" i="11"/>
  <c r="AU63" i="11"/>
  <c r="AU64" i="11"/>
  <c r="AU65" i="11"/>
  <c r="AU66" i="11"/>
  <c r="AU2" i="11"/>
  <c r="E2" i="9"/>
  <c r="BO3" i="9"/>
  <c r="AL25" i="11"/>
  <c r="AR25" i="11"/>
  <c r="CM62" i="9"/>
  <c r="CM43" i="9"/>
  <c r="CM44" i="9"/>
  <c r="CM45" i="9"/>
  <c r="CM46" i="9"/>
  <c r="CM47" i="9"/>
  <c r="CM48" i="9"/>
  <c r="CM49" i="9"/>
  <c r="CM50" i="9"/>
  <c r="CM51" i="9"/>
  <c r="CM52" i="9"/>
  <c r="CM53" i="9"/>
  <c r="CM54" i="9"/>
  <c r="CM55" i="9"/>
  <c r="CM56" i="9"/>
  <c r="CM57" i="9"/>
  <c r="CM58" i="9"/>
  <c r="CM59" i="9"/>
  <c r="CM60" i="9"/>
  <c r="CM61" i="9"/>
  <c r="CM3" i="9"/>
  <c r="CM4" i="9"/>
  <c r="CM5" i="9"/>
  <c r="CM6" i="9"/>
  <c r="CM7" i="9"/>
  <c r="CM8" i="9"/>
  <c r="CM9" i="9"/>
  <c r="CM10" i="9"/>
  <c r="CM11" i="9"/>
  <c r="CM12" i="9"/>
  <c r="CM13" i="9"/>
  <c r="CM14" i="9"/>
  <c r="CM15" i="9"/>
  <c r="CM16" i="9"/>
  <c r="CM17" i="9"/>
  <c r="CM18" i="9"/>
  <c r="CM19" i="9"/>
  <c r="CM20" i="9"/>
  <c r="CM21" i="9"/>
  <c r="CM22" i="9"/>
  <c r="CM23" i="9"/>
  <c r="CM24" i="9"/>
  <c r="CM25" i="9"/>
  <c r="CM26" i="9"/>
  <c r="CM27" i="9"/>
  <c r="CM28" i="9"/>
  <c r="CM29" i="9"/>
  <c r="CM30" i="9"/>
  <c r="CM31" i="9"/>
  <c r="CM32" i="9"/>
  <c r="CM33" i="9"/>
  <c r="CM34" i="9"/>
  <c r="CM35" i="9"/>
  <c r="CM36" i="9"/>
  <c r="CM37" i="9"/>
  <c r="CM38" i="9"/>
  <c r="CM39" i="9"/>
  <c r="CM40" i="9"/>
  <c r="CM41" i="9"/>
  <c r="CM42" i="9"/>
  <c r="CM2" i="9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6" i="11"/>
  <c r="AR27" i="11"/>
  <c r="AR28" i="11"/>
  <c r="AR29" i="11"/>
  <c r="AR30" i="11"/>
  <c r="AR31" i="11"/>
  <c r="AR32" i="11"/>
  <c r="AR33" i="11"/>
  <c r="AR34" i="11"/>
  <c r="AR35" i="11"/>
  <c r="AR36" i="11"/>
  <c r="AR37" i="11"/>
  <c r="AR38" i="11"/>
  <c r="AR39" i="11"/>
  <c r="AR40" i="11"/>
  <c r="AR41" i="11"/>
  <c r="AR42" i="11"/>
  <c r="AR43" i="11"/>
  <c r="AR44" i="11"/>
  <c r="AR45" i="11"/>
  <c r="AR46" i="11"/>
  <c r="AR47" i="11"/>
  <c r="AR48" i="11"/>
  <c r="AR49" i="11"/>
  <c r="AR50" i="11"/>
  <c r="AR52" i="11"/>
  <c r="AR53" i="11"/>
  <c r="AR54" i="11"/>
  <c r="AR55" i="11"/>
  <c r="AR56" i="11"/>
  <c r="AR57" i="11"/>
  <c r="AR58" i="11"/>
  <c r="AR59" i="11"/>
  <c r="AR60" i="11"/>
  <c r="AR61" i="11"/>
  <c r="AR62" i="11"/>
  <c r="AR63" i="11"/>
  <c r="AR64" i="11"/>
  <c r="AR65" i="11"/>
  <c r="AR66" i="11"/>
  <c r="AR2" i="11"/>
  <c r="B17" i="10"/>
  <c r="J2" i="10"/>
  <c r="K2" i="10" s="1"/>
  <c r="J3" i="14"/>
  <c r="J4" i="14"/>
  <c r="J5" i="14"/>
  <c r="J6" i="14"/>
  <c r="J7" i="14"/>
  <c r="J8" i="14"/>
  <c r="J9" i="14"/>
  <c r="J10" i="14"/>
  <c r="J11" i="14"/>
  <c r="J12" i="14"/>
  <c r="J13" i="14"/>
  <c r="J14" i="14"/>
  <c r="J15" i="14"/>
  <c r="J16" i="14"/>
  <c r="J2" i="14"/>
  <c r="J20" i="10"/>
  <c r="CK62" i="9"/>
  <c r="CK3" i="9"/>
  <c r="CK4" i="9"/>
  <c r="CK5" i="9"/>
  <c r="CK6" i="9"/>
  <c r="CK7" i="9"/>
  <c r="CK8" i="9"/>
  <c r="CK9" i="9"/>
  <c r="CK10" i="9"/>
  <c r="CK11" i="9"/>
  <c r="CK12" i="9"/>
  <c r="CK13" i="9"/>
  <c r="CK14" i="9"/>
  <c r="CK15" i="9"/>
  <c r="CK16" i="9"/>
  <c r="CK17" i="9"/>
  <c r="CK18" i="9"/>
  <c r="CK19" i="9"/>
  <c r="CK20" i="9"/>
  <c r="CK21" i="9"/>
  <c r="CK22" i="9"/>
  <c r="CK23" i="9"/>
  <c r="CK24" i="9"/>
  <c r="CK25" i="9"/>
  <c r="CK26" i="9"/>
  <c r="CK27" i="9"/>
  <c r="CK28" i="9"/>
  <c r="CK29" i="9"/>
  <c r="CK30" i="9"/>
  <c r="CK31" i="9"/>
  <c r="CK32" i="9"/>
  <c r="CK33" i="9"/>
  <c r="CK34" i="9"/>
  <c r="CK35" i="9"/>
  <c r="CK36" i="9"/>
  <c r="CK37" i="9"/>
  <c r="CK38" i="9"/>
  <c r="CK39" i="9"/>
  <c r="CK40" i="9"/>
  <c r="CK41" i="9"/>
  <c r="CK42" i="9"/>
  <c r="CK43" i="9"/>
  <c r="CK44" i="9"/>
  <c r="CK45" i="9"/>
  <c r="CK46" i="9"/>
  <c r="CK47" i="9"/>
  <c r="CK48" i="9"/>
  <c r="CK49" i="9"/>
  <c r="CK50" i="9"/>
  <c r="CK51" i="9"/>
  <c r="CK52" i="9"/>
  <c r="CK53" i="9"/>
  <c r="CK54" i="9"/>
  <c r="CK55" i="9"/>
  <c r="CK56" i="9"/>
  <c r="CK57" i="9"/>
  <c r="CK58" i="9"/>
  <c r="CK59" i="9"/>
  <c r="CK60" i="9"/>
  <c r="CK61" i="9"/>
  <c r="CK2" i="9"/>
  <c r="CI62" i="9"/>
  <c r="CI3" i="9"/>
  <c r="CI4" i="9"/>
  <c r="CI5" i="9"/>
  <c r="CI6" i="9"/>
  <c r="CI7" i="9"/>
  <c r="CI8" i="9"/>
  <c r="CI9" i="9"/>
  <c r="CI10" i="9"/>
  <c r="CI11" i="9"/>
  <c r="CI12" i="9"/>
  <c r="CI13" i="9"/>
  <c r="CI14" i="9"/>
  <c r="CI15" i="9"/>
  <c r="CI16" i="9"/>
  <c r="CI17" i="9"/>
  <c r="CI18" i="9"/>
  <c r="CI19" i="9"/>
  <c r="CI20" i="9"/>
  <c r="CI21" i="9"/>
  <c r="CI22" i="9"/>
  <c r="CI23" i="9"/>
  <c r="CI24" i="9"/>
  <c r="CI25" i="9"/>
  <c r="CI26" i="9"/>
  <c r="CI27" i="9"/>
  <c r="CI28" i="9"/>
  <c r="CI29" i="9"/>
  <c r="CI30" i="9"/>
  <c r="CI31" i="9"/>
  <c r="CI32" i="9"/>
  <c r="CI33" i="9"/>
  <c r="CI34" i="9"/>
  <c r="CI35" i="9"/>
  <c r="CI36" i="9"/>
  <c r="CI37" i="9"/>
  <c r="CI38" i="9"/>
  <c r="CI39" i="9"/>
  <c r="CI40" i="9"/>
  <c r="CI41" i="9"/>
  <c r="CI42" i="9"/>
  <c r="CI43" i="9"/>
  <c r="CI44" i="9"/>
  <c r="CI45" i="9"/>
  <c r="CI46" i="9"/>
  <c r="CI47" i="9"/>
  <c r="CI48" i="9"/>
  <c r="CI49" i="9"/>
  <c r="CI50" i="9"/>
  <c r="CI51" i="9"/>
  <c r="CI52" i="9"/>
  <c r="CI53" i="9"/>
  <c r="CI54" i="9"/>
  <c r="CI55" i="9"/>
  <c r="CI56" i="9"/>
  <c r="CI57" i="9"/>
  <c r="CI58" i="9"/>
  <c r="CI59" i="9"/>
  <c r="CI60" i="9"/>
  <c r="CI61" i="9"/>
  <c r="CI2" i="9"/>
  <c r="E57" i="9"/>
  <c r="BO57" i="9"/>
  <c r="BQ57" i="9"/>
  <c r="BS57" i="9"/>
  <c r="BU57" i="9"/>
  <c r="BW57" i="9"/>
  <c r="BY57" i="9"/>
  <c r="CA57" i="9"/>
  <c r="CC57" i="9"/>
  <c r="CE57" i="9"/>
  <c r="CG57" i="9"/>
  <c r="CG41" i="9"/>
  <c r="CG61" i="9"/>
  <c r="E53" i="9"/>
  <c r="BQ53" i="9" s="1"/>
  <c r="BO53" i="9"/>
  <c r="CA53" i="9"/>
  <c r="CE41" i="9"/>
  <c r="CE61" i="9"/>
  <c r="E30" i="9"/>
  <c r="BO30" i="9" s="1"/>
  <c r="CC61" i="9"/>
  <c r="CA61" i="9"/>
  <c r="BY61" i="9"/>
  <c r="BW61" i="9"/>
  <c r="BU61" i="9"/>
  <c r="BS61" i="9"/>
  <c r="K21" i="10"/>
  <c r="BQ61" i="9"/>
  <c r="BO61" i="9"/>
  <c r="BM61" i="9"/>
  <c r="E42" i="11"/>
  <c r="H42" i="11" s="1"/>
  <c r="K42" i="11" s="1"/>
  <c r="N42" i="11" s="1"/>
  <c r="Q42" i="11" s="1"/>
  <c r="T42" i="11" s="1"/>
  <c r="W42" i="11" s="1"/>
  <c r="Z42" i="11" s="1"/>
  <c r="AC42" i="11" s="1"/>
  <c r="AF42" i="11" s="1"/>
  <c r="AI42" i="11" s="1"/>
  <c r="AL42" i="11" s="1"/>
  <c r="AO42" i="11" s="1"/>
  <c r="AI64" i="11"/>
  <c r="AL64" i="11" s="1"/>
  <c r="AO64" i="11" s="1"/>
  <c r="AF66" i="11"/>
  <c r="AI66" i="11" s="1"/>
  <c r="AL66" i="11" s="1"/>
  <c r="AO66" i="11" s="1"/>
  <c r="Z62" i="11"/>
  <c r="AC62" i="11" s="1"/>
  <c r="AF62" i="11" s="1"/>
  <c r="AI62" i="11" s="1"/>
  <c r="AL62" i="11" s="1"/>
  <c r="AO62" i="11" s="1"/>
  <c r="Z63" i="11"/>
  <c r="AC63" i="11" s="1"/>
  <c r="AF63" i="11" s="1"/>
  <c r="AI63" i="11" s="1"/>
  <c r="AL63" i="11" s="1"/>
  <c r="AO63" i="11" s="1"/>
  <c r="Z64" i="11"/>
  <c r="AC64" i="11" s="1"/>
  <c r="AF64" i="11" s="1"/>
  <c r="Z65" i="11"/>
  <c r="AC65" i="11" s="1"/>
  <c r="AF65" i="11" s="1"/>
  <c r="AI65" i="11" s="1"/>
  <c r="AL65" i="11" s="1"/>
  <c r="AO65" i="11" s="1"/>
  <c r="AF33" i="11"/>
  <c r="CE31" i="8"/>
  <c r="CE32" i="8"/>
  <c r="CE33" i="8"/>
  <c r="CE34" i="8"/>
  <c r="CE35" i="8"/>
  <c r="CE36" i="8"/>
  <c r="CE37" i="8"/>
  <c r="CE38" i="8"/>
  <c r="CE39" i="8"/>
  <c r="CE40" i="8"/>
  <c r="CE41" i="8"/>
  <c r="CE42" i="8"/>
  <c r="CE43" i="8"/>
  <c r="CE44" i="8"/>
  <c r="CE45" i="8"/>
  <c r="CE46" i="8"/>
  <c r="CE47" i="8"/>
  <c r="CE48" i="8"/>
  <c r="CE49" i="8"/>
  <c r="Z52" i="11"/>
  <c r="AC52" i="11" s="1"/>
  <c r="AF52" i="11" s="1"/>
  <c r="AI52" i="11" s="1"/>
  <c r="AL52" i="11" s="1"/>
  <c r="AO52" i="11" s="1"/>
  <c r="E56" i="13"/>
  <c r="E55" i="13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E2" i="13"/>
  <c r="BY53" i="9" l="1"/>
  <c r="CG30" i="9"/>
  <c r="CG53" i="9"/>
  <c r="CE53" i="9"/>
  <c r="CC53" i="9"/>
  <c r="BU53" i="9"/>
  <c r="BS53" i="9"/>
  <c r="CE30" i="9"/>
  <c r="BY30" i="9"/>
  <c r="BW30" i="9"/>
  <c r="T26" i="11"/>
  <c r="W26" i="11" s="1"/>
  <c r="Z26" i="11" s="1"/>
  <c r="AC26" i="11" s="1"/>
  <c r="AF26" i="11" s="1"/>
  <c r="AI26" i="11" s="1"/>
  <c r="AL26" i="11" s="1"/>
  <c r="AO26" i="11" s="1"/>
  <c r="FW4" i="8"/>
  <c r="FW5" i="8"/>
  <c r="FW10" i="8"/>
  <c r="FW12" i="8"/>
  <c r="FW25" i="8"/>
  <c r="FW30" i="8"/>
  <c r="FW31" i="8"/>
  <c r="FW32" i="8"/>
  <c r="FW33" i="8"/>
  <c r="FW34" i="8"/>
  <c r="FW35" i="8"/>
  <c r="FW36" i="8"/>
  <c r="FW37" i="8"/>
  <c r="FW38" i="8"/>
  <c r="FW39" i="8"/>
  <c r="FW40" i="8"/>
  <c r="FW41" i="8"/>
  <c r="FW42" i="8"/>
  <c r="FW43" i="8"/>
  <c r="FW44" i="8"/>
  <c r="FW45" i="8"/>
  <c r="FW46" i="8"/>
  <c r="FW47" i="8"/>
  <c r="FW48" i="8"/>
  <c r="FW49" i="8"/>
  <c r="FW50" i="8"/>
  <c r="FW51" i="8"/>
  <c r="FW52" i="8"/>
  <c r="FW53" i="8"/>
  <c r="FW54" i="8"/>
  <c r="FW55" i="8"/>
  <c r="FW56" i="8"/>
  <c r="FW57" i="8"/>
  <c r="FW58" i="8"/>
  <c r="FW59" i="8"/>
  <c r="FW60" i="8"/>
  <c r="FW61" i="8"/>
  <c r="FW62" i="8"/>
  <c r="FW63" i="8"/>
  <c r="FW64" i="8"/>
  <c r="FW65" i="8"/>
  <c r="FW3" i="8"/>
  <c r="ES4" i="8"/>
  <c r="ES5" i="8"/>
  <c r="ES10" i="8"/>
  <c r="ES12" i="8"/>
  <c r="ES25" i="8"/>
  <c r="ES27" i="8"/>
  <c r="ES28" i="8"/>
  <c r="ES29" i="8"/>
  <c r="ES30" i="8"/>
  <c r="ES31" i="8"/>
  <c r="ES32" i="8"/>
  <c r="ES33" i="8"/>
  <c r="ES34" i="8"/>
  <c r="ES35" i="8"/>
  <c r="ES36" i="8"/>
  <c r="ES37" i="8"/>
  <c r="ES38" i="8"/>
  <c r="ES39" i="8"/>
  <c r="ES40" i="8"/>
  <c r="ES41" i="8"/>
  <c r="ES42" i="8"/>
  <c r="ES43" i="8"/>
  <c r="ES44" i="8"/>
  <c r="ES45" i="8"/>
  <c r="ES46" i="8"/>
  <c r="ES47" i="8"/>
  <c r="ES48" i="8"/>
  <c r="ES49" i="8"/>
  <c r="ES50" i="8"/>
  <c r="ES51" i="8"/>
  <c r="ES52" i="8"/>
  <c r="ES53" i="8"/>
  <c r="ES54" i="8"/>
  <c r="ES55" i="8"/>
  <c r="ES56" i="8"/>
  <c r="ES57" i="8"/>
  <c r="ES58" i="8"/>
  <c r="ES59" i="8"/>
  <c r="EV59" i="8" s="1"/>
  <c r="EY59" i="8" s="1"/>
  <c r="FB59" i="8" s="1"/>
  <c r="FE59" i="8" s="1"/>
  <c r="FH59" i="8" s="1"/>
  <c r="FK59" i="8" s="1"/>
  <c r="FN59" i="8" s="1"/>
  <c r="FQ59" i="8" s="1"/>
  <c r="FT59" i="8" s="1"/>
  <c r="ES60" i="8"/>
  <c r="EV60" i="8" s="1"/>
  <c r="EY60" i="8" s="1"/>
  <c r="FB60" i="8" s="1"/>
  <c r="FE60" i="8" s="1"/>
  <c r="FH60" i="8" s="1"/>
  <c r="FK60" i="8" s="1"/>
  <c r="FN60" i="8" s="1"/>
  <c r="FQ60" i="8" s="1"/>
  <c r="FT60" i="8" s="1"/>
  <c r="ES61" i="8"/>
  <c r="ES62" i="8"/>
  <c r="ES63" i="8"/>
  <c r="ES64" i="8"/>
  <c r="ES65" i="8"/>
  <c r="ES3" i="8"/>
  <c r="EM3" i="8"/>
  <c r="EG4" i="8"/>
  <c r="EG5" i="8"/>
  <c r="EG8" i="8"/>
  <c r="EJ8" i="8" s="1"/>
  <c r="EM8" i="8" s="1"/>
  <c r="EP8" i="8" s="1"/>
  <c r="EG10" i="8"/>
  <c r="EG12" i="8"/>
  <c r="EG13" i="8"/>
  <c r="EG16" i="8"/>
  <c r="EJ16" i="8" s="1"/>
  <c r="EM16" i="8" s="1"/>
  <c r="EP16" i="8" s="1"/>
  <c r="EG21" i="8"/>
  <c r="EJ21" i="8" s="1"/>
  <c r="EM21" i="8" s="1"/>
  <c r="EP21" i="8" s="1"/>
  <c r="EG25" i="8"/>
  <c r="EG28" i="8"/>
  <c r="EG29" i="8"/>
  <c r="EG30" i="8"/>
  <c r="EJ30" i="8" s="1"/>
  <c r="EM30" i="8" s="1"/>
  <c r="EP30" i="8" s="1"/>
  <c r="EV30" i="8" s="1"/>
  <c r="EY30" i="8" s="1"/>
  <c r="FB30" i="8" s="1"/>
  <c r="FE30" i="8" s="1"/>
  <c r="FH30" i="8" s="1"/>
  <c r="FK30" i="8" s="1"/>
  <c r="FN30" i="8" s="1"/>
  <c r="FQ30" i="8" s="1"/>
  <c r="FT30" i="8" s="1"/>
  <c r="EG31" i="8"/>
  <c r="EG32" i="8"/>
  <c r="EG33" i="8"/>
  <c r="EG34" i="8"/>
  <c r="EJ34" i="8" s="1"/>
  <c r="EM34" i="8" s="1"/>
  <c r="EP34" i="8" s="1"/>
  <c r="EG35" i="8"/>
  <c r="EG36" i="8"/>
  <c r="EG37" i="8"/>
  <c r="EG38" i="8"/>
  <c r="EJ38" i="8" s="1"/>
  <c r="EM38" i="8" s="1"/>
  <c r="EP38" i="8" s="1"/>
  <c r="EV38" i="8" s="1"/>
  <c r="EY38" i="8" s="1"/>
  <c r="FB38" i="8" s="1"/>
  <c r="FE38" i="8" s="1"/>
  <c r="FH38" i="8" s="1"/>
  <c r="FK38" i="8" s="1"/>
  <c r="FN38" i="8" s="1"/>
  <c r="FQ38" i="8" s="1"/>
  <c r="FT38" i="8" s="1"/>
  <c r="EG39" i="8"/>
  <c r="EG40" i="8"/>
  <c r="EG41" i="8"/>
  <c r="EG42" i="8"/>
  <c r="EG43" i="8"/>
  <c r="EJ43" i="8" s="1"/>
  <c r="EM43" i="8" s="1"/>
  <c r="EP43" i="8" s="1"/>
  <c r="EG44" i="8"/>
  <c r="EG45" i="8"/>
  <c r="EG46" i="8"/>
  <c r="EJ46" i="8" s="1"/>
  <c r="EM46" i="8" s="1"/>
  <c r="EP46" i="8" s="1"/>
  <c r="EV46" i="8" s="1"/>
  <c r="EY46" i="8" s="1"/>
  <c r="FB46" i="8" s="1"/>
  <c r="FE46" i="8" s="1"/>
  <c r="FH46" i="8" s="1"/>
  <c r="FK46" i="8" s="1"/>
  <c r="FN46" i="8" s="1"/>
  <c r="FQ46" i="8" s="1"/>
  <c r="FT46" i="8" s="1"/>
  <c r="EG47" i="8"/>
  <c r="EG48" i="8"/>
  <c r="EG49" i="8"/>
  <c r="EG50" i="8"/>
  <c r="EJ50" i="8" s="1"/>
  <c r="EM50" i="8" s="1"/>
  <c r="EP50" i="8" s="1"/>
  <c r="EG51" i="8"/>
  <c r="EG52" i="8"/>
  <c r="EG53" i="8"/>
  <c r="EG54" i="8"/>
  <c r="EJ54" i="8" s="1"/>
  <c r="EM54" i="8" s="1"/>
  <c r="EP54" i="8" s="1"/>
  <c r="EV54" i="8" s="1"/>
  <c r="EY54" i="8" s="1"/>
  <c r="FB54" i="8" s="1"/>
  <c r="FE54" i="8" s="1"/>
  <c r="FH54" i="8" s="1"/>
  <c r="FK54" i="8" s="1"/>
  <c r="FN54" i="8" s="1"/>
  <c r="FQ54" i="8" s="1"/>
  <c r="FT54" i="8" s="1"/>
  <c r="EG55" i="8"/>
  <c r="EG56" i="8"/>
  <c r="EG57" i="8"/>
  <c r="EG58" i="8"/>
  <c r="EG59" i="8"/>
  <c r="EJ59" i="8" s="1"/>
  <c r="EG3" i="8"/>
  <c r="EV65" i="8"/>
  <c r="EY65" i="8" s="1"/>
  <c r="FB65" i="8" s="1"/>
  <c r="FE65" i="8" s="1"/>
  <c r="FH65" i="8" s="1"/>
  <c r="FK65" i="8" s="1"/>
  <c r="FN65" i="8" s="1"/>
  <c r="FQ65" i="8" s="1"/>
  <c r="FT65" i="8" s="1"/>
  <c r="EJ65" i="8"/>
  <c r="EV64" i="8"/>
  <c r="EY64" i="8" s="1"/>
  <c r="FB64" i="8" s="1"/>
  <c r="FE64" i="8" s="1"/>
  <c r="FH64" i="8" s="1"/>
  <c r="FK64" i="8" s="1"/>
  <c r="FN64" i="8" s="1"/>
  <c r="FQ64" i="8" s="1"/>
  <c r="FT64" i="8" s="1"/>
  <c r="EJ64" i="8"/>
  <c r="EV63" i="8"/>
  <c r="EY63" i="8" s="1"/>
  <c r="FB63" i="8" s="1"/>
  <c r="FE63" i="8" s="1"/>
  <c r="FH63" i="8" s="1"/>
  <c r="FK63" i="8" s="1"/>
  <c r="FN63" i="8" s="1"/>
  <c r="FQ63" i="8" s="1"/>
  <c r="FT63" i="8" s="1"/>
  <c r="EJ63" i="8"/>
  <c r="EV62" i="8"/>
  <c r="EY62" i="8" s="1"/>
  <c r="FB62" i="8" s="1"/>
  <c r="FE62" i="8" s="1"/>
  <c r="FH62" i="8" s="1"/>
  <c r="FK62" i="8" s="1"/>
  <c r="FN62" i="8" s="1"/>
  <c r="FQ62" i="8" s="1"/>
  <c r="FT62" i="8" s="1"/>
  <c r="EJ62" i="8"/>
  <c r="EV61" i="8"/>
  <c r="EY61" i="8" s="1"/>
  <c r="FB61" i="8" s="1"/>
  <c r="FE61" i="8" s="1"/>
  <c r="FH61" i="8" s="1"/>
  <c r="FK61" i="8" s="1"/>
  <c r="FN61" i="8" s="1"/>
  <c r="FQ61" i="8" s="1"/>
  <c r="FT61" i="8" s="1"/>
  <c r="EJ61" i="8"/>
  <c r="EJ60" i="8"/>
  <c r="EV58" i="8"/>
  <c r="EY58" i="8" s="1"/>
  <c r="FB58" i="8" s="1"/>
  <c r="FE58" i="8" s="1"/>
  <c r="FH58" i="8" s="1"/>
  <c r="FK58" i="8" s="1"/>
  <c r="FN58" i="8" s="1"/>
  <c r="FQ58" i="8" s="1"/>
  <c r="FT58" i="8" s="1"/>
  <c r="EJ58" i="8"/>
  <c r="EM57" i="8"/>
  <c r="EP57" i="8" s="1"/>
  <c r="EV57" i="8" s="1"/>
  <c r="EY57" i="8" s="1"/>
  <c r="FB57" i="8" s="1"/>
  <c r="FE57" i="8" s="1"/>
  <c r="FH57" i="8" s="1"/>
  <c r="FK57" i="8" s="1"/>
  <c r="FN57" i="8" s="1"/>
  <c r="FQ57" i="8" s="1"/>
  <c r="FT57" i="8" s="1"/>
  <c r="EJ57" i="8"/>
  <c r="EJ56" i="8"/>
  <c r="EM56" i="8" s="1"/>
  <c r="EP56" i="8" s="1"/>
  <c r="EV56" i="8" s="1"/>
  <c r="EY56" i="8" s="1"/>
  <c r="FB56" i="8" s="1"/>
  <c r="FE56" i="8" s="1"/>
  <c r="FH56" i="8" s="1"/>
  <c r="FK56" i="8" s="1"/>
  <c r="FN56" i="8" s="1"/>
  <c r="FQ56" i="8" s="1"/>
  <c r="FT56" i="8" s="1"/>
  <c r="EJ55" i="8"/>
  <c r="EM55" i="8" s="1"/>
  <c r="EP55" i="8" s="1"/>
  <c r="EV55" i="8" s="1"/>
  <c r="EY55" i="8" s="1"/>
  <c r="FB55" i="8" s="1"/>
  <c r="FE55" i="8" s="1"/>
  <c r="FH55" i="8" s="1"/>
  <c r="FK55" i="8" s="1"/>
  <c r="FN55" i="8" s="1"/>
  <c r="FQ55" i="8" s="1"/>
  <c r="FT55" i="8" s="1"/>
  <c r="EJ53" i="8"/>
  <c r="EM53" i="8" s="1"/>
  <c r="EP53" i="8" s="1"/>
  <c r="EV53" i="8" s="1"/>
  <c r="EY53" i="8" s="1"/>
  <c r="FB53" i="8" s="1"/>
  <c r="FE53" i="8" s="1"/>
  <c r="FH53" i="8" s="1"/>
  <c r="FK53" i="8" s="1"/>
  <c r="FN53" i="8" s="1"/>
  <c r="FQ53" i="8" s="1"/>
  <c r="FT53" i="8" s="1"/>
  <c r="EJ52" i="8"/>
  <c r="EM52" i="8" s="1"/>
  <c r="EP52" i="8" s="1"/>
  <c r="EJ51" i="8"/>
  <c r="EM51" i="8" s="1"/>
  <c r="EP51" i="8" s="1"/>
  <c r="EJ49" i="8"/>
  <c r="EM49" i="8" s="1"/>
  <c r="EP49" i="8" s="1"/>
  <c r="EV49" i="8" s="1"/>
  <c r="EY49" i="8" s="1"/>
  <c r="FB49" i="8" s="1"/>
  <c r="FE49" i="8" s="1"/>
  <c r="FH49" i="8" s="1"/>
  <c r="FK49" i="8" s="1"/>
  <c r="FN49" i="8" s="1"/>
  <c r="FQ49" i="8" s="1"/>
  <c r="FT49" i="8" s="1"/>
  <c r="EJ48" i="8"/>
  <c r="EM48" i="8" s="1"/>
  <c r="EP48" i="8" s="1"/>
  <c r="EV48" i="8" s="1"/>
  <c r="EY48" i="8" s="1"/>
  <c r="FB48" i="8" s="1"/>
  <c r="FE48" i="8" s="1"/>
  <c r="FH48" i="8" s="1"/>
  <c r="FK48" i="8" s="1"/>
  <c r="FN48" i="8" s="1"/>
  <c r="FQ48" i="8" s="1"/>
  <c r="FT48" i="8" s="1"/>
  <c r="EJ47" i="8"/>
  <c r="EM47" i="8" s="1"/>
  <c r="EP47" i="8" s="1"/>
  <c r="EJ45" i="8"/>
  <c r="EM45" i="8" s="1"/>
  <c r="EP45" i="8" s="1"/>
  <c r="EV45" i="8" s="1"/>
  <c r="EY45" i="8" s="1"/>
  <c r="FB45" i="8" s="1"/>
  <c r="FE45" i="8" s="1"/>
  <c r="FH45" i="8" s="1"/>
  <c r="FK45" i="8" s="1"/>
  <c r="FN45" i="8" s="1"/>
  <c r="FQ45" i="8" s="1"/>
  <c r="FT45" i="8" s="1"/>
  <c r="EJ44" i="8"/>
  <c r="EM44" i="8" s="1"/>
  <c r="EP44" i="8" s="1"/>
  <c r="EJ42" i="8"/>
  <c r="EM42" i="8" s="1"/>
  <c r="EP42" i="8" s="1"/>
  <c r="EJ41" i="8"/>
  <c r="EM41" i="8" s="1"/>
  <c r="EP41" i="8" s="1"/>
  <c r="EV41" i="8" s="1"/>
  <c r="EY41" i="8" s="1"/>
  <c r="FB41" i="8" s="1"/>
  <c r="FE41" i="8" s="1"/>
  <c r="FH41" i="8" s="1"/>
  <c r="FK41" i="8" s="1"/>
  <c r="FN41" i="8" s="1"/>
  <c r="FQ41" i="8" s="1"/>
  <c r="FT41" i="8" s="1"/>
  <c r="EJ40" i="8"/>
  <c r="EM40" i="8" s="1"/>
  <c r="EP40" i="8" s="1"/>
  <c r="EV40" i="8" s="1"/>
  <c r="EY40" i="8" s="1"/>
  <c r="FB40" i="8" s="1"/>
  <c r="FE40" i="8" s="1"/>
  <c r="FH40" i="8" s="1"/>
  <c r="FK40" i="8" s="1"/>
  <c r="FN40" i="8" s="1"/>
  <c r="FQ40" i="8" s="1"/>
  <c r="FT40" i="8" s="1"/>
  <c r="EJ39" i="8"/>
  <c r="EM39" i="8" s="1"/>
  <c r="EP39" i="8" s="1"/>
  <c r="EV39" i="8" s="1"/>
  <c r="EY39" i="8" s="1"/>
  <c r="FB39" i="8" s="1"/>
  <c r="FE39" i="8" s="1"/>
  <c r="FH39" i="8" s="1"/>
  <c r="FK39" i="8" s="1"/>
  <c r="FN39" i="8" s="1"/>
  <c r="FQ39" i="8" s="1"/>
  <c r="FT39" i="8" s="1"/>
  <c r="EM37" i="8"/>
  <c r="EP37" i="8" s="1"/>
  <c r="EV37" i="8" s="1"/>
  <c r="EY37" i="8" s="1"/>
  <c r="FB37" i="8" s="1"/>
  <c r="FE37" i="8" s="1"/>
  <c r="FH37" i="8" s="1"/>
  <c r="FK37" i="8" s="1"/>
  <c r="FN37" i="8" s="1"/>
  <c r="FQ37" i="8" s="1"/>
  <c r="FT37" i="8" s="1"/>
  <c r="EJ37" i="8"/>
  <c r="EM36" i="8"/>
  <c r="EP36" i="8" s="1"/>
  <c r="EJ36" i="8"/>
  <c r="EJ35" i="8"/>
  <c r="EM35" i="8" s="1"/>
  <c r="EP35" i="8" s="1"/>
  <c r="EJ33" i="8"/>
  <c r="EM33" i="8" s="1"/>
  <c r="EP33" i="8" s="1"/>
  <c r="EV33" i="8" s="1"/>
  <c r="EY33" i="8" s="1"/>
  <c r="FB33" i="8" s="1"/>
  <c r="FE33" i="8" s="1"/>
  <c r="FH33" i="8" s="1"/>
  <c r="FK33" i="8" s="1"/>
  <c r="FN33" i="8" s="1"/>
  <c r="FQ33" i="8" s="1"/>
  <c r="FT33" i="8" s="1"/>
  <c r="EJ32" i="8"/>
  <c r="EM32" i="8" s="1"/>
  <c r="EP32" i="8" s="1"/>
  <c r="EV32" i="8" s="1"/>
  <c r="EY32" i="8" s="1"/>
  <c r="FB32" i="8" s="1"/>
  <c r="FE32" i="8" s="1"/>
  <c r="FH32" i="8" s="1"/>
  <c r="FK32" i="8" s="1"/>
  <c r="FN32" i="8" s="1"/>
  <c r="FQ32" i="8" s="1"/>
  <c r="FT32" i="8" s="1"/>
  <c r="EJ31" i="8"/>
  <c r="EM31" i="8" s="1"/>
  <c r="EP31" i="8" s="1"/>
  <c r="EV31" i="8" s="1"/>
  <c r="EY31" i="8" s="1"/>
  <c r="FB31" i="8" s="1"/>
  <c r="FE31" i="8" s="1"/>
  <c r="FH31" i="8" s="1"/>
  <c r="FK31" i="8" s="1"/>
  <c r="FN31" i="8" s="1"/>
  <c r="FQ31" i="8" s="1"/>
  <c r="FT31" i="8" s="1"/>
  <c r="EJ29" i="8"/>
  <c r="EM29" i="8" s="1"/>
  <c r="EP29" i="8" s="1"/>
  <c r="EV29" i="8" s="1"/>
  <c r="EY29" i="8" s="1"/>
  <c r="FB29" i="8" s="1"/>
  <c r="FE29" i="8" s="1"/>
  <c r="FH29" i="8" s="1"/>
  <c r="FK29" i="8" s="1"/>
  <c r="FN29" i="8" s="1"/>
  <c r="FQ29" i="8" s="1"/>
  <c r="FT29" i="8" s="1"/>
  <c r="FW29" i="8" s="1"/>
  <c r="EJ28" i="8"/>
  <c r="EM28" i="8" s="1"/>
  <c r="EP28" i="8" s="1"/>
  <c r="EV28" i="8" s="1"/>
  <c r="EY28" i="8" s="1"/>
  <c r="FB28" i="8" s="1"/>
  <c r="FE28" i="8" s="1"/>
  <c r="FH28" i="8" s="1"/>
  <c r="FK28" i="8" s="1"/>
  <c r="FN28" i="8" s="1"/>
  <c r="FQ28" i="8" s="1"/>
  <c r="FT28" i="8" s="1"/>
  <c r="FW28" i="8" s="1"/>
  <c r="EJ25" i="8"/>
  <c r="EM25" i="8" s="1"/>
  <c r="EP25" i="8" s="1"/>
  <c r="EV25" i="8" s="1"/>
  <c r="EY25" i="8" s="1"/>
  <c r="FB25" i="8" s="1"/>
  <c r="FE25" i="8" s="1"/>
  <c r="FH25" i="8" s="1"/>
  <c r="FK25" i="8" s="1"/>
  <c r="FN25" i="8" s="1"/>
  <c r="FQ25" i="8" s="1"/>
  <c r="FT25" i="8" s="1"/>
  <c r="EJ13" i="8"/>
  <c r="EM13" i="8" s="1"/>
  <c r="EP13" i="8" s="1"/>
  <c r="EJ12" i="8"/>
  <c r="EM12" i="8" s="1"/>
  <c r="EP12" i="8" s="1"/>
  <c r="EJ10" i="8"/>
  <c r="EM10" i="8" s="1"/>
  <c r="EP10" i="8" s="1"/>
  <c r="EV10" i="8" s="1"/>
  <c r="EY10" i="8" s="1"/>
  <c r="FB10" i="8" s="1"/>
  <c r="FE10" i="8" s="1"/>
  <c r="FH10" i="8" s="1"/>
  <c r="FK10" i="8" s="1"/>
  <c r="FN10" i="8" s="1"/>
  <c r="FQ10" i="8" s="1"/>
  <c r="FT10" i="8" s="1"/>
  <c r="EJ5" i="8"/>
  <c r="EM5" i="8" s="1"/>
  <c r="EP5" i="8" s="1"/>
  <c r="EV5" i="8" s="1"/>
  <c r="EY5" i="8" s="1"/>
  <c r="FB5" i="8" s="1"/>
  <c r="FE5" i="8" s="1"/>
  <c r="FH5" i="8" s="1"/>
  <c r="FK5" i="8" s="1"/>
  <c r="FN5" i="8" s="1"/>
  <c r="FQ5" i="8" s="1"/>
  <c r="FT5" i="8" s="1"/>
  <c r="EJ4" i="8"/>
  <c r="EM4" i="8" s="1"/>
  <c r="EP4" i="8" s="1"/>
  <c r="EJ3" i="8"/>
  <c r="EP3" i="8" s="1"/>
  <c r="EV3" i="8" s="1"/>
  <c r="EY3" i="8" s="1"/>
  <c r="FB3" i="8" s="1"/>
  <c r="FE3" i="8" s="1"/>
  <c r="FH3" i="8" s="1"/>
  <c r="FK3" i="8" s="1"/>
  <c r="FN3" i="8" s="1"/>
  <c r="FQ3" i="8" s="1"/>
  <c r="FT3" i="8" s="1"/>
  <c r="EA26" i="8"/>
  <c r="EA3" i="8"/>
  <c r="B3" i="8"/>
  <c r="E3" i="8"/>
  <c r="H3" i="8" s="1"/>
  <c r="K3" i="8" s="1"/>
  <c r="N3" i="8" s="1"/>
  <c r="Q3" i="8"/>
  <c r="T3" i="8" s="1"/>
  <c r="W3" i="8" s="1"/>
  <c r="Z3" i="8" s="1"/>
  <c r="AC3" i="8" s="1"/>
  <c r="AF3" i="8" s="1"/>
  <c r="AI3" i="8" s="1"/>
  <c r="AL3" i="8" s="1"/>
  <c r="AO3" i="8" s="1"/>
  <c r="AR3" i="8" s="1"/>
  <c r="AU3" i="8" s="1"/>
  <c r="AX3" i="8" s="1"/>
  <c r="BA3" i="8" s="1"/>
  <c r="BD3" i="8" s="1"/>
  <c r="BG3" i="8" s="1"/>
  <c r="BJ3" i="8" s="1"/>
  <c r="BM3" i="8" s="1"/>
  <c r="BP3" i="8" s="1"/>
  <c r="BS3" i="8"/>
  <c r="BV3" i="8" s="1"/>
  <c r="BY3" i="8" s="1"/>
  <c r="CB3" i="8" s="1"/>
  <c r="CE3" i="8" s="1"/>
  <c r="CH3" i="8" s="1"/>
  <c r="CK3" i="8" s="1"/>
  <c r="CN3" i="8" s="1"/>
  <c r="CQ3" i="8" s="1"/>
  <c r="CT3" i="8" s="1"/>
  <c r="CW3" i="8" s="1"/>
  <c r="DC3" i="8"/>
  <c r="DF3" i="8" s="1"/>
  <c r="DI3" i="8" s="1"/>
  <c r="DL3" i="8" s="1"/>
  <c r="DO3" i="8" s="1"/>
  <c r="DR3" i="8" s="1"/>
  <c r="DU3" i="8" s="1"/>
  <c r="DX3" i="8" s="1"/>
  <c r="ED3" i="8" s="1"/>
  <c r="B4" i="8"/>
  <c r="E4" i="8" s="1"/>
  <c r="H4" i="8" s="1"/>
  <c r="K4" i="8" s="1"/>
  <c r="N4" i="8" s="1"/>
  <c r="Q4" i="8" s="1"/>
  <c r="T4" i="8" s="1"/>
  <c r="W4" i="8" s="1"/>
  <c r="Z4" i="8" s="1"/>
  <c r="AC4" i="8" s="1"/>
  <c r="AF4" i="8"/>
  <c r="AI4" i="8" s="1"/>
  <c r="AL4" i="8" s="1"/>
  <c r="AO4" i="8" s="1"/>
  <c r="AR4" i="8" s="1"/>
  <c r="AU4" i="8" s="1"/>
  <c r="AX4" i="8"/>
  <c r="BA4" i="8" s="1"/>
  <c r="BD4" i="8" s="1"/>
  <c r="BG4" i="8" s="1"/>
  <c r="BJ4" i="8" s="1"/>
  <c r="BM4" i="8" s="1"/>
  <c r="BP4" i="8" s="1"/>
  <c r="BS4" i="8" s="1"/>
  <c r="BV4" i="8" s="1"/>
  <c r="BY4" i="8" s="1"/>
  <c r="CB4" i="8" s="1"/>
  <c r="CE4" i="8" s="1"/>
  <c r="CH4" i="8"/>
  <c r="CK4" i="8" s="1"/>
  <c r="CN4" i="8" s="1"/>
  <c r="CW4" i="8"/>
  <c r="CZ4" i="8"/>
  <c r="DC4" i="8" s="1"/>
  <c r="DF4" i="8"/>
  <c r="DI4" i="8" s="1"/>
  <c r="DL4" i="8"/>
  <c r="DO4" i="8" s="1"/>
  <c r="DR4" i="8" s="1"/>
  <c r="DU4" i="8" s="1"/>
  <c r="DX4" i="8" s="1"/>
  <c r="EA4" i="8" s="1"/>
  <c r="ED4" i="8" s="1"/>
  <c r="B5" i="8"/>
  <c r="E5" i="8"/>
  <c r="H5" i="8" s="1"/>
  <c r="K5" i="8" s="1"/>
  <c r="N5" i="8" s="1"/>
  <c r="Q5" i="8" s="1"/>
  <c r="T5" i="8" s="1"/>
  <c r="W5" i="8" s="1"/>
  <c r="Z5" i="8" s="1"/>
  <c r="AC5" i="8" s="1"/>
  <c r="AF5" i="8" s="1"/>
  <c r="AI5" i="8" s="1"/>
  <c r="AL5" i="8"/>
  <c r="AO5" i="8" s="1"/>
  <c r="AR5" i="8" s="1"/>
  <c r="AU5" i="8" s="1"/>
  <c r="AX5" i="8" s="1"/>
  <c r="BA5" i="8" s="1"/>
  <c r="BD5" i="8" s="1"/>
  <c r="BG5" i="8" s="1"/>
  <c r="BJ5" i="8" s="1"/>
  <c r="BM5" i="8" s="1"/>
  <c r="BP5" i="8" s="1"/>
  <c r="BS5" i="8" s="1"/>
  <c r="BV5" i="8" s="1"/>
  <c r="BY5" i="8" s="1"/>
  <c r="CB5" i="8" s="1"/>
  <c r="CE5" i="8" s="1"/>
  <c r="CH5" i="8" s="1"/>
  <c r="CK5" i="8" s="1"/>
  <c r="CN5" i="8" s="1"/>
  <c r="CQ5" i="8" s="1"/>
  <c r="CW5" i="8"/>
  <c r="CZ5" i="8"/>
  <c r="DC5" i="8" s="1"/>
  <c r="DF5" i="8" s="1"/>
  <c r="DI5" i="8" s="1"/>
  <c r="DL5" i="8" s="1"/>
  <c r="DO5" i="8" s="1"/>
  <c r="DR5" i="8" s="1"/>
  <c r="DU5" i="8" s="1"/>
  <c r="DX5" i="8" s="1"/>
  <c r="EA5" i="8" s="1"/>
  <c r="ED5" i="8" s="1"/>
  <c r="B6" i="8"/>
  <c r="E6" i="8"/>
  <c r="H6" i="8" s="1"/>
  <c r="K6" i="8"/>
  <c r="N6" i="8" s="1"/>
  <c r="Q6" i="8" s="1"/>
  <c r="T6" i="8" s="1"/>
  <c r="W6" i="8" s="1"/>
  <c r="Z6" i="8" s="1"/>
  <c r="AC6" i="8" s="1"/>
  <c r="AF6" i="8" s="1"/>
  <c r="AI6" i="8" s="1"/>
  <c r="AL6" i="8"/>
  <c r="AO6" i="8" s="1"/>
  <c r="AR6" i="8" s="1"/>
  <c r="AU6" i="8"/>
  <c r="AX6" i="8" s="1"/>
  <c r="BA6" i="8" s="1"/>
  <c r="BD6" i="8" s="1"/>
  <c r="BG6" i="8"/>
  <c r="BJ6" i="8" s="1"/>
  <c r="BM6" i="8" s="1"/>
  <c r="BP6" i="8" s="1"/>
  <c r="BS6" i="8" s="1"/>
  <c r="BV6" i="8" s="1"/>
  <c r="BY6" i="8" s="1"/>
  <c r="CB6" i="8" s="1"/>
  <c r="CH6" i="8" s="1"/>
  <c r="CK6" i="8" s="1"/>
  <c r="CN6" i="8" s="1"/>
  <c r="CQ6" i="8" s="1"/>
  <c r="CT6" i="8" s="1"/>
  <c r="CW6" i="8" s="1"/>
  <c r="CZ6" i="8" s="1"/>
  <c r="DC6" i="8" s="1"/>
  <c r="DF6" i="8" s="1"/>
  <c r="DI6" i="8" s="1"/>
  <c r="DL6" i="8" s="1"/>
  <c r="DO6" i="8" s="1"/>
  <c r="DR6" i="8" s="1"/>
  <c r="DU6" i="8" s="1"/>
  <c r="DX6" i="8" s="1"/>
  <c r="EA6" i="8" s="1"/>
  <c r="ED6" i="8" s="1"/>
  <c r="EG6" i="8" s="1"/>
  <c r="EJ6" i="8" s="1"/>
  <c r="EM6" i="8" s="1"/>
  <c r="EP6" i="8" s="1"/>
  <c r="B7" i="8"/>
  <c r="E7" i="8"/>
  <c r="H7" i="8" s="1"/>
  <c r="K7" i="8"/>
  <c r="N7" i="8" s="1"/>
  <c r="Q7" i="8" s="1"/>
  <c r="T7" i="8" s="1"/>
  <c r="W7" i="8" s="1"/>
  <c r="Z7" i="8" s="1"/>
  <c r="AC7" i="8" s="1"/>
  <c r="AF7" i="8" s="1"/>
  <c r="AI7" i="8" s="1"/>
  <c r="AL7" i="8" s="1"/>
  <c r="AO7" i="8" s="1"/>
  <c r="AR7" i="8"/>
  <c r="AU7" i="8" s="1"/>
  <c r="AX7" i="8" s="1"/>
  <c r="BA7" i="8" s="1"/>
  <c r="BD7" i="8" s="1"/>
  <c r="BG7" i="8" s="1"/>
  <c r="BJ7" i="8" s="1"/>
  <c r="BM7" i="8" s="1"/>
  <c r="BP7" i="8" s="1"/>
  <c r="BS7" i="8" s="1"/>
  <c r="BV7" i="8" s="1"/>
  <c r="BY7" i="8" s="1"/>
  <c r="CB7" i="8" s="1"/>
  <c r="CH7" i="8" s="1"/>
  <c r="CK7" i="8" s="1"/>
  <c r="CN7" i="8" s="1"/>
  <c r="CQ7" i="8" s="1"/>
  <c r="CT7" i="8" s="1"/>
  <c r="CW7" i="8" s="1"/>
  <c r="CZ7" i="8" s="1"/>
  <c r="DC7" i="8" s="1"/>
  <c r="DF7" i="8" s="1"/>
  <c r="DI7" i="8" s="1"/>
  <c r="DL7" i="8" s="1"/>
  <c r="DO7" i="8" s="1"/>
  <c r="DR7" i="8" s="1"/>
  <c r="DU7" i="8" s="1"/>
  <c r="DX7" i="8" s="1"/>
  <c r="EA7" i="8" s="1"/>
  <c r="ED7" i="8" s="1"/>
  <c r="EG7" i="8" s="1"/>
  <c r="EJ7" i="8" s="1"/>
  <c r="EM7" i="8" s="1"/>
  <c r="EP7" i="8" s="1"/>
  <c r="B8" i="8"/>
  <c r="E8" i="8" s="1"/>
  <c r="H8" i="8" s="1"/>
  <c r="K8" i="8" s="1"/>
  <c r="N8" i="8" s="1"/>
  <c r="Q8" i="8"/>
  <c r="T8" i="8" s="1"/>
  <c r="W8" i="8" s="1"/>
  <c r="Z8" i="8" s="1"/>
  <c r="AC8" i="8" s="1"/>
  <c r="AF8" i="8" s="1"/>
  <c r="AI8" i="8" s="1"/>
  <c r="AL8" i="8" s="1"/>
  <c r="AO8" i="8" s="1"/>
  <c r="AR8" i="8" s="1"/>
  <c r="AU8" i="8"/>
  <c r="AX8" i="8"/>
  <c r="BA8" i="8" s="1"/>
  <c r="BD8" i="8" s="1"/>
  <c r="BG8" i="8" s="1"/>
  <c r="BJ8" i="8" s="1"/>
  <c r="BM8" i="8" s="1"/>
  <c r="BP8" i="8" s="1"/>
  <c r="BS8" i="8" s="1"/>
  <c r="BV8" i="8" s="1"/>
  <c r="BY8" i="8" s="1"/>
  <c r="CB8" i="8" s="1"/>
  <c r="CH8" i="8" s="1"/>
  <c r="CK8" i="8" s="1"/>
  <c r="CN8" i="8" s="1"/>
  <c r="CQ8" i="8" s="1"/>
  <c r="CT8" i="8" s="1"/>
  <c r="CW8" i="8" s="1"/>
  <c r="CZ8" i="8" s="1"/>
  <c r="DC8" i="8" s="1"/>
  <c r="DF8" i="8" s="1"/>
  <c r="DI8" i="8" s="1"/>
  <c r="DL8" i="8" s="1"/>
  <c r="DO8" i="8" s="1"/>
  <c r="DR8" i="8" s="1"/>
  <c r="DU8" i="8" s="1"/>
  <c r="DX8" i="8" s="1"/>
  <c r="EA8" i="8" s="1"/>
  <c r="ED8" i="8" s="1"/>
  <c r="B9" i="8"/>
  <c r="E9" i="8"/>
  <c r="H9" i="8" s="1"/>
  <c r="K9" i="8" s="1"/>
  <c r="N9" i="8" s="1"/>
  <c r="Q9" i="8"/>
  <c r="T9" i="8" s="1"/>
  <c r="W9" i="8" s="1"/>
  <c r="Z9" i="8" s="1"/>
  <c r="AC9" i="8" s="1"/>
  <c r="AF9" i="8" s="1"/>
  <c r="AI9" i="8" s="1"/>
  <c r="AL9" i="8" s="1"/>
  <c r="AO9" i="8" s="1"/>
  <c r="AR9" i="8" s="1"/>
  <c r="AU9" i="8" s="1"/>
  <c r="AX9" i="8" s="1"/>
  <c r="BA9" i="8" s="1"/>
  <c r="BD9" i="8" s="1"/>
  <c r="BG9" i="8" s="1"/>
  <c r="BJ9" i="8" s="1"/>
  <c r="BM9" i="8" s="1"/>
  <c r="BP9" i="8" s="1"/>
  <c r="BS9" i="8" s="1"/>
  <c r="BV9" i="8" s="1"/>
  <c r="BY9" i="8" s="1"/>
  <c r="CB9" i="8" s="1"/>
  <c r="CH9" i="8" s="1"/>
  <c r="CK9" i="8" s="1"/>
  <c r="CN9" i="8" s="1"/>
  <c r="CQ9" i="8"/>
  <c r="CT9" i="8" s="1"/>
  <c r="CW9" i="8" s="1"/>
  <c r="CZ9" i="8" s="1"/>
  <c r="DC9" i="8" s="1"/>
  <c r="DF9" i="8" s="1"/>
  <c r="DI9" i="8" s="1"/>
  <c r="DL9" i="8" s="1"/>
  <c r="DO9" i="8" s="1"/>
  <c r="DR9" i="8" s="1"/>
  <c r="DU9" i="8" s="1"/>
  <c r="DX9" i="8" s="1"/>
  <c r="EA9" i="8" s="1"/>
  <c r="ED9" i="8" s="1"/>
  <c r="EG9" i="8" s="1"/>
  <c r="EJ9" i="8" s="1"/>
  <c r="EM9" i="8" s="1"/>
  <c r="EP9" i="8" s="1"/>
  <c r="B10" i="8"/>
  <c r="E10" i="8"/>
  <c r="H10" i="8" s="1"/>
  <c r="K10" i="8" s="1"/>
  <c r="N10" i="8"/>
  <c r="Q10" i="8" s="1"/>
  <c r="T10" i="8" s="1"/>
  <c r="W10" i="8" s="1"/>
  <c r="Z10" i="8" s="1"/>
  <c r="AC10" i="8" s="1"/>
  <c r="AF10" i="8" s="1"/>
  <c r="AI10" i="8" s="1"/>
  <c r="AL10" i="8" s="1"/>
  <c r="AO10" i="8" s="1"/>
  <c r="AR10" i="8" s="1"/>
  <c r="AU10" i="8"/>
  <c r="AX10" i="8" s="1"/>
  <c r="BA10" i="8" s="1"/>
  <c r="BD10" i="8" s="1"/>
  <c r="BG10" i="8" s="1"/>
  <c r="BJ10" i="8" s="1"/>
  <c r="BM10" i="8" s="1"/>
  <c r="BP10" i="8" s="1"/>
  <c r="BS10" i="8" s="1"/>
  <c r="BV10" i="8" s="1"/>
  <c r="BY10" i="8" s="1"/>
  <c r="CB10" i="8" s="1"/>
  <c r="CH10" i="8" s="1"/>
  <c r="CK10" i="8" s="1"/>
  <c r="CN10" i="8" s="1"/>
  <c r="CT10" i="8"/>
  <c r="CW10" i="8" s="1"/>
  <c r="CZ10" i="8" s="1"/>
  <c r="DC10" i="8" s="1"/>
  <c r="DF10" i="8" s="1"/>
  <c r="DI10" i="8" s="1"/>
  <c r="DL10" i="8" s="1"/>
  <c r="DO10" i="8" s="1"/>
  <c r="DR10" i="8" s="1"/>
  <c r="DU10" i="8" s="1"/>
  <c r="DX10" i="8" s="1"/>
  <c r="EA10" i="8" s="1"/>
  <c r="ED10" i="8" s="1"/>
  <c r="B11" i="8"/>
  <c r="E11" i="8" s="1"/>
  <c r="H11" i="8" s="1"/>
  <c r="K11" i="8" s="1"/>
  <c r="N11" i="8" s="1"/>
  <c r="Q11" i="8" s="1"/>
  <c r="T11" i="8"/>
  <c r="W11" i="8" s="1"/>
  <c r="Z11" i="8" s="1"/>
  <c r="AC11" i="8" s="1"/>
  <c r="AF11" i="8" s="1"/>
  <c r="AI11" i="8" s="1"/>
  <c r="AL11" i="8" s="1"/>
  <c r="AO11" i="8" s="1"/>
  <c r="AR11" i="8" s="1"/>
  <c r="AU11" i="8"/>
  <c r="AX11" i="8" s="1"/>
  <c r="BA11" i="8" s="1"/>
  <c r="BD11" i="8" s="1"/>
  <c r="BG11" i="8" s="1"/>
  <c r="BJ11" i="8" s="1"/>
  <c r="BM11" i="8" s="1"/>
  <c r="BP11" i="8"/>
  <c r="BS11" i="8" s="1"/>
  <c r="BV11" i="8" s="1"/>
  <c r="BY11" i="8" s="1"/>
  <c r="CB11" i="8" s="1"/>
  <c r="CH11" i="8"/>
  <c r="CK11" i="8" s="1"/>
  <c r="CN11" i="8" s="1"/>
  <c r="CQ11" i="8" s="1"/>
  <c r="CT11" i="8" s="1"/>
  <c r="CW11" i="8" s="1"/>
  <c r="CZ11" i="8" s="1"/>
  <c r="DC11" i="8" s="1"/>
  <c r="DF11" i="8" s="1"/>
  <c r="DI11" i="8" s="1"/>
  <c r="DL11" i="8" s="1"/>
  <c r="DO11" i="8" s="1"/>
  <c r="DR11" i="8" s="1"/>
  <c r="DU11" i="8" s="1"/>
  <c r="DX11" i="8" s="1"/>
  <c r="EA11" i="8" s="1"/>
  <c r="ED11" i="8" s="1"/>
  <c r="EG11" i="8" s="1"/>
  <c r="EJ11" i="8" s="1"/>
  <c r="EM11" i="8" s="1"/>
  <c r="EP11" i="8" s="1"/>
  <c r="B12" i="8"/>
  <c r="E12" i="8"/>
  <c r="H12" i="8" s="1"/>
  <c r="K12" i="8" s="1"/>
  <c r="N12" i="8"/>
  <c r="Q12" i="8" s="1"/>
  <c r="T12" i="8" s="1"/>
  <c r="W12" i="8" s="1"/>
  <c r="Z12" i="8" s="1"/>
  <c r="AC12" i="8" s="1"/>
  <c r="AF12" i="8" s="1"/>
  <c r="AI12" i="8" s="1"/>
  <c r="AL12" i="8" s="1"/>
  <c r="AO12" i="8" s="1"/>
  <c r="AR12" i="8" s="1"/>
  <c r="AU12" i="8" s="1"/>
  <c r="AX12" i="8" s="1"/>
  <c r="BA12" i="8" s="1"/>
  <c r="BD12" i="8" s="1"/>
  <c r="BG12" i="8" s="1"/>
  <c r="BJ12" i="8"/>
  <c r="BM12" i="8" s="1"/>
  <c r="BP12" i="8" s="1"/>
  <c r="BS12" i="8" s="1"/>
  <c r="BV12" i="8" s="1"/>
  <c r="BY12" i="8" s="1"/>
  <c r="CB12" i="8" s="1"/>
  <c r="CH12" i="8" s="1"/>
  <c r="CK12" i="8" s="1"/>
  <c r="CT12" i="8"/>
  <c r="CW12" i="8" s="1"/>
  <c r="CZ12" i="8" s="1"/>
  <c r="DC12" i="8" s="1"/>
  <c r="DF12" i="8" s="1"/>
  <c r="DI12" i="8" s="1"/>
  <c r="DL12" i="8"/>
  <c r="DO12" i="8" s="1"/>
  <c r="DR12" i="8" s="1"/>
  <c r="DU12" i="8" s="1"/>
  <c r="DX12" i="8" s="1"/>
  <c r="EA12" i="8" s="1"/>
  <c r="ED12" i="8" s="1"/>
  <c r="B13" i="8"/>
  <c r="E13" i="8" s="1"/>
  <c r="H13" i="8"/>
  <c r="K13" i="8" s="1"/>
  <c r="N13" i="8" s="1"/>
  <c r="Q13" i="8"/>
  <c r="T13" i="8" s="1"/>
  <c r="W13" i="8" s="1"/>
  <c r="Z13" i="8" s="1"/>
  <c r="AC13" i="8" s="1"/>
  <c r="AF13" i="8" s="1"/>
  <c r="AI13" i="8" s="1"/>
  <c r="AL13" i="8"/>
  <c r="AO13" i="8" s="1"/>
  <c r="AR13" i="8" s="1"/>
  <c r="AU13" i="8" s="1"/>
  <c r="AX13" i="8" s="1"/>
  <c r="BA13" i="8" s="1"/>
  <c r="BD13" i="8" s="1"/>
  <c r="BG13" i="8" s="1"/>
  <c r="BJ13" i="8" s="1"/>
  <c r="BM13" i="8"/>
  <c r="BP13" i="8" s="1"/>
  <c r="BS13" i="8" s="1"/>
  <c r="BV13" i="8" s="1"/>
  <c r="BY13" i="8" s="1"/>
  <c r="CB13" i="8" s="1"/>
  <c r="CH13" i="8"/>
  <c r="CK13" i="8" s="1"/>
  <c r="CN13" i="8" s="1"/>
  <c r="CQ13" i="8" s="1"/>
  <c r="CT13" i="8" s="1"/>
  <c r="CW13" i="8" s="1"/>
  <c r="CZ13" i="8" s="1"/>
  <c r="DC13" i="8" s="1"/>
  <c r="DF13" i="8" s="1"/>
  <c r="DI13" i="8" s="1"/>
  <c r="DL13" i="8" s="1"/>
  <c r="DO13" i="8" s="1"/>
  <c r="DR13" i="8" s="1"/>
  <c r="DU13" i="8" s="1"/>
  <c r="DX13" i="8" s="1"/>
  <c r="EA13" i="8" s="1"/>
  <c r="ED13" i="8" s="1"/>
  <c r="B14" i="8"/>
  <c r="E14" i="8" s="1"/>
  <c r="H14" i="8"/>
  <c r="K14" i="8" s="1"/>
  <c r="N14" i="8" s="1"/>
  <c r="Q14" i="8" s="1"/>
  <c r="T14" i="8" s="1"/>
  <c r="W14" i="8" s="1"/>
  <c r="Z14" i="8" s="1"/>
  <c r="AC14" i="8" s="1"/>
  <c r="AF14" i="8" s="1"/>
  <c r="AI14" i="8" s="1"/>
  <c r="AL14" i="8" s="1"/>
  <c r="AO14" i="8" s="1"/>
  <c r="AR14" i="8" s="1"/>
  <c r="AU14" i="8" s="1"/>
  <c r="AX14" i="8" s="1"/>
  <c r="BA14" i="8" s="1"/>
  <c r="BD14" i="8" s="1"/>
  <c r="BG14" i="8" s="1"/>
  <c r="BJ14" i="8" s="1"/>
  <c r="BM14" i="8" s="1"/>
  <c r="BP14" i="8" s="1"/>
  <c r="BS14" i="8" s="1"/>
  <c r="BV14" i="8" s="1"/>
  <c r="BY14" i="8" s="1"/>
  <c r="CB14" i="8" s="1"/>
  <c r="CH14" i="8" s="1"/>
  <c r="CK14" i="8" s="1"/>
  <c r="CN14" i="8" s="1"/>
  <c r="CQ14" i="8" s="1"/>
  <c r="CT14" i="8" s="1"/>
  <c r="CW14" i="8" s="1"/>
  <c r="CZ14" i="8" s="1"/>
  <c r="DC14" i="8" s="1"/>
  <c r="DF14" i="8" s="1"/>
  <c r="DI14" i="8" s="1"/>
  <c r="DL14" i="8" s="1"/>
  <c r="DO14" i="8" s="1"/>
  <c r="DR14" i="8" s="1"/>
  <c r="DU14" i="8" s="1"/>
  <c r="DX14" i="8" s="1"/>
  <c r="EA14" i="8" s="1"/>
  <c r="ED14" i="8" s="1"/>
  <c r="EG14" i="8" s="1"/>
  <c r="EJ14" i="8" s="1"/>
  <c r="EM14" i="8" s="1"/>
  <c r="EP14" i="8" s="1"/>
  <c r="B15" i="8"/>
  <c r="E15" i="8"/>
  <c r="H15" i="8" s="1"/>
  <c r="K15" i="8" s="1"/>
  <c r="N15" i="8" s="1"/>
  <c r="Q15" i="8" s="1"/>
  <c r="T15" i="8" s="1"/>
  <c r="W15" i="8" s="1"/>
  <c r="Z15" i="8" s="1"/>
  <c r="AC15" i="8" s="1"/>
  <c r="AF15" i="8" s="1"/>
  <c r="AI15" i="8" s="1"/>
  <c r="AL15" i="8" s="1"/>
  <c r="AO15" i="8" s="1"/>
  <c r="AR15" i="8" s="1"/>
  <c r="AU15" i="8" s="1"/>
  <c r="AX15" i="8" s="1"/>
  <c r="BA15" i="8" s="1"/>
  <c r="BD15" i="8" s="1"/>
  <c r="BG15" i="8" s="1"/>
  <c r="BJ15" i="8" s="1"/>
  <c r="BM15" i="8" s="1"/>
  <c r="BP15" i="8" s="1"/>
  <c r="BS15" i="8" s="1"/>
  <c r="BV15" i="8" s="1"/>
  <c r="BY15" i="8" s="1"/>
  <c r="CB15" i="8" s="1"/>
  <c r="CH15" i="8" s="1"/>
  <c r="CK15" i="8" s="1"/>
  <c r="CN15" i="8" s="1"/>
  <c r="CQ15" i="8" s="1"/>
  <c r="CT15" i="8" s="1"/>
  <c r="CW15" i="8" s="1"/>
  <c r="CZ15" i="8" s="1"/>
  <c r="DC15" i="8" s="1"/>
  <c r="DF15" i="8" s="1"/>
  <c r="DI15" i="8" s="1"/>
  <c r="DL15" i="8" s="1"/>
  <c r="DO15" i="8" s="1"/>
  <c r="DR15" i="8" s="1"/>
  <c r="DU15" i="8" s="1"/>
  <c r="DX15" i="8" s="1"/>
  <c r="EA15" i="8" s="1"/>
  <c r="ED15" i="8" s="1"/>
  <c r="EG15" i="8" s="1"/>
  <c r="EJ15" i="8" s="1"/>
  <c r="EM15" i="8" s="1"/>
  <c r="EP15" i="8" s="1"/>
  <c r="B16" i="8"/>
  <c r="E16" i="8" s="1"/>
  <c r="H16" i="8" s="1"/>
  <c r="K16" i="8"/>
  <c r="N16" i="8" s="1"/>
  <c r="Q16" i="8" s="1"/>
  <c r="T16" i="8"/>
  <c r="W16" i="8" s="1"/>
  <c r="Z16" i="8" s="1"/>
  <c r="AC16" i="8" s="1"/>
  <c r="AF16" i="8" s="1"/>
  <c r="AI16" i="8" s="1"/>
  <c r="AL16" i="8" s="1"/>
  <c r="AO16" i="8" s="1"/>
  <c r="AR16" i="8" s="1"/>
  <c r="AU16" i="8" s="1"/>
  <c r="AX16" i="8" s="1"/>
  <c r="BA16" i="8" s="1"/>
  <c r="BD16" i="8" s="1"/>
  <c r="BG16" i="8" s="1"/>
  <c r="BJ16" i="8" s="1"/>
  <c r="BM16" i="8" s="1"/>
  <c r="BP16" i="8" s="1"/>
  <c r="BS16" i="8" s="1"/>
  <c r="BV16" i="8" s="1"/>
  <c r="BY16" i="8" s="1"/>
  <c r="CB16" i="8" s="1"/>
  <c r="CH16" i="8" s="1"/>
  <c r="CK16" i="8" s="1"/>
  <c r="CN16" i="8" s="1"/>
  <c r="CQ16" i="8" s="1"/>
  <c r="CT16" i="8" s="1"/>
  <c r="CW16" i="8" s="1"/>
  <c r="CZ16" i="8" s="1"/>
  <c r="DC16" i="8" s="1"/>
  <c r="DF16" i="8" s="1"/>
  <c r="DI16" i="8" s="1"/>
  <c r="DL16" i="8" s="1"/>
  <c r="DO16" i="8" s="1"/>
  <c r="DR16" i="8" s="1"/>
  <c r="DU16" i="8" s="1"/>
  <c r="DX16" i="8" s="1"/>
  <c r="EA16" i="8" s="1"/>
  <c r="ED16" i="8" s="1"/>
  <c r="B17" i="8"/>
  <c r="E17" i="8" s="1"/>
  <c r="H17" i="8" s="1"/>
  <c r="K17" i="8"/>
  <c r="N17" i="8" s="1"/>
  <c r="Q17" i="8" s="1"/>
  <c r="T17" i="8" s="1"/>
  <c r="W17" i="8" s="1"/>
  <c r="Z17" i="8" s="1"/>
  <c r="AC17" i="8" s="1"/>
  <c r="AF17" i="8" s="1"/>
  <c r="AI17" i="8" s="1"/>
  <c r="AL17" i="8" s="1"/>
  <c r="AO17" i="8" s="1"/>
  <c r="AR17" i="8" s="1"/>
  <c r="AU17" i="8" s="1"/>
  <c r="AX17" i="8" s="1"/>
  <c r="BA17" i="8" s="1"/>
  <c r="BD17" i="8" s="1"/>
  <c r="BG17" i="8" s="1"/>
  <c r="BJ17" i="8" s="1"/>
  <c r="BM17" i="8" s="1"/>
  <c r="BP17" i="8" s="1"/>
  <c r="BS17" i="8" s="1"/>
  <c r="BV17" i="8" s="1"/>
  <c r="BY17" i="8" s="1"/>
  <c r="CB17" i="8" s="1"/>
  <c r="CH17" i="8" s="1"/>
  <c r="CK17" i="8" s="1"/>
  <c r="CN17" i="8" s="1"/>
  <c r="CQ17" i="8" s="1"/>
  <c r="CT17" i="8" s="1"/>
  <c r="CW17" i="8" s="1"/>
  <c r="CZ17" i="8" s="1"/>
  <c r="DC17" i="8" s="1"/>
  <c r="DF17" i="8" s="1"/>
  <c r="DI17" i="8" s="1"/>
  <c r="DL17" i="8" s="1"/>
  <c r="DO17" i="8" s="1"/>
  <c r="DR17" i="8" s="1"/>
  <c r="DU17" i="8" s="1"/>
  <c r="DX17" i="8" s="1"/>
  <c r="EA17" i="8" s="1"/>
  <c r="ED17" i="8" s="1"/>
  <c r="EG17" i="8" s="1"/>
  <c r="EJ17" i="8" s="1"/>
  <c r="EM17" i="8" s="1"/>
  <c r="EP17" i="8" s="1"/>
  <c r="B18" i="8"/>
  <c r="E18" i="8"/>
  <c r="H18" i="8" s="1"/>
  <c r="K18" i="8" s="1"/>
  <c r="N18" i="8" s="1"/>
  <c r="Q18" i="8" s="1"/>
  <c r="T18" i="8" s="1"/>
  <c r="W18" i="8" s="1"/>
  <c r="Z18" i="8" s="1"/>
  <c r="AC18" i="8" s="1"/>
  <c r="AF18" i="8" s="1"/>
  <c r="AI18" i="8" s="1"/>
  <c r="AL18" i="8" s="1"/>
  <c r="AO18" i="8" s="1"/>
  <c r="AR18" i="8" s="1"/>
  <c r="AU18" i="8" s="1"/>
  <c r="AX18" i="8" s="1"/>
  <c r="BA18" i="8" s="1"/>
  <c r="BD18" i="8" s="1"/>
  <c r="BG18" i="8" s="1"/>
  <c r="BJ18" i="8" s="1"/>
  <c r="BM18" i="8" s="1"/>
  <c r="BP18" i="8" s="1"/>
  <c r="BS18" i="8" s="1"/>
  <c r="BV18" i="8" s="1"/>
  <c r="BY18" i="8" s="1"/>
  <c r="CB18" i="8" s="1"/>
  <c r="CH18" i="8" s="1"/>
  <c r="CK18" i="8" s="1"/>
  <c r="CN18" i="8" s="1"/>
  <c r="CQ18" i="8" s="1"/>
  <c r="CT18" i="8" s="1"/>
  <c r="CW18" i="8" s="1"/>
  <c r="CZ18" i="8" s="1"/>
  <c r="DC18" i="8" s="1"/>
  <c r="DF18" i="8" s="1"/>
  <c r="DI18" i="8" s="1"/>
  <c r="DL18" i="8" s="1"/>
  <c r="DO18" i="8" s="1"/>
  <c r="DR18" i="8" s="1"/>
  <c r="DU18" i="8" s="1"/>
  <c r="DX18" i="8" s="1"/>
  <c r="EA18" i="8" s="1"/>
  <c r="ED18" i="8" s="1"/>
  <c r="EG18" i="8" s="1"/>
  <c r="EJ18" i="8" s="1"/>
  <c r="EM18" i="8" s="1"/>
  <c r="EP18" i="8" s="1"/>
  <c r="ES18" i="8" s="1"/>
  <c r="B19" i="8"/>
  <c r="E19" i="8" s="1"/>
  <c r="H19" i="8" s="1"/>
  <c r="K19" i="8"/>
  <c r="N19" i="8" s="1"/>
  <c r="Q19" i="8" s="1"/>
  <c r="T19" i="8"/>
  <c r="W19" i="8"/>
  <c r="Z19" i="8"/>
  <c r="AC19" i="8" s="1"/>
  <c r="AF19" i="8" s="1"/>
  <c r="AI19" i="8"/>
  <c r="AL19" i="8" s="1"/>
  <c r="AO19" i="8" s="1"/>
  <c r="AR19" i="8" s="1"/>
  <c r="AU19" i="8" s="1"/>
  <c r="AX19" i="8" s="1"/>
  <c r="BA19" i="8" s="1"/>
  <c r="BD19" i="8" s="1"/>
  <c r="BG19" i="8" s="1"/>
  <c r="BJ19" i="8" s="1"/>
  <c r="BM19" i="8" s="1"/>
  <c r="BP19" i="8" s="1"/>
  <c r="BS19" i="8" s="1"/>
  <c r="BV19" i="8" s="1"/>
  <c r="BY19" i="8" s="1"/>
  <c r="CB19" i="8" s="1"/>
  <c r="CH19" i="8" s="1"/>
  <c r="CK19" i="8" s="1"/>
  <c r="CN19" i="8" s="1"/>
  <c r="CQ19" i="8" s="1"/>
  <c r="CT19" i="8" s="1"/>
  <c r="CW19" i="8" s="1"/>
  <c r="CZ19" i="8" s="1"/>
  <c r="DC19" i="8" s="1"/>
  <c r="DF19" i="8" s="1"/>
  <c r="DI19" i="8" s="1"/>
  <c r="DL19" i="8" s="1"/>
  <c r="DO19" i="8" s="1"/>
  <c r="DR19" i="8" s="1"/>
  <c r="DU19" i="8" s="1"/>
  <c r="DX19" i="8" s="1"/>
  <c r="EA19" i="8" s="1"/>
  <c r="ED19" i="8" s="1"/>
  <c r="EG19" i="8" s="1"/>
  <c r="EJ19" i="8" s="1"/>
  <c r="EM19" i="8" s="1"/>
  <c r="EP19" i="8" s="1"/>
  <c r="B20" i="8"/>
  <c r="E20" i="8" s="1"/>
  <c r="H20" i="8" s="1"/>
  <c r="K20" i="8"/>
  <c r="N20" i="8"/>
  <c r="Q20" i="8"/>
  <c r="T20" i="8" s="1"/>
  <c r="W20" i="8" s="1"/>
  <c r="Z20" i="8" s="1"/>
  <c r="AC20" i="8" s="1"/>
  <c r="AF20" i="8" s="1"/>
  <c r="AI20" i="8" s="1"/>
  <c r="AL20" i="8" s="1"/>
  <c r="AO20" i="8" s="1"/>
  <c r="AR20" i="8" s="1"/>
  <c r="AU20" i="8" s="1"/>
  <c r="AX20" i="8" s="1"/>
  <c r="BA20" i="8" s="1"/>
  <c r="BD20" i="8" s="1"/>
  <c r="BG20" i="8" s="1"/>
  <c r="BJ20" i="8" s="1"/>
  <c r="BM20" i="8" s="1"/>
  <c r="BP20" i="8" s="1"/>
  <c r="BS20" i="8" s="1"/>
  <c r="BV20" i="8" s="1"/>
  <c r="BY20" i="8" s="1"/>
  <c r="CB20" i="8" s="1"/>
  <c r="CH20" i="8" s="1"/>
  <c r="CK20" i="8" s="1"/>
  <c r="CN20" i="8" s="1"/>
  <c r="CQ20" i="8" s="1"/>
  <c r="CT20" i="8" s="1"/>
  <c r="CW20" i="8" s="1"/>
  <c r="CZ20" i="8" s="1"/>
  <c r="DC20" i="8" s="1"/>
  <c r="DF20" i="8" s="1"/>
  <c r="DI20" i="8" s="1"/>
  <c r="DL20" i="8" s="1"/>
  <c r="DO20" i="8" s="1"/>
  <c r="DR20" i="8" s="1"/>
  <c r="DU20" i="8" s="1"/>
  <c r="DX20" i="8" s="1"/>
  <c r="EA20" i="8" s="1"/>
  <c r="ED20" i="8" s="1"/>
  <c r="EG20" i="8" s="1"/>
  <c r="EJ20" i="8" s="1"/>
  <c r="EM20" i="8" s="1"/>
  <c r="EP20" i="8" s="1"/>
  <c r="B21" i="8"/>
  <c r="E21" i="8"/>
  <c r="H21" i="8" s="1"/>
  <c r="K21" i="8" s="1"/>
  <c r="N21" i="8" s="1"/>
  <c r="Q21" i="8"/>
  <c r="T21" i="8" s="1"/>
  <c r="W21" i="8" s="1"/>
  <c r="Z21" i="8" s="1"/>
  <c r="AC21" i="8" s="1"/>
  <c r="AF21" i="8" s="1"/>
  <c r="AI21" i="8" s="1"/>
  <c r="AL21" i="8" s="1"/>
  <c r="AO21" i="8" s="1"/>
  <c r="AR21" i="8" s="1"/>
  <c r="AU21" i="8" s="1"/>
  <c r="AX21" i="8" s="1"/>
  <c r="BA21" i="8" s="1"/>
  <c r="BD21" i="8" s="1"/>
  <c r="BG21" i="8" s="1"/>
  <c r="BJ21" i="8" s="1"/>
  <c r="BM21" i="8" s="1"/>
  <c r="BP21" i="8" s="1"/>
  <c r="BS21" i="8" s="1"/>
  <c r="BV21" i="8" s="1"/>
  <c r="BY21" i="8" s="1"/>
  <c r="CB21" i="8" s="1"/>
  <c r="CH21" i="8" s="1"/>
  <c r="CK21" i="8" s="1"/>
  <c r="CN21" i="8" s="1"/>
  <c r="CQ21" i="8" s="1"/>
  <c r="CT21" i="8" s="1"/>
  <c r="CW21" i="8" s="1"/>
  <c r="CZ21" i="8" s="1"/>
  <c r="DC21" i="8" s="1"/>
  <c r="DF21" i="8" s="1"/>
  <c r="DI21" i="8" s="1"/>
  <c r="DL21" i="8" s="1"/>
  <c r="DO21" i="8" s="1"/>
  <c r="DR21" i="8" s="1"/>
  <c r="DU21" i="8" s="1"/>
  <c r="DX21" i="8" s="1"/>
  <c r="EA21" i="8" s="1"/>
  <c r="ED21" i="8" s="1"/>
  <c r="B22" i="8"/>
  <c r="E22" i="8" s="1"/>
  <c r="H22" i="8" s="1"/>
  <c r="K22" i="8"/>
  <c r="N22" i="8" s="1"/>
  <c r="Q22" i="8"/>
  <c r="T22" i="8" s="1"/>
  <c r="W22" i="8"/>
  <c r="Z22" i="8" s="1"/>
  <c r="AC22" i="8" s="1"/>
  <c r="AF22" i="8" s="1"/>
  <c r="AI22" i="8" s="1"/>
  <c r="AL22" i="8" s="1"/>
  <c r="AO22" i="8" s="1"/>
  <c r="AR22" i="8" s="1"/>
  <c r="AU22" i="8" s="1"/>
  <c r="AX22" i="8" s="1"/>
  <c r="BA22" i="8" s="1"/>
  <c r="BD22" i="8" s="1"/>
  <c r="BG22" i="8" s="1"/>
  <c r="BJ22" i="8" s="1"/>
  <c r="BM22" i="8" s="1"/>
  <c r="BP22" i="8" s="1"/>
  <c r="BS22" i="8" s="1"/>
  <c r="BV22" i="8" s="1"/>
  <c r="BY22" i="8" s="1"/>
  <c r="CB22" i="8" s="1"/>
  <c r="CH22" i="8" s="1"/>
  <c r="CK22" i="8" s="1"/>
  <c r="CN22" i="8" s="1"/>
  <c r="CQ22" i="8" s="1"/>
  <c r="CT22" i="8" s="1"/>
  <c r="CW22" i="8" s="1"/>
  <c r="CZ22" i="8" s="1"/>
  <c r="DC22" i="8"/>
  <c r="DF22" i="8" s="1"/>
  <c r="DI22" i="8" s="1"/>
  <c r="DL22" i="8" s="1"/>
  <c r="DO22" i="8" s="1"/>
  <c r="DR22" i="8" s="1"/>
  <c r="DU22" i="8" s="1"/>
  <c r="DX22" i="8" s="1"/>
  <c r="EA22" i="8" s="1"/>
  <c r="ED22" i="8" s="1"/>
  <c r="EG22" i="8" s="1"/>
  <c r="EJ22" i="8" s="1"/>
  <c r="EM22" i="8" s="1"/>
  <c r="EP22" i="8" s="1"/>
  <c r="B23" i="8"/>
  <c r="E23" i="8"/>
  <c r="H23" i="8" s="1"/>
  <c r="K23" i="8" s="1"/>
  <c r="N23" i="8" s="1"/>
  <c r="Q23" i="8" s="1"/>
  <c r="T23" i="8" s="1"/>
  <c r="W23" i="8"/>
  <c r="Z23" i="8" s="1"/>
  <c r="AC23" i="8" s="1"/>
  <c r="AF23" i="8" s="1"/>
  <c r="AI23" i="8" s="1"/>
  <c r="AL23" i="8" s="1"/>
  <c r="AO23" i="8" s="1"/>
  <c r="AR23" i="8" s="1"/>
  <c r="AU23" i="8" s="1"/>
  <c r="AX23" i="8" s="1"/>
  <c r="BA23" i="8" s="1"/>
  <c r="BD23" i="8" s="1"/>
  <c r="BG23" i="8" s="1"/>
  <c r="BJ23" i="8" s="1"/>
  <c r="BM23" i="8" s="1"/>
  <c r="BP23" i="8" s="1"/>
  <c r="BS23" i="8" s="1"/>
  <c r="BV23" i="8" s="1"/>
  <c r="BY23" i="8" s="1"/>
  <c r="CB23" i="8" s="1"/>
  <c r="CH23" i="8" s="1"/>
  <c r="CK23" i="8" s="1"/>
  <c r="CN23" i="8" s="1"/>
  <c r="CQ23" i="8" s="1"/>
  <c r="CT23" i="8" s="1"/>
  <c r="CW23" i="8" s="1"/>
  <c r="CZ23" i="8" s="1"/>
  <c r="DC23" i="8" s="1"/>
  <c r="DF23" i="8" s="1"/>
  <c r="DI23" i="8" s="1"/>
  <c r="DL23" i="8" s="1"/>
  <c r="DO23" i="8" s="1"/>
  <c r="DR23" i="8" s="1"/>
  <c r="DU23" i="8" s="1"/>
  <c r="DX23" i="8" s="1"/>
  <c r="EA23" i="8" s="1"/>
  <c r="ED23" i="8" s="1"/>
  <c r="EG23" i="8" s="1"/>
  <c r="EJ23" i="8" s="1"/>
  <c r="EM23" i="8" s="1"/>
  <c r="EP23" i="8" s="1"/>
  <c r="B24" i="8"/>
  <c r="E24" i="8"/>
  <c r="H24" i="8" s="1"/>
  <c r="K24" i="8" s="1"/>
  <c r="N24" i="8" s="1"/>
  <c r="Q24" i="8" s="1"/>
  <c r="T24" i="8" s="1"/>
  <c r="W24" i="8" s="1"/>
  <c r="Z24" i="8" s="1"/>
  <c r="AC24" i="8"/>
  <c r="AF24" i="8" s="1"/>
  <c r="AI24" i="8" s="1"/>
  <c r="AL24" i="8"/>
  <c r="AO24" i="8" s="1"/>
  <c r="AR24" i="8" s="1"/>
  <c r="AU24" i="8" s="1"/>
  <c r="AX24" i="8"/>
  <c r="BA24" i="8" s="1"/>
  <c r="BD24" i="8" s="1"/>
  <c r="BG24" i="8" s="1"/>
  <c r="BJ24" i="8" s="1"/>
  <c r="BM24" i="8" s="1"/>
  <c r="BP24" i="8" s="1"/>
  <c r="BS24" i="8" s="1"/>
  <c r="BV24" i="8" s="1"/>
  <c r="BY24" i="8" s="1"/>
  <c r="CB24" i="8" s="1"/>
  <c r="CH24" i="8" s="1"/>
  <c r="CK24" i="8" s="1"/>
  <c r="CN24" i="8" s="1"/>
  <c r="CQ24" i="8" s="1"/>
  <c r="CT24" i="8" s="1"/>
  <c r="CW24" i="8" s="1"/>
  <c r="CZ24" i="8" s="1"/>
  <c r="DC24" i="8" s="1"/>
  <c r="DF24" i="8" s="1"/>
  <c r="DI24" i="8" s="1"/>
  <c r="DL24" i="8" s="1"/>
  <c r="DO24" i="8" s="1"/>
  <c r="DR24" i="8" s="1"/>
  <c r="DU24" i="8" s="1"/>
  <c r="DX24" i="8" s="1"/>
  <c r="EA24" i="8" s="1"/>
  <c r="ED24" i="8" s="1"/>
  <c r="EG24" i="8" s="1"/>
  <c r="EJ24" i="8" s="1"/>
  <c r="EM24" i="8" s="1"/>
  <c r="EP24" i="8" s="1"/>
  <c r="B25" i="8"/>
  <c r="E25" i="8"/>
  <c r="H25" i="8" s="1"/>
  <c r="K25" i="8" s="1"/>
  <c r="N25" i="8" s="1"/>
  <c r="Q25" i="8" s="1"/>
  <c r="T25" i="8" s="1"/>
  <c r="W25" i="8" s="1"/>
  <c r="Z25" i="8" s="1"/>
  <c r="AC25" i="8" s="1"/>
  <c r="AF25" i="8" s="1"/>
  <c r="AI25" i="8" s="1"/>
  <c r="AL25" i="8" s="1"/>
  <c r="AO25" i="8" s="1"/>
  <c r="AR25" i="8" s="1"/>
  <c r="AU25" i="8" s="1"/>
  <c r="AX25" i="8" s="1"/>
  <c r="BA25" i="8"/>
  <c r="BD25" i="8" s="1"/>
  <c r="BG25" i="8" s="1"/>
  <c r="BJ25" i="8" s="1"/>
  <c r="BM25" i="8" s="1"/>
  <c r="BP25" i="8" s="1"/>
  <c r="BS25" i="8" s="1"/>
  <c r="BV25" i="8" s="1"/>
  <c r="BY25" i="8" s="1"/>
  <c r="CB25" i="8" s="1"/>
  <c r="CE25" i="8" s="1"/>
  <c r="CH25" i="8" s="1"/>
  <c r="CK25" i="8" s="1"/>
  <c r="CN25" i="8" s="1"/>
  <c r="CQ25" i="8" s="1"/>
  <c r="CT25" i="8" s="1"/>
  <c r="CW25" i="8" s="1"/>
  <c r="CZ25" i="8" s="1"/>
  <c r="DC25" i="8" s="1"/>
  <c r="DF25" i="8" s="1"/>
  <c r="DI25" i="8" s="1"/>
  <c r="DL25" i="8" s="1"/>
  <c r="DO25" i="8" s="1"/>
  <c r="DR25" i="8" s="1"/>
  <c r="DU25" i="8" s="1"/>
  <c r="DX25" i="8" s="1"/>
  <c r="EA25" i="8" s="1"/>
  <c r="ED25" i="8" s="1"/>
  <c r="B26" i="8"/>
  <c r="E26" i="8"/>
  <c r="H26" i="8" s="1"/>
  <c r="K26" i="8" s="1"/>
  <c r="N26" i="8" s="1"/>
  <c r="Q26" i="8" s="1"/>
  <c r="T26" i="8" s="1"/>
  <c r="W26" i="8"/>
  <c r="Z26" i="8"/>
  <c r="AC26" i="8" s="1"/>
  <c r="AF26" i="8"/>
  <c r="AI26" i="8" s="1"/>
  <c r="AL26" i="8" s="1"/>
  <c r="AO26" i="8" s="1"/>
  <c r="AR26" i="8" s="1"/>
  <c r="AU26" i="8" s="1"/>
  <c r="AX26" i="8" s="1"/>
  <c r="BA26" i="8" s="1"/>
  <c r="BD26" i="8" s="1"/>
  <c r="BG26" i="8" s="1"/>
  <c r="BJ26" i="8" s="1"/>
  <c r="BM26" i="8" s="1"/>
  <c r="BP26" i="8" s="1"/>
  <c r="BS26" i="8" s="1"/>
  <c r="BV26" i="8" s="1"/>
  <c r="BY26" i="8" s="1"/>
  <c r="CB26" i="8" s="1"/>
  <c r="CE26" i="8" s="1"/>
  <c r="CH26" i="8" s="1"/>
  <c r="CK26" i="8" s="1"/>
  <c r="CN26" i="8" s="1"/>
  <c r="CQ26" i="8" s="1"/>
  <c r="CT26" i="8" s="1"/>
  <c r="CW26" i="8" s="1"/>
  <c r="CZ26" i="8" s="1"/>
  <c r="DC26" i="8" s="1"/>
  <c r="DF26" i="8" s="1"/>
  <c r="DI26" i="8" s="1"/>
  <c r="DL26" i="8" s="1"/>
  <c r="DO26" i="8" s="1"/>
  <c r="DR26" i="8" s="1"/>
  <c r="DU26" i="8" s="1"/>
  <c r="DX26" i="8" s="1"/>
  <c r="B27" i="8"/>
  <c r="E27" i="8"/>
  <c r="H27" i="8"/>
  <c r="K27" i="8" s="1"/>
  <c r="N27" i="8"/>
  <c r="Q27" i="8" s="1"/>
  <c r="T27" i="8" s="1"/>
  <c r="W27" i="8" s="1"/>
  <c r="Z27" i="8" s="1"/>
  <c r="AC27" i="8" s="1"/>
  <c r="AF27" i="8" s="1"/>
  <c r="AI27" i="8" s="1"/>
  <c r="AL27" i="8" s="1"/>
  <c r="AO27" i="8" s="1"/>
  <c r="AR27" i="8" s="1"/>
  <c r="AU27" i="8" s="1"/>
  <c r="AX27" i="8" s="1"/>
  <c r="BA27" i="8" s="1"/>
  <c r="BD27" i="8" s="1"/>
  <c r="BG27" i="8" s="1"/>
  <c r="BJ27" i="8" s="1"/>
  <c r="BM27" i="8" s="1"/>
  <c r="BP27" i="8" s="1"/>
  <c r="BS27" i="8" s="1"/>
  <c r="BV27" i="8" s="1"/>
  <c r="BY27" i="8" s="1"/>
  <c r="CB27" i="8" s="1"/>
  <c r="CE27" i="8" s="1"/>
  <c r="CH27" i="8" s="1"/>
  <c r="CK27" i="8" s="1"/>
  <c r="CN27" i="8" s="1"/>
  <c r="CQ27" i="8" s="1"/>
  <c r="CT27" i="8" s="1"/>
  <c r="CW27" i="8" s="1"/>
  <c r="CZ27" i="8" s="1"/>
  <c r="DC27" i="8" s="1"/>
  <c r="DF27" i="8" s="1"/>
  <c r="DI27" i="8" s="1"/>
  <c r="DL27" i="8" s="1"/>
  <c r="DO27" i="8" s="1"/>
  <c r="DR27" i="8" s="1"/>
  <c r="DU27" i="8" s="1"/>
  <c r="DX27" i="8" s="1"/>
  <c r="EA27" i="8" s="1"/>
  <c r="ED27" i="8" s="1"/>
  <c r="EG27" i="8" s="1"/>
  <c r="EJ27" i="8" s="1"/>
  <c r="EM27" i="8" s="1"/>
  <c r="EP27" i="8" s="1"/>
  <c r="B28" i="8"/>
  <c r="E28" i="8" s="1"/>
  <c r="H28" i="8"/>
  <c r="K28" i="8"/>
  <c r="N28" i="8" s="1"/>
  <c r="Q28" i="8" s="1"/>
  <c r="T28" i="8" s="1"/>
  <c r="W28" i="8" s="1"/>
  <c r="Z28" i="8" s="1"/>
  <c r="AC28" i="8" s="1"/>
  <c r="AF28" i="8" s="1"/>
  <c r="AI28" i="8"/>
  <c r="AL28" i="8"/>
  <c r="AO28" i="8" s="1"/>
  <c r="AR28" i="8" s="1"/>
  <c r="AU28" i="8" s="1"/>
  <c r="AX28" i="8" s="1"/>
  <c r="BA28" i="8" s="1"/>
  <c r="BD28" i="8" s="1"/>
  <c r="BG28" i="8" s="1"/>
  <c r="BJ28" i="8" s="1"/>
  <c r="BM28" i="8" s="1"/>
  <c r="BP28" i="8" s="1"/>
  <c r="BS28" i="8" s="1"/>
  <c r="BV28" i="8" s="1"/>
  <c r="BY28" i="8" s="1"/>
  <c r="CB28" i="8" s="1"/>
  <c r="CE28" i="8" s="1"/>
  <c r="CH28" i="8" s="1"/>
  <c r="CK28" i="8"/>
  <c r="CN28" i="8" s="1"/>
  <c r="CQ28" i="8" s="1"/>
  <c r="CT28" i="8" s="1"/>
  <c r="CW28" i="8" s="1"/>
  <c r="CZ28" i="8" s="1"/>
  <c r="DC28" i="8" s="1"/>
  <c r="DF28" i="8" s="1"/>
  <c r="DI28" i="8" s="1"/>
  <c r="DL28" i="8" s="1"/>
  <c r="DO28" i="8" s="1"/>
  <c r="DR28" i="8" s="1"/>
  <c r="DU28" i="8" s="1"/>
  <c r="DX28" i="8" s="1"/>
  <c r="EA28" i="8" s="1"/>
  <c r="ED28" i="8" s="1"/>
  <c r="B29" i="8"/>
  <c r="E29" i="8" s="1"/>
  <c r="H29" i="8" s="1"/>
  <c r="K29" i="8" s="1"/>
  <c r="N29" i="8" s="1"/>
  <c r="Q29" i="8" s="1"/>
  <c r="T29" i="8" s="1"/>
  <c r="W29" i="8" s="1"/>
  <c r="Z29" i="8" s="1"/>
  <c r="AC29" i="8" s="1"/>
  <c r="AF29" i="8" s="1"/>
  <c r="AI29" i="8"/>
  <c r="AL29" i="8" s="1"/>
  <c r="AO29" i="8" s="1"/>
  <c r="AR29" i="8" s="1"/>
  <c r="AU29" i="8"/>
  <c r="AX29" i="8" s="1"/>
  <c r="BA29" i="8" s="1"/>
  <c r="BD29" i="8" s="1"/>
  <c r="BG29" i="8" s="1"/>
  <c r="BJ29" i="8" s="1"/>
  <c r="BM29" i="8" s="1"/>
  <c r="BP29" i="8" s="1"/>
  <c r="BS29" i="8" s="1"/>
  <c r="BV29" i="8" s="1"/>
  <c r="BY29" i="8" s="1"/>
  <c r="CB29" i="8" s="1"/>
  <c r="CE29" i="8" s="1"/>
  <c r="CH29" i="8" s="1"/>
  <c r="CK29" i="8" s="1"/>
  <c r="CN29" i="8" s="1"/>
  <c r="CQ29" i="8" s="1"/>
  <c r="CT29" i="8" s="1"/>
  <c r="CW29" i="8" s="1"/>
  <c r="CZ29" i="8" s="1"/>
  <c r="DC29" i="8" s="1"/>
  <c r="DF29" i="8" s="1"/>
  <c r="DI29" i="8" s="1"/>
  <c r="DL29" i="8" s="1"/>
  <c r="DO29" i="8" s="1"/>
  <c r="DR29" i="8" s="1"/>
  <c r="DU29" i="8" s="1"/>
  <c r="DX29" i="8" s="1"/>
  <c r="EA29" i="8" s="1"/>
  <c r="ED29" i="8" s="1"/>
  <c r="B30" i="8"/>
  <c r="E30" i="8"/>
  <c r="H30" i="8" s="1"/>
  <c r="K30" i="8" s="1"/>
  <c r="N30" i="8" s="1"/>
  <c r="Q30" i="8"/>
  <c r="T30" i="8" s="1"/>
  <c r="W30" i="8"/>
  <c r="Z30" i="8" s="1"/>
  <c r="AC30" i="8"/>
  <c r="AF30" i="8" s="1"/>
  <c r="AI30" i="8" s="1"/>
  <c r="AL30" i="8" s="1"/>
  <c r="AO30" i="8" s="1"/>
  <c r="AR30" i="8" s="1"/>
  <c r="AU30" i="8" s="1"/>
  <c r="AX30" i="8" s="1"/>
  <c r="BA30" i="8" s="1"/>
  <c r="BD30" i="8" s="1"/>
  <c r="BG30" i="8" s="1"/>
  <c r="BJ30" i="8" s="1"/>
  <c r="BM30" i="8" s="1"/>
  <c r="BP30" i="8" s="1"/>
  <c r="BS30" i="8" s="1"/>
  <c r="BV30" i="8" s="1"/>
  <c r="BY30" i="8" s="1"/>
  <c r="CB30" i="8" s="1"/>
  <c r="CE30" i="8" s="1"/>
  <c r="CH30" i="8" s="1"/>
  <c r="CK30" i="8" s="1"/>
  <c r="CN30" i="8" s="1"/>
  <c r="CQ30" i="8" s="1"/>
  <c r="CT30" i="8" s="1"/>
  <c r="CW30" i="8" s="1"/>
  <c r="CZ30" i="8" s="1"/>
  <c r="DC30" i="8" s="1"/>
  <c r="DF30" i="8" s="1"/>
  <c r="DI30" i="8" s="1"/>
  <c r="DL30" i="8" s="1"/>
  <c r="DO30" i="8" s="1"/>
  <c r="DR30" i="8" s="1"/>
  <c r="DU30" i="8" s="1"/>
  <c r="DX30" i="8" s="1"/>
  <c r="EA30" i="8" s="1"/>
  <c r="ED30" i="8" s="1"/>
  <c r="B31" i="8"/>
  <c r="E31" i="8"/>
  <c r="H31" i="8" s="1"/>
  <c r="K31" i="8"/>
  <c r="N31" i="8" s="1"/>
  <c r="Q31" i="8" s="1"/>
  <c r="T31" i="8" s="1"/>
  <c r="W31" i="8"/>
  <c r="Z31" i="8" s="1"/>
  <c r="AC31" i="8" s="1"/>
  <c r="AF31" i="8" s="1"/>
  <c r="AI31" i="8" s="1"/>
  <c r="AL31" i="8" s="1"/>
  <c r="AO31" i="8" s="1"/>
  <c r="AR31" i="8" s="1"/>
  <c r="AU31" i="8" s="1"/>
  <c r="AX31" i="8" s="1"/>
  <c r="BA31" i="8" s="1"/>
  <c r="BD31" i="8" s="1"/>
  <c r="BG31" i="8" s="1"/>
  <c r="BJ31" i="8" s="1"/>
  <c r="BM31" i="8" s="1"/>
  <c r="BP31" i="8" s="1"/>
  <c r="BS31" i="8" s="1"/>
  <c r="BV31" i="8" s="1"/>
  <c r="BY31" i="8" s="1"/>
  <c r="CB31" i="8" s="1"/>
  <c r="CH31" i="8" s="1"/>
  <c r="CN31" i="8"/>
  <c r="CQ31" i="8"/>
  <c r="CT31" i="8"/>
  <c r="CW31" i="8" s="1"/>
  <c r="CZ31" i="8" s="1"/>
  <c r="DC31" i="8" s="1"/>
  <c r="DF31" i="8" s="1"/>
  <c r="DI31" i="8" s="1"/>
  <c r="DL31" i="8" s="1"/>
  <c r="DO31" i="8" s="1"/>
  <c r="DR31" i="8" s="1"/>
  <c r="DU31" i="8" s="1"/>
  <c r="DX31" i="8" s="1"/>
  <c r="EA31" i="8" s="1"/>
  <c r="ED31" i="8" s="1"/>
  <c r="B32" i="8"/>
  <c r="E32" i="8"/>
  <c r="H32" i="8" s="1"/>
  <c r="K32" i="8" s="1"/>
  <c r="N32" i="8" s="1"/>
  <c r="Q32" i="8" s="1"/>
  <c r="T32" i="8" s="1"/>
  <c r="W32" i="8" s="1"/>
  <c r="Z32" i="8" s="1"/>
  <c r="AC32" i="8" s="1"/>
  <c r="AF32" i="8" s="1"/>
  <c r="AI32" i="8" s="1"/>
  <c r="AL32" i="8" s="1"/>
  <c r="AO32" i="8" s="1"/>
  <c r="AR32" i="8" s="1"/>
  <c r="AU32" i="8" s="1"/>
  <c r="AX32" i="8" s="1"/>
  <c r="BA32" i="8" s="1"/>
  <c r="BD32" i="8" s="1"/>
  <c r="BG32" i="8" s="1"/>
  <c r="BJ32" i="8" s="1"/>
  <c r="BM32" i="8" s="1"/>
  <c r="BP32" i="8" s="1"/>
  <c r="BS32" i="8" s="1"/>
  <c r="BV32" i="8" s="1"/>
  <c r="BY32" i="8" s="1"/>
  <c r="CB32" i="8" s="1"/>
  <c r="CH32" i="8" s="1"/>
  <c r="CK32" i="8" s="1"/>
  <c r="CN32" i="8" s="1"/>
  <c r="CQ32" i="8" s="1"/>
  <c r="CT32" i="8" s="1"/>
  <c r="CW32" i="8" s="1"/>
  <c r="CZ32" i="8" s="1"/>
  <c r="DC32" i="8" s="1"/>
  <c r="DF32" i="8" s="1"/>
  <c r="DI32" i="8" s="1"/>
  <c r="DL32" i="8" s="1"/>
  <c r="DO32" i="8" s="1"/>
  <c r="DR32" i="8" s="1"/>
  <c r="DU32" i="8" s="1"/>
  <c r="DX32" i="8" s="1"/>
  <c r="EA32" i="8" s="1"/>
  <c r="ED32" i="8" s="1"/>
  <c r="B33" i="8"/>
  <c r="E33" i="8"/>
  <c r="H33" i="8" s="1"/>
  <c r="K33" i="8"/>
  <c r="N33" i="8" s="1"/>
  <c r="Q33" i="8" s="1"/>
  <c r="T33" i="8" s="1"/>
  <c r="W33" i="8" s="1"/>
  <c r="Z33" i="8" s="1"/>
  <c r="AC33" i="8" s="1"/>
  <c r="AF33" i="8" s="1"/>
  <c r="AI33" i="8" s="1"/>
  <c r="AL33" i="8" s="1"/>
  <c r="AO33" i="8" s="1"/>
  <c r="AR33" i="8" s="1"/>
  <c r="AU33" i="8" s="1"/>
  <c r="AX33" i="8" s="1"/>
  <c r="BA33" i="8" s="1"/>
  <c r="BD33" i="8" s="1"/>
  <c r="BG33" i="8" s="1"/>
  <c r="BJ33" i="8" s="1"/>
  <c r="BM33" i="8" s="1"/>
  <c r="BP33" i="8" s="1"/>
  <c r="BS33" i="8" s="1"/>
  <c r="BV33" i="8" s="1"/>
  <c r="BY33" i="8" s="1"/>
  <c r="CB33" i="8" s="1"/>
  <c r="CH33" i="8" s="1"/>
  <c r="CK33" i="8" s="1"/>
  <c r="CN33" i="8" s="1"/>
  <c r="CQ33" i="8" s="1"/>
  <c r="CT33" i="8" s="1"/>
  <c r="CW33" i="8" s="1"/>
  <c r="CZ33" i="8" s="1"/>
  <c r="DC33" i="8" s="1"/>
  <c r="DF33" i="8" s="1"/>
  <c r="DI33" i="8" s="1"/>
  <c r="DL33" i="8" s="1"/>
  <c r="DO33" i="8" s="1"/>
  <c r="DR33" i="8" s="1"/>
  <c r="DU33" i="8" s="1"/>
  <c r="DX33" i="8" s="1"/>
  <c r="EA33" i="8" s="1"/>
  <c r="ED33" i="8" s="1"/>
  <c r="B34" i="8"/>
  <c r="E34" i="8" s="1"/>
  <c r="H34" i="8" s="1"/>
  <c r="K34" i="8" s="1"/>
  <c r="N34" i="8" s="1"/>
  <c r="Q34" i="8" s="1"/>
  <c r="T34" i="8" s="1"/>
  <c r="W34" i="8" s="1"/>
  <c r="Z34" i="8" s="1"/>
  <c r="AC34" i="8" s="1"/>
  <c r="AF34" i="8" s="1"/>
  <c r="AI34" i="8" s="1"/>
  <c r="AL34" i="8" s="1"/>
  <c r="AO34" i="8" s="1"/>
  <c r="AR34" i="8" s="1"/>
  <c r="AU34" i="8" s="1"/>
  <c r="AX34" i="8" s="1"/>
  <c r="BA34" i="8" s="1"/>
  <c r="BD34" i="8" s="1"/>
  <c r="BG34" i="8" s="1"/>
  <c r="BJ34" i="8" s="1"/>
  <c r="BM34" i="8" s="1"/>
  <c r="BP34" i="8" s="1"/>
  <c r="BS34" i="8" s="1"/>
  <c r="BV34" i="8" s="1"/>
  <c r="BY34" i="8" s="1"/>
  <c r="CB34" i="8" s="1"/>
  <c r="CH34" i="8" s="1"/>
  <c r="CK34" i="8" s="1"/>
  <c r="CN34" i="8" s="1"/>
  <c r="CQ34" i="8" s="1"/>
  <c r="CT34" i="8" s="1"/>
  <c r="CW34" i="8" s="1"/>
  <c r="CZ34" i="8" s="1"/>
  <c r="DC34" i="8" s="1"/>
  <c r="DF34" i="8" s="1"/>
  <c r="DI34" i="8" s="1"/>
  <c r="DL34" i="8" s="1"/>
  <c r="DO34" i="8" s="1"/>
  <c r="DR34" i="8" s="1"/>
  <c r="DU34" i="8" s="1"/>
  <c r="DX34" i="8" s="1"/>
  <c r="EA34" i="8" s="1"/>
  <c r="ED34" i="8" s="1"/>
  <c r="B35" i="8"/>
  <c r="E35" i="8" s="1"/>
  <c r="H35" i="8" s="1"/>
  <c r="K35" i="8" s="1"/>
  <c r="N35" i="8" s="1"/>
  <c r="Q35" i="8" s="1"/>
  <c r="T35" i="8" s="1"/>
  <c r="W35" i="8" s="1"/>
  <c r="Z35" i="8" s="1"/>
  <c r="AC35" i="8" s="1"/>
  <c r="AF35" i="8" s="1"/>
  <c r="AI35" i="8" s="1"/>
  <c r="AL35" i="8" s="1"/>
  <c r="AO35" i="8" s="1"/>
  <c r="AR35" i="8" s="1"/>
  <c r="AU35" i="8" s="1"/>
  <c r="AX35" i="8" s="1"/>
  <c r="BA35" i="8" s="1"/>
  <c r="BD35" i="8" s="1"/>
  <c r="BG35" i="8" s="1"/>
  <c r="BJ35" i="8" s="1"/>
  <c r="BM35" i="8" s="1"/>
  <c r="BP35" i="8" s="1"/>
  <c r="BS35" i="8" s="1"/>
  <c r="BV35" i="8" s="1"/>
  <c r="BY35" i="8" s="1"/>
  <c r="CB35" i="8" s="1"/>
  <c r="CH35" i="8" s="1"/>
  <c r="CK35" i="8" s="1"/>
  <c r="CN35" i="8" s="1"/>
  <c r="CQ35" i="8" s="1"/>
  <c r="CT35" i="8" s="1"/>
  <c r="CW35" i="8" s="1"/>
  <c r="CZ35" i="8" s="1"/>
  <c r="DC35" i="8" s="1"/>
  <c r="DF35" i="8" s="1"/>
  <c r="DI35" i="8" s="1"/>
  <c r="DL35" i="8" s="1"/>
  <c r="DO35" i="8" s="1"/>
  <c r="DR35" i="8" s="1"/>
  <c r="DU35" i="8" s="1"/>
  <c r="DX35" i="8" s="1"/>
  <c r="EA35" i="8" s="1"/>
  <c r="ED35" i="8" s="1"/>
  <c r="B36" i="8"/>
  <c r="E36" i="8"/>
  <c r="H36" i="8" s="1"/>
  <c r="K36" i="8" s="1"/>
  <c r="N36" i="8" s="1"/>
  <c r="Q36" i="8" s="1"/>
  <c r="T36" i="8" s="1"/>
  <c r="W36" i="8" s="1"/>
  <c r="Z36" i="8" s="1"/>
  <c r="AC36" i="8" s="1"/>
  <c r="AF36" i="8" s="1"/>
  <c r="AI36" i="8" s="1"/>
  <c r="AL36" i="8" s="1"/>
  <c r="AO36" i="8" s="1"/>
  <c r="AR36" i="8" s="1"/>
  <c r="AU36" i="8" s="1"/>
  <c r="AX36" i="8" s="1"/>
  <c r="BA36" i="8" s="1"/>
  <c r="BD36" i="8" s="1"/>
  <c r="BG36" i="8" s="1"/>
  <c r="BJ36" i="8" s="1"/>
  <c r="BM36" i="8" s="1"/>
  <c r="BP36" i="8" s="1"/>
  <c r="BS36" i="8" s="1"/>
  <c r="BV36" i="8" s="1"/>
  <c r="BY36" i="8" s="1"/>
  <c r="CB36" i="8" s="1"/>
  <c r="CH36" i="8" s="1"/>
  <c r="CK36" i="8" s="1"/>
  <c r="CN36" i="8" s="1"/>
  <c r="CQ36" i="8" s="1"/>
  <c r="CT36" i="8" s="1"/>
  <c r="CW36" i="8" s="1"/>
  <c r="CZ36" i="8"/>
  <c r="DC36" i="8" s="1"/>
  <c r="DF36" i="8" s="1"/>
  <c r="DI36" i="8" s="1"/>
  <c r="DL36" i="8" s="1"/>
  <c r="DO36" i="8" s="1"/>
  <c r="DR36" i="8" s="1"/>
  <c r="DU36" i="8" s="1"/>
  <c r="DX36" i="8" s="1"/>
  <c r="EA36" i="8" s="1"/>
  <c r="ED36" i="8" s="1"/>
  <c r="B37" i="8"/>
  <c r="E37" i="8"/>
  <c r="H37" i="8" s="1"/>
  <c r="K37" i="8" s="1"/>
  <c r="N37" i="8" s="1"/>
  <c r="Q37" i="8" s="1"/>
  <c r="T37" i="8" s="1"/>
  <c r="W37" i="8"/>
  <c r="Z37" i="8" s="1"/>
  <c r="AC37" i="8" s="1"/>
  <c r="AF37" i="8" s="1"/>
  <c r="AI37" i="8" s="1"/>
  <c r="AL37" i="8" s="1"/>
  <c r="AO37" i="8" s="1"/>
  <c r="AR37" i="8" s="1"/>
  <c r="AU37" i="8" s="1"/>
  <c r="AX37" i="8" s="1"/>
  <c r="BA37" i="8" s="1"/>
  <c r="BD37" i="8" s="1"/>
  <c r="BG37" i="8" s="1"/>
  <c r="BJ37" i="8" s="1"/>
  <c r="BM37" i="8" s="1"/>
  <c r="BP37" i="8"/>
  <c r="BS37" i="8" s="1"/>
  <c r="BV37" i="8" s="1"/>
  <c r="BY37" i="8" s="1"/>
  <c r="CB37" i="8" s="1"/>
  <c r="CH37" i="8" s="1"/>
  <c r="CK37" i="8" s="1"/>
  <c r="CN37" i="8" s="1"/>
  <c r="CQ37" i="8" s="1"/>
  <c r="CT37" i="8" s="1"/>
  <c r="CW37" i="8" s="1"/>
  <c r="CZ37" i="8" s="1"/>
  <c r="DC37" i="8" s="1"/>
  <c r="DF37" i="8" s="1"/>
  <c r="DI37" i="8" s="1"/>
  <c r="DL37" i="8" s="1"/>
  <c r="DO37" i="8" s="1"/>
  <c r="DR37" i="8" s="1"/>
  <c r="DU37" i="8" s="1"/>
  <c r="DX37" i="8" s="1"/>
  <c r="EA37" i="8" s="1"/>
  <c r="ED37" i="8" s="1"/>
  <c r="B38" i="8"/>
  <c r="E38" i="8" s="1"/>
  <c r="H38" i="8" s="1"/>
  <c r="K38" i="8"/>
  <c r="N38" i="8" s="1"/>
  <c r="Q38" i="8" s="1"/>
  <c r="T38" i="8" s="1"/>
  <c r="W38" i="8" s="1"/>
  <c r="Z38" i="8" s="1"/>
  <c r="AC38" i="8"/>
  <c r="AF38" i="8" s="1"/>
  <c r="AI38" i="8" s="1"/>
  <c r="AL38" i="8" s="1"/>
  <c r="AO38" i="8" s="1"/>
  <c r="AR38" i="8" s="1"/>
  <c r="AU38" i="8" s="1"/>
  <c r="AX38" i="8" s="1"/>
  <c r="BA38" i="8" s="1"/>
  <c r="BD38" i="8" s="1"/>
  <c r="BG38" i="8" s="1"/>
  <c r="BJ38" i="8" s="1"/>
  <c r="BM38" i="8" s="1"/>
  <c r="BP38" i="8" s="1"/>
  <c r="BS38" i="8" s="1"/>
  <c r="BV38" i="8" s="1"/>
  <c r="BY38" i="8" s="1"/>
  <c r="CB38" i="8" s="1"/>
  <c r="CH38" i="8" s="1"/>
  <c r="CK38" i="8" s="1"/>
  <c r="CN38" i="8" s="1"/>
  <c r="CQ38" i="8" s="1"/>
  <c r="CT38" i="8" s="1"/>
  <c r="CW38" i="8" s="1"/>
  <c r="CZ38" i="8" s="1"/>
  <c r="DC38" i="8" s="1"/>
  <c r="DF38" i="8" s="1"/>
  <c r="DI38" i="8" s="1"/>
  <c r="DL38" i="8" s="1"/>
  <c r="DO38" i="8" s="1"/>
  <c r="DR38" i="8" s="1"/>
  <c r="DU38" i="8" s="1"/>
  <c r="DX38" i="8" s="1"/>
  <c r="EA38" i="8" s="1"/>
  <c r="ED38" i="8" s="1"/>
  <c r="B39" i="8"/>
  <c r="E39" i="8" s="1"/>
  <c r="H39" i="8"/>
  <c r="K39" i="8" s="1"/>
  <c r="N39" i="8" s="1"/>
  <c r="Q39" i="8" s="1"/>
  <c r="T39" i="8" s="1"/>
  <c r="W39" i="8" s="1"/>
  <c r="Z39" i="8" s="1"/>
  <c r="AC39" i="8" s="1"/>
  <c r="AF39" i="8" s="1"/>
  <c r="AI39" i="8" s="1"/>
  <c r="AL39" i="8" s="1"/>
  <c r="AO39" i="8" s="1"/>
  <c r="AR39" i="8" s="1"/>
  <c r="AU39" i="8" s="1"/>
  <c r="AX39" i="8" s="1"/>
  <c r="BA39" i="8" s="1"/>
  <c r="BD39" i="8" s="1"/>
  <c r="BG39" i="8" s="1"/>
  <c r="BJ39" i="8" s="1"/>
  <c r="BM39" i="8" s="1"/>
  <c r="BP39" i="8" s="1"/>
  <c r="BS39" i="8" s="1"/>
  <c r="BV39" i="8" s="1"/>
  <c r="BY39" i="8" s="1"/>
  <c r="CB39" i="8" s="1"/>
  <c r="CH39" i="8"/>
  <c r="CK39" i="8" s="1"/>
  <c r="CN39" i="8" s="1"/>
  <c r="CQ39" i="8" s="1"/>
  <c r="CT39" i="8" s="1"/>
  <c r="CW39" i="8" s="1"/>
  <c r="CZ39" i="8" s="1"/>
  <c r="DC39" i="8" s="1"/>
  <c r="DF39" i="8" s="1"/>
  <c r="DI39" i="8" s="1"/>
  <c r="DL39" i="8" s="1"/>
  <c r="DO39" i="8" s="1"/>
  <c r="DR39" i="8" s="1"/>
  <c r="DU39" i="8" s="1"/>
  <c r="DX39" i="8" s="1"/>
  <c r="EA39" i="8" s="1"/>
  <c r="ED39" i="8" s="1"/>
  <c r="B40" i="8"/>
  <c r="E40" i="8" s="1"/>
  <c r="H40" i="8" s="1"/>
  <c r="K40" i="8" s="1"/>
  <c r="N40" i="8" s="1"/>
  <c r="Q40" i="8" s="1"/>
  <c r="T40" i="8" s="1"/>
  <c r="W40" i="8" s="1"/>
  <c r="Z40" i="8" s="1"/>
  <c r="AC40" i="8" s="1"/>
  <c r="AF40" i="8" s="1"/>
  <c r="AI40" i="8" s="1"/>
  <c r="AL40" i="8" s="1"/>
  <c r="AO40" i="8" s="1"/>
  <c r="AR40" i="8" s="1"/>
  <c r="AU40" i="8" s="1"/>
  <c r="AX40" i="8" s="1"/>
  <c r="BA40" i="8" s="1"/>
  <c r="BD40" i="8" s="1"/>
  <c r="BG40" i="8" s="1"/>
  <c r="BJ40" i="8" s="1"/>
  <c r="BM40" i="8" s="1"/>
  <c r="BP40" i="8" s="1"/>
  <c r="BS40" i="8" s="1"/>
  <c r="BV40" i="8" s="1"/>
  <c r="BY40" i="8" s="1"/>
  <c r="CB40" i="8" s="1"/>
  <c r="CH40" i="8" s="1"/>
  <c r="CK40" i="8" s="1"/>
  <c r="CN40" i="8" s="1"/>
  <c r="CQ40" i="8" s="1"/>
  <c r="CT40" i="8" s="1"/>
  <c r="CW40" i="8" s="1"/>
  <c r="CZ40" i="8" s="1"/>
  <c r="DC40" i="8" s="1"/>
  <c r="DF40" i="8" s="1"/>
  <c r="DI40" i="8" s="1"/>
  <c r="DL40" i="8" s="1"/>
  <c r="DO40" i="8" s="1"/>
  <c r="DR40" i="8" s="1"/>
  <c r="DU40" i="8" s="1"/>
  <c r="DX40" i="8" s="1"/>
  <c r="EA40" i="8" s="1"/>
  <c r="ED40" i="8" s="1"/>
  <c r="B41" i="8"/>
  <c r="E41" i="8" s="1"/>
  <c r="H41" i="8" s="1"/>
  <c r="K41" i="8" s="1"/>
  <c r="N41" i="8" s="1"/>
  <c r="Q41" i="8" s="1"/>
  <c r="T41" i="8" s="1"/>
  <c r="W41" i="8" s="1"/>
  <c r="Z41" i="8" s="1"/>
  <c r="AC41" i="8" s="1"/>
  <c r="AF41" i="8" s="1"/>
  <c r="AI41" i="8" s="1"/>
  <c r="AL41" i="8" s="1"/>
  <c r="AO41" i="8" s="1"/>
  <c r="AR41" i="8" s="1"/>
  <c r="AU41" i="8" s="1"/>
  <c r="AX41" i="8" s="1"/>
  <c r="BA41" i="8" s="1"/>
  <c r="BD41" i="8" s="1"/>
  <c r="BG41" i="8" s="1"/>
  <c r="BJ41" i="8" s="1"/>
  <c r="BM41" i="8" s="1"/>
  <c r="BP41" i="8" s="1"/>
  <c r="BS41" i="8" s="1"/>
  <c r="BV41" i="8" s="1"/>
  <c r="BY41" i="8" s="1"/>
  <c r="CB41" i="8" s="1"/>
  <c r="CH41" i="8" s="1"/>
  <c r="CK41" i="8" s="1"/>
  <c r="CQ41" i="8"/>
  <c r="CT41" i="8" s="1"/>
  <c r="CW41" i="8" s="1"/>
  <c r="CZ41" i="8" s="1"/>
  <c r="DC41" i="8" s="1"/>
  <c r="DF41" i="8" s="1"/>
  <c r="DI41" i="8" s="1"/>
  <c r="DL41" i="8" s="1"/>
  <c r="DO41" i="8" s="1"/>
  <c r="DR41" i="8" s="1"/>
  <c r="DU41" i="8" s="1"/>
  <c r="DX41" i="8" s="1"/>
  <c r="EA41" i="8" s="1"/>
  <c r="ED41" i="8" s="1"/>
  <c r="B42" i="8"/>
  <c r="E42" i="8"/>
  <c r="H42" i="8" s="1"/>
  <c r="K42" i="8" s="1"/>
  <c r="N42" i="8" s="1"/>
  <c r="Q42" i="8" s="1"/>
  <c r="T42" i="8" s="1"/>
  <c r="W42" i="8" s="1"/>
  <c r="Z42" i="8" s="1"/>
  <c r="AC42" i="8" s="1"/>
  <c r="AF42" i="8" s="1"/>
  <c r="AI42" i="8" s="1"/>
  <c r="AL42" i="8" s="1"/>
  <c r="AO42" i="8" s="1"/>
  <c r="AR42" i="8" s="1"/>
  <c r="AU42" i="8" s="1"/>
  <c r="AX42" i="8" s="1"/>
  <c r="BA42" i="8" s="1"/>
  <c r="BD42" i="8" s="1"/>
  <c r="BG42" i="8" s="1"/>
  <c r="BJ42" i="8" s="1"/>
  <c r="BM42" i="8" s="1"/>
  <c r="BP42" i="8" s="1"/>
  <c r="BS42" i="8" s="1"/>
  <c r="BV42" i="8" s="1"/>
  <c r="BY42" i="8" s="1"/>
  <c r="CB42" i="8" s="1"/>
  <c r="CH42" i="8" s="1"/>
  <c r="CK42" i="8" s="1"/>
  <c r="CN42" i="8" s="1"/>
  <c r="CT42" i="8"/>
  <c r="CW42" i="8" s="1"/>
  <c r="CZ42" i="8" s="1"/>
  <c r="DC42" i="8" s="1"/>
  <c r="DF42" i="8" s="1"/>
  <c r="DI42" i="8" s="1"/>
  <c r="DL42" i="8" s="1"/>
  <c r="DO42" i="8" s="1"/>
  <c r="DR42" i="8" s="1"/>
  <c r="DU42" i="8" s="1"/>
  <c r="DX42" i="8" s="1"/>
  <c r="EA42" i="8" s="1"/>
  <c r="ED42" i="8" s="1"/>
  <c r="B43" i="8"/>
  <c r="E43" i="8"/>
  <c r="H43" i="8"/>
  <c r="K43" i="8" s="1"/>
  <c r="N43" i="8" s="1"/>
  <c r="Q43" i="8" s="1"/>
  <c r="T43" i="8" s="1"/>
  <c r="W43" i="8" s="1"/>
  <c r="Z43" i="8" s="1"/>
  <c r="AC43" i="8" s="1"/>
  <c r="AF43" i="8" s="1"/>
  <c r="AI43" i="8" s="1"/>
  <c r="AL43" i="8" s="1"/>
  <c r="AO43" i="8"/>
  <c r="AR43" i="8" s="1"/>
  <c r="AU43" i="8" s="1"/>
  <c r="AX43" i="8" s="1"/>
  <c r="BA43" i="8" s="1"/>
  <c r="BD43" i="8" s="1"/>
  <c r="BG43" i="8" s="1"/>
  <c r="BJ43" i="8" s="1"/>
  <c r="BM43" i="8" s="1"/>
  <c r="BP43" i="8" s="1"/>
  <c r="BS43" i="8" s="1"/>
  <c r="BV43" i="8" s="1"/>
  <c r="BY43" i="8" s="1"/>
  <c r="CB43" i="8" s="1"/>
  <c r="CH43" i="8" s="1"/>
  <c r="CK43" i="8" s="1"/>
  <c r="CN43" i="8" s="1"/>
  <c r="CQ43" i="8" s="1"/>
  <c r="CT43" i="8" s="1"/>
  <c r="CW43" i="8" s="1"/>
  <c r="CZ43" i="8" s="1"/>
  <c r="DC43" i="8" s="1"/>
  <c r="DF43" i="8" s="1"/>
  <c r="DI43" i="8" s="1"/>
  <c r="DL43" i="8" s="1"/>
  <c r="DO43" i="8" s="1"/>
  <c r="DR43" i="8" s="1"/>
  <c r="DU43" i="8" s="1"/>
  <c r="DX43" i="8" s="1"/>
  <c r="EA43" i="8" s="1"/>
  <c r="ED43" i="8" s="1"/>
  <c r="B44" i="8"/>
  <c r="E44" i="8" s="1"/>
  <c r="H44" i="8" s="1"/>
  <c r="K44" i="8" s="1"/>
  <c r="N44" i="8" s="1"/>
  <c r="Q44" i="8" s="1"/>
  <c r="T44" i="8" s="1"/>
  <c r="W44" i="8" s="1"/>
  <c r="Z44" i="8" s="1"/>
  <c r="AC44" i="8" s="1"/>
  <c r="AF44" i="8" s="1"/>
  <c r="AI44" i="8" s="1"/>
  <c r="AL44" i="8" s="1"/>
  <c r="AO44" i="8" s="1"/>
  <c r="AR44" i="8" s="1"/>
  <c r="AU44" i="8"/>
  <c r="AX44" i="8" s="1"/>
  <c r="BA44" i="8" s="1"/>
  <c r="BD44" i="8" s="1"/>
  <c r="BG44" i="8" s="1"/>
  <c r="BJ44" i="8" s="1"/>
  <c r="BM44" i="8" s="1"/>
  <c r="BP44" i="8" s="1"/>
  <c r="BS44" i="8" s="1"/>
  <c r="BV44" i="8" s="1"/>
  <c r="BY44" i="8" s="1"/>
  <c r="CB44" i="8" s="1"/>
  <c r="CH44" i="8" s="1"/>
  <c r="CK44" i="8" s="1"/>
  <c r="CQ44" i="8"/>
  <c r="CT44" i="8" s="1"/>
  <c r="CW44" i="8"/>
  <c r="CZ44" i="8" s="1"/>
  <c r="DC44" i="8" s="1"/>
  <c r="DF44" i="8" s="1"/>
  <c r="DI44" i="8" s="1"/>
  <c r="DL44" i="8" s="1"/>
  <c r="DO44" i="8" s="1"/>
  <c r="DR44" i="8" s="1"/>
  <c r="DU44" i="8" s="1"/>
  <c r="DX44" i="8" s="1"/>
  <c r="EA44" i="8" s="1"/>
  <c r="ED44" i="8" s="1"/>
  <c r="B45" i="8"/>
  <c r="E45" i="8"/>
  <c r="H45" i="8"/>
  <c r="K45" i="8" s="1"/>
  <c r="N45" i="8" s="1"/>
  <c r="Q45" i="8" s="1"/>
  <c r="T45" i="8"/>
  <c r="W45" i="8" s="1"/>
  <c r="Z45" i="8" s="1"/>
  <c r="AC45" i="8"/>
  <c r="AF45" i="8" s="1"/>
  <c r="AI45" i="8" s="1"/>
  <c r="AL45" i="8" s="1"/>
  <c r="AO45" i="8" s="1"/>
  <c r="AR45" i="8" s="1"/>
  <c r="AU45" i="8" s="1"/>
  <c r="AX45" i="8" s="1"/>
  <c r="BA45" i="8" s="1"/>
  <c r="BD45" i="8" s="1"/>
  <c r="BG45" i="8" s="1"/>
  <c r="BJ45" i="8" s="1"/>
  <c r="BM45" i="8" s="1"/>
  <c r="BP45" i="8" s="1"/>
  <c r="BS45" i="8" s="1"/>
  <c r="BV45" i="8" s="1"/>
  <c r="BY45" i="8" s="1"/>
  <c r="CB45" i="8" s="1"/>
  <c r="CH45" i="8" s="1"/>
  <c r="CK45" i="8" s="1"/>
  <c r="CN45" i="8" s="1"/>
  <c r="CQ45" i="8" s="1"/>
  <c r="CT45" i="8" s="1"/>
  <c r="CW45" i="8" s="1"/>
  <c r="CZ45" i="8" s="1"/>
  <c r="DC45" i="8" s="1"/>
  <c r="DF45" i="8" s="1"/>
  <c r="DI45" i="8" s="1"/>
  <c r="DL45" i="8" s="1"/>
  <c r="DO45" i="8" s="1"/>
  <c r="DR45" i="8" s="1"/>
  <c r="DU45" i="8" s="1"/>
  <c r="DX45" i="8" s="1"/>
  <c r="EA45" i="8" s="1"/>
  <c r="ED45" i="8" s="1"/>
  <c r="B46" i="8"/>
  <c r="E46" i="8" s="1"/>
  <c r="H46" i="8" s="1"/>
  <c r="K46" i="8" s="1"/>
  <c r="N46" i="8" s="1"/>
  <c r="Q46" i="8" s="1"/>
  <c r="T46" i="8" s="1"/>
  <c r="W46" i="8" s="1"/>
  <c r="Z46" i="8" s="1"/>
  <c r="AC46" i="8" s="1"/>
  <c r="AF46" i="8" s="1"/>
  <c r="AI46" i="8" s="1"/>
  <c r="AL46" i="8" s="1"/>
  <c r="AO46" i="8" s="1"/>
  <c r="AR46" i="8" s="1"/>
  <c r="AU46" i="8" s="1"/>
  <c r="AX46" i="8" s="1"/>
  <c r="BA46" i="8" s="1"/>
  <c r="BD46" i="8" s="1"/>
  <c r="BG46" i="8" s="1"/>
  <c r="BJ46" i="8" s="1"/>
  <c r="BM46" i="8" s="1"/>
  <c r="BP46" i="8" s="1"/>
  <c r="BS46" i="8" s="1"/>
  <c r="BV46" i="8" s="1"/>
  <c r="BY46" i="8" s="1"/>
  <c r="CB46" i="8" s="1"/>
  <c r="CH46" i="8" s="1"/>
  <c r="CK46" i="8" s="1"/>
  <c r="CN46" i="8" s="1"/>
  <c r="CQ46" i="8" s="1"/>
  <c r="CW46" i="8"/>
  <c r="CZ46" i="8"/>
  <c r="DC46" i="8" s="1"/>
  <c r="DF46" i="8" s="1"/>
  <c r="DI46" i="8" s="1"/>
  <c r="DL46" i="8" s="1"/>
  <c r="DO46" i="8" s="1"/>
  <c r="DR46" i="8" s="1"/>
  <c r="DU46" i="8" s="1"/>
  <c r="DX46" i="8" s="1"/>
  <c r="EA46" i="8" s="1"/>
  <c r="ED46" i="8" s="1"/>
  <c r="B47" i="8"/>
  <c r="E47" i="8" s="1"/>
  <c r="H47" i="8"/>
  <c r="K47" i="8" s="1"/>
  <c r="N47" i="8" s="1"/>
  <c r="Q47" i="8" s="1"/>
  <c r="T47" i="8" s="1"/>
  <c r="W47" i="8" s="1"/>
  <c r="Z47" i="8" s="1"/>
  <c r="AC47" i="8" s="1"/>
  <c r="AF47" i="8" s="1"/>
  <c r="AI47" i="8" s="1"/>
  <c r="AL47" i="8" s="1"/>
  <c r="AO47" i="8" s="1"/>
  <c r="AR47" i="8" s="1"/>
  <c r="AU47" i="8" s="1"/>
  <c r="AX47" i="8" s="1"/>
  <c r="BA47" i="8" s="1"/>
  <c r="BD47" i="8" s="1"/>
  <c r="BG47" i="8" s="1"/>
  <c r="BJ47" i="8" s="1"/>
  <c r="BM47" i="8" s="1"/>
  <c r="BP47" i="8" s="1"/>
  <c r="BS47" i="8" s="1"/>
  <c r="BV47" i="8" s="1"/>
  <c r="BY47" i="8" s="1"/>
  <c r="CB47" i="8" s="1"/>
  <c r="CH47" i="8" s="1"/>
  <c r="CK47" i="8" s="1"/>
  <c r="CN47" i="8" s="1"/>
  <c r="CQ47" i="8" s="1"/>
  <c r="CT47" i="8" s="1"/>
  <c r="CW47" i="8" s="1"/>
  <c r="CZ47" i="8" s="1"/>
  <c r="DC47" i="8" s="1"/>
  <c r="DF47" i="8" s="1"/>
  <c r="DI47" i="8" s="1"/>
  <c r="DL47" i="8" s="1"/>
  <c r="DO47" i="8" s="1"/>
  <c r="DR47" i="8" s="1"/>
  <c r="DU47" i="8" s="1"/>
  <c r="DX47" i="8" s="1"/>
  <c r="EA47" i="8" s="1"/>
  <c r="ED47" i="8" s="1"/>
  <c r="B48" i="8"/>
  <c r="E48" i="8"/>
  <c r="H48" i="8" s="1"/>
  <c r="K48" i="8" s="1"/>
  <c r="N48" i="8" s="1"/>
  <c r="Q48" i="8" s="1"/>
  <c r="T48" i="8" s="1"/>
  <c r="W48" i="8" s="1"/>
  <c r="Z48" i="8" s="1"/>
  <c r="AC48" i="8" s="1"/>
  <c r="AF48" i="8" s="1"/>
  <c r="AI48" i="8" s="1"/>
  <c r="AL48" i="8" s="1"/>
  <c r="AO48" i="8" s="1"/>
  <c r="AR48" i="8" s="1"/>
  <c r="AU48" i="8" s="1"/>
  <c r="AX48" i="8" s="1"/>
  <c r="BA48" i="8" s="1"/>
  <c r="BD48" i="8" s="1"/>
  <c r="BG48" i="8" s="1"/>
  <c r="BJ48" i="8" s="1"/>
  <c r="BM48" i="8" s="1"/>
  <c r="BP48" i="8" s="1"/>
  <c r="BS48" i="8" s="1"/>
  <c r="BV48" i="8" s="1"/>
  <c r="BY48" i="8" s="1"/>
  <c r="CB48" i="8" s="1"/>
  <c r="CH48" i="8" s="1"/>
  <c r="CK48" i="8" s="1"/>
  <c r="CN48" i="8" s="1"/>
  <c r="CQ48" i="8" s="1"/>
  <c r="CW48" i="8"/>
  <c r="CZ48" i="8"/>
  <c r="DC48" i="8" s="1"/>
  <c r="DF48" i="8" s="1"/>
  <c r="DI48" i="8"/>
  <c r="DL48" i="8" s="1"/>
  <c r="DO48" i="8" s="1"/>
  <c r="DR48" i="8" s="1"/>
  <c r="DU48" i="8" s="1"/>
  <c r="DX48" i="8" s="1"/>
  <c r="EA48" i="8" s="1"/>
  <c r="ED48" i="8" s="1"/>
  <c r="B49" i="8"/>
  <c r="E49" i="8" s="1"/>
  <c r="H49" i="8" s="1"/>
  <c r="K49" i="8" s="1"/>
  <c r="N49" i="8" s="1"/>
  <c r="Q49" i="8" s="1"/>
  <c r="T49" i="8" s="1"/>
  <c r="W49" i="8" s="1"/>
  <c r="Z49" i="8"/>
  <c r="AC49" i="8" s="1"/>
  <c r="AF49" i="8" s="1"/>
  <c r="AI49" i="8" s="1"/>
  <c r="AL49" i="8" s="1"/>
  <c r="AO49" i="8" s="1"/>
  <c r="AR49" i="8" s="1"/>
  <c r="AU49" i="8" s="1"/>
  <c r="AX49" i="8" s="1"/>
  <c r="BA49" i="8" s="1"/>
  <c r="BD49" i="8" s="1"/>
  <c r="BG49" i="8" s="1"/>
  <c r="BJ49" i="8" s="1"/>
  <c r="BM49" i="8" s="1"/>
  <c r="BP49" i="8" s="1"/>
  <c r="BS49" i="8" s="1"/>
  <c r="BV49" i="8" s="1"/>
  <c r="BY49" i="8" s="1"/>
  <c r="CB49" i="8" s="1"/>
  <c r="CH49" i="8" s="1"/>
  <c r="CK49" i="8" s="1"/>
  <c r="CQ49" i="8"/>
  <c r="CW49" i="8"/>
  <c r="CZ49" i="8" s="1"/>
  <c r="DC49" i="8" s="1"/>
  <c r="DF49" i="8" s="1"/>
  <c r="DI49" i="8"/>
  <c r="DL49" i="8" s="1"/>
  <c r="DO49" i="8" s="1"/>
  <c r="DR49" i="8" s="1"/>
  <c r="DU49" i="8" s="1"/>
  <c r="DX49" i="8" s="1"/>
  <c r="EA49" i="8" s="1"/>
  <c r="ED49" i="8" s="1"/>
  <c r="B50" i="8"/>
  <c r="E50" i="8" s="1"/>
  <c r="H50" i="8" s="1"/>
  <c r="K50" i="8" s="1"/>
  <c r="N50" i="8" s="1"/>
  <c r="Q50" i="8" s="1"/>
  <c r="T50" i="8" s="1"/>
  <c r="W50" i="8" s="1"/>
  <c r="Z50" i="8"/>
  <c r="AC50" i="8" s="1"/>
  <c r="AF50" i="8" s="1"/>
  <c r="AI50" i="8" s="1"/>
  <c r="AL50" i="8" s="1"/>
  <c r="AO50" i="8" s="1"/>
  <c r="AR50" i="8" s="1"/>
  <c r="AU50" i="8" s="1"/>
  <c r="AX50" i="8" s="1"/>
  <c r="BA50" i="8" s="1"/>
  <c r="BD50" i="8" s="1"/>
  <c r="BG50" i="8" s="1"/>
  <c r="BJ50" i="8" s="1"/>
  <c r="BM50" i="8" s="1"/>
  <c r="BP50" i="8" s="1"/>
  <c r="BS50" i="8" s="1"/>
  <c r="BV50" i="8" s="1"/>
  <c r="BY50" i="8" s="1"/>
  <c r="CB50" i="8" s="1"/>
  <c r="CE50" i="8" s="1"/>
  <c r="CH50" i="8" s="1"/>
  <c r="CK50" i="8" s="1"/>
  <c r="CQ50" i="8"/>
  <c r="CT50" i="8"/>
  <c r="CW50" i="8" s="1"/>
  <c r="CZ50" i="8"/>
  <c r="DC50" i="8" s="1"/>
  <c r="DF50" i="8" s="1"/>
  <c r="DI50" i="8" s="1"/>
  <c r="DL50" i="8" s="1"/>
  <c r="DO50" i="8" s="1"/>
  <c r="DR50" i="8" s="1"/>
  <c r="DU50" i="8" s="1"/>
  <c r="DX50" i="8" s="1"/>
  <c r="EA50" i="8" s="1"/>
  <c r="ED50" i="8" s="1"/>
  <c r="B51" i="8"/>
  <c r="E51" i="8" s="1"/>
  <c r="H51" i="8" s="1"/>
  <c r="K51" i="8" s="1"/>
  <c r="N51" i="8" s="1"/>
  <c r="Q51" i="8" s="1"/>
  <c r="T51" i="8" s="1"/>
  <c r="W51" i="8" s="1"/>
  <c r="Z51" i="8" s="1"/>
  <c r="AC51" i="8" s="1"/>
  <c r="AF51" i="8" s="1"/>
  <c r="AI51" i="8" s="1"/>
  <c r="AL51" i="8" s="1"/>
  <c r="AO51" i="8" s="1"/>
  <c r="AR51" i="8" s="1"/>
  <c r="AU51" i="8" s="1"/>
  <c r="AX51" i="8" s="1"/>
  <c r="BA51" i="8" s="1"/>
  <c r="BD51" i="8" s="1"/>
  <c r="BG51" i="8" s="1"/>
  <c r="BJ51" i="8" s="1"/>
  <c r="BM51" i="8" s="1"/>
  <c r="BS51" i="8"/>
  <c r="BV51" i="8" s="1"/>
  <c r="BY51" i="8" s="1"/>
  <c r="CB51" i="8" s="1"/>
  <c r="CE51" i="8" s="1"/>
  <c r="CH51" i="8" s="1"/>
  <c r="CK51" i="8" s="1"/>
  <c r="CW51" i="8"/>
  <c r="CZ51" i="8"/>
  <c r="DC51" i="8" s="1"/>
  <c r="DF51" i="8"/>
  <c r="DI51" i="8" s="1"/>
  <c r="DL51" i="8" s="1"/>
  <c r="DO51" i="8" s="1"/>
  <c r="DR51" i="8" s="1"/>
  <c r="DU51" i="8" s="1"/>
  <c r="DX51" i="8" s="1"/>
  <c r="EA51" i="8" s="1"/>
  <c r="ED51" i="8" s="1"/>
  <c r="B52" i="8"/>
  <c r="E52" i="8" s="1"/>
  <c r="H52" i="8"/>
  <c r="K52" i="8" s="1"/>
  <c r="N52" i="8" s="1"/>
  <c r="Q52" i="8" s="1"/>
  <c r="T52" i="8" s="1"/>
  <c r="W52" i="8" s="1"/>
  <c r="Z52" i="8" s="1"/>
  <c r="AC52" i="8" s="1"/>
  <c r="AF52" i="8" s="1"/>
  <c r="AI52" i="8" s="1"/>
  <c r="AL52" i="8" s="1"/>
  <c r="AO52" i="8" s="1"/>
  <c r="AR52" i="8" s="1"/>
  <c r="AU52" i="8" s="1"/>
  <c r="AX52" i="8" s="1"/>
  <c r="BA52" i="8" s="1"/>
  <c r="BD52" i="8" s="1"/>
  <c r="BG52" i="8" s="1"/>
  <c r="BJ52" i="8" s="1"/>
  <c r="BM52" i="8" s="1"/>
  <c r="BP52" i="8" s="1"/>
  <c r="BS52" i="8" s="1"/>
  <c r="BV52" i="8" s="1"/>
  <c r="BY52" i="8" s="1"/>
  <c r="CB52" i="8" s="1"/>
  <c r="CE52" i="8" s="1"/>
  <c r="CH52" i="8" s="1"/>
  <c r="CK52" i="8" s="1"/>
  <c r="CN52" i="8" s="1"/>
  <c r="CQ52" i="8" s="1"/>
  <c r="CT52" i="8" s="1"/>
  <c r="CW52" i="8" s="1"/>
  <c r="CZ52" i="8" s="1"/>
  <c r="DC52" i="8" s="1"/>
  <c r="DF52" i="8" s="1"/>
  <c r="DI52" i="8" s="1"/>
  <c r="DL52" i="8" s="1"/>
  <c r="DO52" i="8" s="1"/>
  <c r="DR52" i="8" s="1"/>
  <c r="DU52" i="8" s="1"/>
  <c r="DX52" i="8" s="1"/>
  <c r="EA52" i="8" s="1"/>
  <c r="ED52" i="8" s="1"/>
  <c r="B53" i="8"/>
  <c r="E53" i="8" s="1"/>
  <c r="H53" i="8" s="1"/>
  <c r="K53" i="8" s="1"/>
  <c r="N53" i="8" s="1"/>
  <c r="Q53" i="8" s="1"/>
  <c r="T53" i="8" s="1"/>
  <c r="W53" i="8" s="1"/>
  <c r="Z53" i="8" s="1"/>
  <c r="AC53" i="8" s="1"/>
  <c r="AF53" i="8" s="1"/>
  <c r="AI53" i="8" s="1"/>
  <c r="AL53" i="8" s="1"/>
  <c r="AO53" i="8" s="1"/>
  <c r="AR53" i="8" s="1"/>
  <c r="AU53" i="8" s="1"/>
  <c r="AX53" i="8" s="1"/>
  <c r="BA53" i="8" s="1"/>
  <c r="BD53" i="8" s="1"/>
  <c r="BG53" i="8" s="1"/>
  <c r="BJ53" i="8" s="1"/>
  <c r="BM53" i="8" s="1"/>
  <c r="BP53" i="8" s="1"/>
  <c r="BS53" i="8" s="1"/>
  <c r="BV53" i="8" s="1"/>
  <c r="BY53" i="8" s="1"/>
  <c r="CB53" i="8" s="1"/>
  <c r="CE53" i="8" s="1"/>
  <c r="CH53" i="8" s="1"/>
  <c r="CK53" i="8" s="1"/>
  <c r="CN53" i="8" s="1"/>
  <c r="CQ53" i="8" s="1"/>
  <c r="CW53" i="8"/>
  <c r="CZ53" i="8" s="1"/>
  <c r="DC53" i="8" s="1"/>
  <c r="DF53" i="8" s="1"/>
  <c r="DI53" i="8" s="1"/>
  <c r="DL53" i="8" s="1"/>
  <c r="DO53" i="8" s="1"/>
  <c r="DR53" i="8" s="1"/>
  <c r="DU53" i="8" s="1"/>
  <c r="DX53" i="8" s="1"/>
  <c r="EA53" i="8" s="1"/>
  <c r="ED53" i="8" s="1"/>
  <c r="B54" i="8"/>
  <c r="E54" i="8" s="1"/>
  <c r="H54" i="8"/>
  <c r="K54" i="8"/>
  <c r="N54" i="8" s="1"/>
  <c r="Q54" i="8"/>
  <c r="T54" i="8" s="1"/>
  <c r="W54" i="8" s="1"/>
  <c r="Z54" i="8" s="1"/>
  <c r="AC54" i="8" s="1"/>
  <c r="AF54" i="8" s="1"/>
  <c r="AI54" i="8" s="1"/>
  <c r="AL54" i="8" s="1"/>
  <c r="AO54" i="8" s="1"/>
  <c r="AR54" i="8" s="1"/>
  <c r="AU54" i="8" s="1"/>
  <c r="AX54" i="8" s="1"/>
  <c r="BA54" i="8" s="1"/>
  <c r="BD54" i="8" s="1"/>
  <c r="BG54" i="8" s="1"/>
  <c r="BJ54" i="8" s="1"/>
  <c r="BM54" i="8" s="1"/>
  <c r="BP54" i="8" s="1"/>
  <c r="BS54" i="8" s="1"/>
  <c r="BV54" i="8" s="1"/>
  <c r="BY54" i="8" s="1"/>
  <c r="CB54" i="8" s="1"/>
  <c r="CE54" i="8" s="1"/>
  <c r="CH54" i="8" s="1"/>
  <c r="CK54" i="8" s="1"/>
  <c r="CN54" i="8" s="1"/>
  <c r="CQ54" i="8" s="1"/>
  <c r="CT54" i="8" s="1"/>
  <c r="CW54" i="8" s="1"/>
  <c r="CZ54" i="8" s="1"/>
  <c r="DC54" i="8" s="1"/>
  <c r="DF54" i="8" s="1"/>
  <c r="DI54" i="8" s="1"/>
  <c r="DL54" i="8" s="1"/>
  <c r="DO54" i="8" s="1"/>
  <c r="DR54" i="8" s="1"/>
  <c r="DU54" i="8" s="1"/>
  <c r="DX54" i="8" s="1"/>
  <c r="EA54" i="8" s="1"/>
  <c r="ED54" i="8" s="1"/>
  <c r="B55" i="8"/>
  <c r="E55" i="8" s="1"/>
  <c r="H55" i="8" s="1"/>
  <c r="K55" i="8" s="1"/>
  <c r="N55" i="8" s="1"/>
  <c r="Q55" i="8" s="1"/>
  <c r="T55" i="8" s="1"/>
  <c r="W55" i="8" s="1"/>
  <c r="Z55" i="8" s="1"/>
  <c r="AC55" i="8" s="1"/>
  <c r="AF55" i="8" s="1"/>
  <c r="AI55" i="8" s="1"/>
  <c r="AL55" i="8" s="1"/>
  <c r="AO55" i="8" s="1"/>
  <c r="AR55" i="8" s="1"/>
  <c r="AU55" i="8" s="1"/>
  <c r="AX55" i="8" s="1"/>
  <c r="BA55" i="8" s="1"/>
  <c r="BD55" i="8" s="1"/>
  <c r="BG55" i="8" s="1"/>
  <c r="BJ55" i="8" s="1"/>
  <c r="BM55" i="8" s="1"/>
  <c r="BP55" i="8" s="1"/>
  <c r="BS55" i="8" s="1"/>
  <c r="BV55" i="8" s="1"/>
  <c r="BY55" i="8" s="1"/>
  <c r="CB55" i="8" s="1"/>
  <c r="CE55" i="8" s="1"/>
  <c r="CH55" i="8" s="1"/>
  <c r="CK55" i="8" s="1"/>
  <c r="CN55" i="8" s="1"/>
  <c r="CT55" i="8"/>
  <c r="CW55" i="8" s="1"/>
  <c r="CZ55" i="8" s="1"/>
  <c r="DC55" i="8" s="1"/>
  <c r="DF55" i="8" s="1"/>
  <c r="DI55" i="8" s="1"/>
  <c r="DL55" i="8" s="1"/>
  <c r="DO55" i="8" s="1"/>
  <c r="DR55" i="8" s="1"/>
  <c r="DU55" i="8" s="1"/>
  <c r="DX55" i="8" s="1"/>
  <c r="EA55" i="8" s="1"/>
  <c r="ED55" i="8" s="1"/>
  <c r="B56" i="8"/>
  <c r="E56" i="8" s="1"/>
  <c r="H56" i="8" s="1"/>
  <c r="K56" i="8" s="1"/>
  <c r="N56" i="8" s="1"/>
  <c r="Q56" i="8" s="1"/>
  <c r="T56" i="8" s="1"/>
  <c r="W56" i="8" s="1"/>
  <c r="Z56" i="8" s="1"/>
  <c r="AC56" i="8" s="1"/>
  <c r="AF56" i="8" s="1"/>
  <c r="AI56" i="8" s="1"/>
  <c r="AL56" i="8" s="1"/>
  <c r="AO56" i="8" s="1"/>
  <c r="AR56" i="8" s="1"/>
  <c r="AU56" i="8" s="1"/>
  <c r="AX56" i="8" s="1"/>
  <c r="BA56" i="8" s="1"/>
  <c r="BD56" i="8" s="1"/>
  <c r="BG56" i="8" s="1"/>
  <c r="BJ56" i="8" s="1"/>
  <c r="BM56" i="8" s="1"/>
  <c r="BP56" i="8" s="1"/>
  <c r="BS56" i="8" s="1"/>
  <c r="BV56" i="8" s="1"/>
  <c r="BY56" i="8" s="1"/>
  <c r="CB56" i="8" s="1"/>
  <c r="CE56" i="8" s="1"/>
  <c r="CH56" i="8" s="1"/>
  <c r="CK56" i="8" s="1"/>
  <c r="CN56" i="8" s="1"/>
  <c r="CQ56" i="8" s="1"/>
  <c r="CT56" i="8" s="1"/>
  <c r="CW56" i="8" s="1"/>
  <c r="CZ56" i="8" s="1"/>
  <c r="DC56" i="8" s="1"/>
  <c r="DF56" i="8" s="1"/>
  <c r="DI56" i="8" s="1"/>
  <c r="DL56" i="8" s="1"/>
  <c r="DO56" i="8" s="1"/>
  <c r="DR56" i="8" s="1"/>
  <c r="DU56" i="8" s="1"/>
  <c r="DX56" i="8" s="1"/>
  <c r="EA56" i="8" s="1"/>
  <c r="ED56" i="8" s="1"/>
  <c r="Z57" i="8"/>
  <c r="AC57" i="8" s="1"/>
  <c r="AF57" i="8" s="1"/>
  <c r="AI57" i="8" s="1"/>
  <c r="AL57" i="8" s="1"/>
  <c r="AO57" i="8" s="1"/>
  <c r="AR57" i="8" s="1"/>
  <c r="AU57" i="8" s="1"/>
  <c r="AX57" i="8" s="1"/>
  <c r="BA57" i="8" s="1"/>
  <c r="BD57" i="8" s="1"/>
  <c r="BG57" i="8" s="1"/>
  <c r="BJ57" i="8" s="1"/>
  <c r="BM57" i="8" s="1"/>
  <c r="BP57" i="8" s="1"/>
  <c r="BS57" i="8" s="1"/>
  <c r="BV57" i="8" s="1"/>
  <c r="BY57" i="8" s="1"/>
  <c r="CB57" i="8" s="1"/>
  <c r="CE57" i="8" s="1"/>
  <c r="CH57" i="8" s="1"/>
  <c r="CK57" i="8" s="1"/>
  <c r="CN57" i="8" s="1"/>
  <c r="CQ57" i="8" s="1"/>
  <c r="CT57" i="8" s="1"/>
  <c r="CW57" i="8" s="1"/>
  <c r="CZ57" i="8" s="1"/>
  <c r="DC57" i="8" s="1"/>
  <c r="DF57" i="8" s="1"/>
  <c r="DI57" i="8" s="1"/>
  <c r="DL57" i="8" s="1"/>
  <c r="DO57" i="8" s="1"/>
  <c r="DR57" i="8" s="1"/>
  <c r="DU57" i="8" s="1"/>
  <c r="DX57" i="8" s="1"/>
  <c r="EA57" i="8" s="1"/>
  <c r="ED57" i="8" s="1"/>
  <c r="EV66" i="8"/>
  <c r="EV67" i="8"/>
  <c r="EV68" i="8"/>
  <c r="EV69" i="8"/>
  <c r="EV70" i="8"/>
  <c r="EV71" i="8"/>
  <c r="EV72" i="8"/>
  <c r="EV73" i="8"/>
  <c r="EV74" i="8"/>
  <c r="EV75" i="8"/>
  <c r="EV76" i="8"/>
  <c r="EV77" i="8"/>
  <c r="EV78" i="8"/>
  <c r="EV79" i="8"/>
  <c r="EV80" i="8"/>
  <c r="EV81" i="8"/>
  <c r="EV82" i="8"/>
  <c r="EV83" i="8"/>
  <c r="EV84" i="8"/>
  <c r="EV85" i="8"/>
  <c r="EV86" i="8"/>
  <c r="EV87" i="8"/>
  <c r="EV88" i="8"/>
  <c r="EV89" i="8"/>
  <c r="EV90" i="8"/>
  <c r="EV91" i="8"/>
  <c r="EV92" i="8"/>
  <c r="EV93" i="8"/>
  <c r="EV94" i="8"/>
  <c r="EV95" i="8"/>
  <c r="EV96" i="8"/>
  <c r="EV97" i="8"/>
  <c r="EV98" i="8"/>
  <c r="EV99" i="8"/>
  <c r="EV100" i="8"/>
  <c r="EV101" i="8"/>
  <c r="EV102" i="8"/>
  <c r="EV103" i="8"/>
  <c r="EV104" i="8"/>
  <c r="EV105" i="8"/>
  <c r="EV106" i="8"/>
  <c r="EV107" i="8"/>
  <c r="EV108" i="8"/>
  <c r="EV109" i="8"/>
  <c r="EV110" i="8"/>
  <c r="EV111" i="8"/>
  <c r="EV112" i="8"/>
  <c r="EV113" i="8"/>
  <c r="EV114" i="8"/>
  <c r="EV115" i="8"/>
  <c r="EV116" i="8"/>
  <c r="EV117" i="8"/>
  <c r="EV118" i="8"/>
  <c r="EV119" i="8"/>
  <c r="EV120" i="8"/>
  <c r="EV121" i="8"/>
  <c r="EV122" i="8"/>
  <c r="EV123" i="8"/>
  <c r="EV124" i="8"/>
  <c r="EV125" i="8"/>
  <c r="EV126" i="8"/>
  <c r="EV127" i="8"/>
  <c r="EV128" i="8"/>
  <c r="EV129" i="8"/>
  <c r="EV130" i="8"/>
  <c r="EV131" i="8"/>
  <c r="EV132" i="8"/>
  <c r="EV133" i="8"/>
  <c r="EV134" i="8"/>
  <c r="EV135" i="8"/>
  <c r="EV136" i="8"/>
  <c r="EV137" i="8"/>
  <c r="EV138" i="8"/>
  <c r="EV139" i="8"/>
  <c r="EM66" i="8"/>
  <c r="EM67" i="8"/>
  <c r="EM68" i="8"/>
  <c r="EM69" i="8"/>
  <c r="EM70" i="8"/>
  <c r="EM71" i="8"/>
  <c r="EM72" i="8"/>
  <c r="EM73" i="8"/>
  <c r="EM74" i="8"/>
  <c r="EM75" i="8"/>
  <c r="EM76" i="8"/>
  <c r="EM77" i="8"/>
  <c r="EM78" i="8"/>
  <c r="EM79" i="8"/>
  <c r="EM80" i="8"/>
  <c r="EM81" i="8"/>
  <c r="EM82" i="8"/>
  <c r="EM83" i="8"/>
  <c r="EM84" i="8"/>
  <c r="EM85" i="8"/>
  <c r="EM86" i="8"/>
  <c r="EM87" i="8"/>
  <c r="EM88" i="8"/>
  <c r="EM89" i="8"/>
  <c r="EM90" i="8"/>
  <c r="EM91" i="8"/>
  <c r="EM92" i="8"/>
  <c r="EM93" i="8"/>
  <c r="EM94" i="8"/>
  <c r="EM95" i="8"/>
  <c r="EM96" i="8"/>
  <c r="EM97" i="8"/>
  <c r="EM98" i="8"/>
  <c r="EM99" i="8"/>
  <c r="EM100" i="8"/>
  <c r="EM101" i="8"/>
  <c r="EM102" i="8"/>
  <c r="EM103" i="8"/>
  <c r="EM104" i="8"/>
  <c r="EM105" i="8"/>
  <c r="EM106" i="8"/>
  <c r="EM107" i="8"/>
  <c r="EM108" i="8"/>
  <c r="EM109" i="8"/>
  <c r="EM110" i="8"/>
  <c r="EM111" i="8"/>
  <c r="EM112" i="8"/>
  <c r="EM113" i="8"/>
  <c r="EM114" i="8"/>
  <c r="EM115" i="8"/>
  <c r="EM116" i="8"/>
  <c r="EM117" i="8"/>
  <c r="EM118" i="8"/>
  <c r="EM119" i="8"/>
  <c r="EM120" i="8"/>
  <c r="EM121" i="8"/>
  <c r="EM122" i="8"/>
  <c r="EM123" i="8"/>
  <c r="EM124" i="8"/>
  <c r="EM125" i="8"/>
  <c r="EM126" i="8"/>
  <c r="EM127" i="8"/>
  <c r="EM128" i="8"/>
  <c r="EM129" i="8"/>
  <c r="EM130" i="8"/>
  <c r="EM131" i="8"/>
  <c r="EM132" i="8"/>
  <c r="EM133" i="8"/>
  <c r="EM134" i="8"/>
  <c r="EM135" i="8"/>
  <c r="EM136" i="8"/>
  <c r="EM137" i="8"/>
  <c r="EM138" i="8"/>
  <c r="EM139" i="8"/>
  <c r="EM140" i="8"/>
  <c r="EM141" i="8"/>
  <c r="EM142" i="8"/>
  <c r="EM143" i="8"/>
  <c r="EM144" i="8"/>
  <c r="EM145" i="8"/>
  <c r="EM146" i="8"/>
  <c r="EM147" i="8"/>
  <c r="EM148" i="8"/>
  <c r="EM149" i="8"/>
  <c r="EM150" i="8"/>
  <c r="EM151" i="8"/>
  <c r="EM152" i="8"/>
  <c r="EM153" i="8"/>
  <c r="EM154" i="8"/>
  <c r="EM155" i="8"/>
  <c r="EM156" i="8"/>
  <c r="EM157" i="8"/>
  <c r="EM158" i="8"/>
  <c r="EM159" i="8"/>
  <c r="EM160" i="8"/>
  <c r="EM161" i="8"/>
  <c r="EM162" i="8"/>
  <c r="EM163" i="8"/>
  <c r="EM164" i="8"/>
  <c r="EM165" i="8"/>
  <c r="EM166" i="8"/>
  <c r="EM167" i="8"/>
  <c r="EM168" i="8"/>
  <c r="EM169" i="8"/>
  <c r="EM170" i="8"/>
  <c r="EM171" i="8"/>
  <c r="EM172" i="8"/>
  <c r="EM173" i="8"/>
  <c r="EM174" i="8"/>
  <c r="EM175" i="8"/>
  <c r="EM176" i="8"/>
  <c r="EM177" i="8"/>
  <c r="EM178" i="8"/>
  <c r="EM179" i="8"/>
  <c r="EM180" i="8"/>
  <c r="EM181" i="8"/>
  <c r="EM182" i="8"/>
  <c r="EM183" i="8"/>
  <c r="EM184" i="8"/>
  <c r="ES11" i="8" l="1"/>
  <c r="EV11" i="8" s="1"/>
  <c r="EY11" i="8" s="1"/>
  <c r="FB11" i="8" s="1"/>
  <c r="FE11" i="8" s="1"/>
  <c r="FH11" i="8" s="1"/>
  <c r="FK11" i="8" s="1"/>
  <c r="FN11" i="8" s="1"/>
  <c r="FQ11" i="8" s="1"/>
  <c r="FT11" i="8" s="1"/>
  <c r="FW11" i="8" s="1"/>
  <c r="ES16" i="8"/>
  <c r="EV16" i="8" s="1"/>
  <c r="EY16" i="8" s="1"/>
  <c r="FB16" i="8" s="1"/>
  <c r="FE16" i="8" s="1"/>
  <c r="FH16" i="8" s="1"/>
  <c r="FK16" i="8" s="1"/>
  <c r="FN16" i="8" s="1"/>
  <c r="FQ16" i="8" s="1"/>
  <c r="FT16" i="8" s="1"/>
  <c r="FW16" i="8" s="1"/>
  <c r="ES9" i="8"/>
  <c r="EV9" i="8" s="1"/>
  <c r="EY9" i="8" s="1"/>
  <c r="FB9" i="8" s="1"/>
  <c r="FE9" i="8" s="1"/>
  <c r="FH9" i="8" s="1"/>
  <c r="FK9" i="8" s="1"/>
  <c r="FN9" i="8" s="1"/>
  <c r="FQ9" i="8" s="1"/>
  <c r="FT9" i="8" s="1"/>
  <c r="FW9" i="8" s="1"/>
  <c r="ES19" i="8"/>
  <c r="EV19" i="8" s="1"/>
  <c r="EY19" i="8" s="1"/>
  <c r="FB19" i="8" s="1"/>
  <c r="FE19" i="8" s="1"/>
  <c r="FH19" i="8" s="1"/>
  <c r="FK19" i="8" s="1"/>
  <c r="FN19" i="8" s="1"/>
  <c r="FQ19" i="8" s="1"/>
  <c r="FT19" i="8" s="1"/>
  <c r="FW19" i="8" s="1"/>
  <c r="ES8" i="8"/>
  <c r="EV8" i="8" s="1"/>
  <c r="EY8" i="8" s="1"/>
  <c r="FB8" i="8" s="1"/>
  <c r="FE8" i="8" s="1"/>
  <c r="FH8" i="8" s="1"/>
  <c r="FK8" i="8" s="1"/>
  <c r="FN8" i="8" s="1"/>
  <c r="FQ8" i="8" s="1"/>
  <c r="FT8" i="8" s="1"/>
  <c r="FW8" i="8" s="1"/>
  <c r="ES15" i="8"/>
  <c r="EV15" i="8" s="1"/>
  <c r="EY15" i="8" s="1"/>
  <c r="FB15" i="8" s="1"/>
  <c r="FE15" i="8" s="1"/>
  <c r="FH15" i="8" s="1"/>
  <c r="FK15" i="8" s="1"/>
  <c r="FN15" i="8" s="1"/>
  <c r="FQ15" i="8" s="1"/>
  <c r="FT15" i="8" s="1"/>
  <c r="FW15" i="8" s="1"/>
  <c r="ES21" i="8"/>
  <c r="EV21" i="8" s="1"/>
  <c r="EY21" i="8" s="1"/>
  <c r="FB21" i="8" s="1"/>
  <c r="FE21" i="8" s="1"/>
  <c r="FH21" i="8" s="1"/>
  <c r="FK21" i="8" s="1"/>
  <c r="FN21" i="8" s="1"/>
  <c r="FQ21" i="8" s="1"/>
  <c r="FT21" i="8" s="1"/>
  <c r="FW21" i="8" s="1"/>
  <c r="ES7" i="8"/>
  <c r="EV7" i="8" s="1"/>
  <c r="EY7" i="8" s="1"/>
  <c r="FB7" i="8" s="1"/>
  <c r="FE7" i="8" s="1"/>
  <c r="FH7" i="8" s="1"/>
  <c r="FK7" i="8" s="1"/>
  <c r="FN7" i="8" s="1"/>
  <c r="FQ7" i="8" s="1"/>
  <c r="FT7" i="8" s="1"/>
  <c r="FW7" i="8" s="1"/>
  <c r="ES17" i="8"/>
  <c r="EV17" i="8" s="1"/>
  <c r="EY17" i="8" s="1"/>
  <c r="FB17" i="8" s="1"/>
  <c r="FE17" i="8" s="1"/>
  <c r="FH17" i="8" s="1"/>
  <c r="FK17" i="8" s="1"/>
  <c r="FN17" i="8" s="1"/>
  <c r="FQ17" i="8" s="1"/>
  <c r="FT17" i="8" s="1"/>
  <c r="FW17" i="8" s="1"/>
  <c r="ES23" i="8"/>
  <c r="EV23" i="8" s="1"/>
  <c r="EY23" i="8" s="1"/>
  <c r="FB23" i="8" s="1"/>
  <c r="FE23" i="8" s="1"/>
  <c r="FH23" i="8" s="1"/>
  <c r="FK23" i="8" s="1"/>
  <c r="FN23" i="8" s="1"/>
  <c r="FQ23" i="8" s="1"/>
  <c r="FT23" i="8" s="1"/>
  <c r="FW23" i="8" s="1"/>
  <c r="ES6" i="8"/>
  <c r="EV6" i="8" s="1"/>
  <c r="EY6" i="8" s="1"/>
  <c r="FB6" i="8" s="1"/>
  <c r="FE6" i="8" s="1"/>
  <c r="FH6" i="8" s="1"/>
  <c r="FK6" i="8" s="1"/>
  <c r="FN6" i="8" s="1"/>
  <c r="FQ6" i="8" s="1"/>
  <c r="FT6" i="8" s="1"/>
  <c r="FW6" i="8" s="1"/>
  <c r="ES14" i="8"/>
  <c r="EV14" i="8" s="1"/>
  <c r="EY14" i="8" s="1"/>
  <c r="FB14" i="8" s="1"/>
  <c r="FE14" i="8" s="1"/>
  <c r="FH14" i="8" s="1"/>
  <c r="FK14" i="8" s="1"/>
  <c r="FN14" i="8" s="1"/>
  <c r="FQ14" i="8" s="1"/>
  <c r="FT14" i="8" s="1"/>
  <c r="FW14" i="8" s="1"/>
  <c r="ES24" i="8"/>
  <c r="EV24" i="8" s="1"/>
  <c r="EY24" i="8" s="1"/>
  <c r="FB24" i="8" s="1"/>
  <c r="FE24" i="8" s="1"/>
  <c r="FH24" i="8" s="1"/>
  <c r="FK24" i="8" s="1"/>
  <c r="FN24" i="8" s="1"/>
  <c r="FQ24" i="8" s="1"/>
  <c r="FT24" i="8" s="1"/>
  <c r="FW24" i="8" s="1"/>
  <c r="ES22" i="8"/>
  <c r="EV22" i="8" s="1"/>
  <c r="EY22" i="8" s="1"/>
  <c r="FB22" i="8" s="1"/>
  <c r="FE22" i="8" s="1"/>
  <c r="FH22" i="8" s="1"/>
  <c r="FK22" i="8" s="1"/>
  <c r="FN22" i="8" s="1"/>
  <c r="FQ22" i="8" s="1"/>
  <c r="FT22" i="8" s="1"/>
  <c r="FW22" i="8" s="1"/>
  <c r="ES20" i="8"/>
  <c r="EV20" i="8" s="1"/>
  <c r="EY20" i="8" s="1"/>
  <c r="FB20" i="8" s="1"/>
  <c r="FE20" i="8" s="1"/>
  <c r="FH20" i="8" s="1"/>
  <c r="FK20" i="8" s="1"/>
  <c r="FN20" i="8" s="1"/>
  <c r="FQ20" i="8" s="1"/>
  <c r="FT20" i="8" s="1"/>
  <c r="FW20" i="8" s="1"/>
  <c r="ES13" i="8"/>
  <c r="EV13" i="8" s="1"/>
  <c r="EY13" i="8" s="1"/>
  <c r="FB13" i="8" s="1"/>
  <c r="FE13" i="8" s="1"/>
  <c r="FH13" i="8" s="1"/>
  <c r="FK13" i="8" s="1"/>
  <c r="FN13" i="8" s="1"/>
  <c r="FQ13" i="8" s="1"/>
  <c r="FT13" i="8" s="1"/>
  <c r="FW13" i="8" s="1"/>
  <c r="EV12" i="8"/>
  <c r="EY12" i="8" s="1"/>
  <c r="FB12" i="8" s="1"/>
  <c r="FE12" i="8" s="1"/>
  <c r="FH12" i="8" s="1"/>
  <c r="FK12" i="8" s="1"/>
  <c r="FN12" i="8" s="1"/>
  <c r="FQ12" i="8" s="1"/>
  <c r="FT12" i="8" s="1"/>
  <c r="EV42" i="8"/>
  <c r="EY42" i="8" s="1"/>
  <c r="FB42" i="8" s="1"/>
  <c r="FE42" i="8" s="1"/>
  <c r="FH42" i="8" s="1"/>
  <c r="FK42" i="8" s="1"/>
  <c r="FN42" i="8" s="1"/>
  <c r="FQ42" i="8" s="1"/>
  <c r="FT42" i="8" s="1"/>
  <c r="EV47" i="8"/>
  <c r="EY47" i="8" s="1"/>
  <c r="FB47" i="8" s="1"/>
  <c r="FE47" i="8" s="1"/>
  <c r="FH47" i="8" s="1"/>
  <c r="FK47" i="8" s="1"/>
  <c r="FN47" i="8" s="1"/>
  <c r="FQ47" i="8" s="1"/>
  <c r="FT47" i="8" s="1"/>
  <c r="EV43" i="8"/>
  <c r="EY43" i="8" s="1"/>
  <c r="FB43" i="8" s="1"/>
  <c r="FE43" i="8" s="1"/>
  <c r="FH43" i="8" s="1"/>
  <c r="FK43" i="8" s="1"/>
  <c r="FN43" i="8" s="1"/>
  <c r="FQ43" i="8" s="1"/>
  <c r="FT43" i="8" s="1"/>
  <c r="EV51" i="8"/>
  <c r="EY51" i="8" s="1"/>
  <c r="FB51" i="8" s="1"/>
  <c r="FE51" i="8" s="1"/>
  <c r="FH51" i="8" s="1"/>
  <c r="FK51" i="8" s="1"/>
  <c r="FN51" i="8" s="1"/>
  <c r="FQ51" i="8" s="1"/>
  <c r="FT51" i="8" s="1"/>
  <c r="EV27" i="8"/>
  <c r="EY27" i="8" s="1"/>
  <c r="FB27" i="8" s="1"/>
  <c r="FE27" i="8" s="1"/>
  <c r="FH27" i="8" s="1"/>
  <c r="FK27" i="8" s="1"/>
  <c r="FN27" i="8" s="1"/>
  <c r="FQ27" i="8" s="1"/>
  <c r="FT27" i="8" s="1"/>
  <c r="FW27" i="8" s="1"/>
  <c r="EV4" i="8"/>
  <c r="EY4" i="8" s="1"/>
  <c r="FB4" i="8" s="1"/>
  <c r="FE4" i="8" s="1"/>
  <c r="FH4" i="8" s="1"/>
  <c r="FK4" i="8" s="1"/>
  <c r="FN4" i="8" s="1"/>
  <c r="FQ4" i="8" s="1"/>
  <c r="FT4" i="8" s="1"/>
  <c r="EV35" i="8"/>
  <c r="EY35" i="8" s="1"/>
  <c r="FB35" i="8" s="1"/>
  <c r="FE35" i="8" s="1"/>
  <c r="FH35" i="8" s="1"/>
  <c r="FK35" i="8" s="1"/>
  <c r="FN35" i="8" s="1"/>
  <c r="FQ35" i="8" s="1"/>
  <c r="FT35" i="8" s="1"/>
  <c r="EV52" i="8"/>
  <c r="EY52" i="8" s="1"/>
  <c r="FB52" i="8" s="1"/>
  <c r="FE52" i="8" s="1"/>
  <c r="FH52" i="8" s="1"/>
  <c r="FK52" i="8" s="1"/>
  <c r="FN52" i="8" s="1"/>
  <c r="FQ52" i="8" s="1"/>
  <c r="FT52" i="8" s="1"/>
  <c r="EV50" i="8"/>
  <c r="EY50" i="8" s="1"/>
  <c r="FB50" i="8" s="1"/>
  <c r="FE50" i="8" s="1"/>
  <c r="FH50" i="8" s="1"/>
  <c r="FK50" i="8" s="1"/>
  <c r="FN50" i="8" s="1"/>
  <c r="FQ50" i="8" s="1"/>
  <c r="FT50" i="8" s="1"/>
  <c r="EV34" i="8"/>
  <c r="EY34" i="8" s="1"/>
  <c r="FB34" i="8" s="1"/>
  <c r="FE34" i="8" s="1"/>
  <c r="FH34" i="8" s="1"/>
  <c r="FK34" i="8" s="1"/>
  <c r="FN34" i="8" s="1"/>
  <c r="FQ34" i="8" s="1"/>
  <c r="FT34" i="8" s="1"/>
  <c r="EV44" i="8"/>
  <c r="EY44" i="8" s="1"/>
  <c r="FB44" i="8" s="1"/>
  <c r="FE44" i="8" s="1"/>
  <c r="FH44" i="8" s="1"/>
  <c r="FK44" i="8" s="1"/>
  <c r="FN44" i="8" s="1"/>
  <c r="FQ44" i="8" s="1"/>
  <c r="FT44" i="8" s="1"/>
  <c r="EV18" i="8"/>
  <c r="EY18" i="8" s="1"/>
  <c r="FB18" i="8" s="1"/>
  <c r="FE18" i="8" s="1"/>
  <c r="FH18" i="8" s="1"/>
  <c r="FK18" i="8" s="1"/>
  <c r="FN18" i="8" s="1"/>
  <c r="FQ18" i="8" s="1"/>
  <c r="FT18" i="8" s="1"/>
  <c r="FW18" i="8" s="1"/>
  <c r="EV36" i="8"/>
  <c r="EY36" i="8" s="1"/>
  <c r="FB36" i="8" s="1"/>
  <c r="FE36" i="8" s="1"/>
  <c r="FH36" i="8" s="1"/>
  <c r="FK36" i="8" s="1"/>
  <c r="FN36" i="8" s="1"/>
  <c r="FQ36" i="8" s="1"/>
  <c r="FT36" i="8" s="1"/>
  <c r="ED26" i="8"/>
  <c r="EG26" i="8" s="1"/>
  <c r="EJ26" i="8" s="1"/>
  <c r="EM26" i="8" s="1"/>
  <c r="EP26" i="8" s="1"/>
  <c r="ES26" i="8" s="1"/>
  <c r="EV26" i="8" l="1"/>
  <c r="EY26" i="8" s="1"/>
  <c r="FB26" i="8" s="1"/>
  <c r="FE26" i="8" s="1"/>
  <c r="FH26" i="8" s="1"/>
  <c r="FK26" i="8" s="1"/>
  <c r="FN26" i="8" s="1"/>
  <c r="FQ26" i="8" s="1"/>
  <c r="FT26" i="8" s="1"/>
  <c r="FW26" i="8" s="1"/>
  <c r="K28" i="11"/>
  <c r="N28" i="11" s="1"/>
  <c r="Q28" i="11" s="1"/>
  <c r="T28" i="11" s="1"/>
  <c r="W28" i="11" s="1"/>
  <c r="Z28" i="11" s="1"/>
  <c r="AC28" i="11" s="1"/>
  <c r="AF28" i="11" s="1"/>
  <c r="AI28" i="11" s="1"/>
  <c r="AL28" i="11" s="1"/>
  <c r="AO28" i="11" s="1"/>
  <c r="E34" i="11"/>
  <c r="H34" i="11" s="1"/>
  <c r="K34" i="11" s="1"/>
  <c r="N34" i="11" s="1"/>
  <c r="Q34" i="11" s="1"/>
  <c r="T34" i="11" s="1"/>
  <c r="W34" i="11" s="1"/>
  <c r="Z34" i="11" s="1"/>
  <c r="AC34" i="11" s="1"/>
  <c r="AF34" i="11" s="1"/>
  <c r="AI34" i="11" s="1"/>
  <c r="AL34" i="11" s="1"/>
  <c r="AO34" i="11" s="1"/>
  <c r="E35" i="11"/>
  <c r="H35" i="11" s="1"/>
  <c r="K35" i="11" s="1"/>
  <c r="N35" i="11" s="1"/>
  <c r="Q35" i="11" s="1"/>
  <c r="T35" i="11" s="1"/>
  <c r="W35" i="11" s="1"/>
  <c r="Z35" i="11" s="1"/>
  <c r="AC35" i="11" s="1"/>
  <c r="AF35" i="11" s="1"/>
  <c r="AI35" i="11" s="1"/>
  <c r="AL35" i="11" s="1"/>
  <c r="AO35" i="11" s="1"/>
  <c r="E36" i="11"/>
  <c r="H36" i="11" s="1"/>
  <c r="K36" i="11" s="1"/>
  <c r="N36" i="11" s="1"/>
  <c r="Q36" i="11" s="1"/>
  <c r="T36" i="11" s="1"/>
  <c r="W36" i="11" s="1"/>
  <c r="Z36" i="11" s="1"/>
  <c r="AC36" i="11" s="1"/>
  <c r="AF36" i="11" s="1"/>
  <c r="AI36" i="11" s="1"/>
  <c r="AL36" i="11" s="1"/>
  <c r="AO36" i="11" s="1"/>
  <c r="E37" i="11"/>
  <c r="H37" i="11" s="1"/>
  <c r="K37" i="11" s="1"/>
  <c r="N37" i="11" s="1"/>
  <c r="Q37" i="11" s="1"/>
  <c r="T37" i="11" s="1"/>
  <c r="W37" i="11" s="1"/>
  <c r="Z37" i="11" s="1"/>
  <c r="AC37" i="11" s="1"/>
  <c r="AF37" i="11" s="1"/>
  <c r="AI37" i="11" s="1"/>
  <c r="AL37" i="11" s="1"/>
  <c r="AO37" i="11" s="1"/>
  <c r="E38" i="11"/>
  <c r="H38" i="11" s="1"/>
  <c r="K38" i="11" s="1"/>
  <c r="N38" i="11" s="1"/>
  <c r="Q38" i="11" s="1"/>
  <c r="T38" i="11" s="1"/>
  <c r="W38" i="11" s="1"/>
  <c r="Z38" i="11" s="1"/>
  <c r="AC38" i="11" s="1"/>
  <c r="AF38" i="11" s="1"/>
  <c r="AI38" i="11" s="1"/>
  <c r="AL38" i="11" s="1"/>
  <c r="AO38" i="11" s="1"/>
  <c r="E39" i="11"/>
  <c r="H39" i="11" s="1"/>
  <c r="K39" i="11" s="1"/>
  <c r="N39" i="11" s="1"/>
  <c r="Q39" i="11" s="1"/>
  <c r="T39" i="11" s="1"/>
  <c r="W39" i="11" s="1"/>
  <c r="Z39" i="11" s="1"/>
  <c r="AC39" i="11" s="1"/>
  <c r="AF39" i="11" s="1"/>
  <c r="AI39" i="11" s="1"/>
  <c r="AL39" i="11" s="1"/>
  <c r="AO39" i="11" s="1"/>
  <c r="E40" i="11"/>
  <c r="H40" i="11" s="1"/>
  <c r="K40" i="11" s="1"/>
  <c r="N40" i="11" s="1"/>
  <c r="Q40" i="11" s="1"/>
  <c r="T40" i="11" s="1"/>
  <c r="W40" i="11" s="1"/>
  <c r="Z40" i="11" s="1"/>
  <c r="AC40" i="11" s="1"/>
  <c r="AF40" i="11" s="1"/>
  <c r="AI40" i="11" s="1"/>
  <c r="AL40" i="11" s="1"/>
  <c r="AO40" i="11" s="1"/>
  <c r="E41" i="11"/>
  <c r="H41" i="11" s="1"/>
  <c r="K41" i="11" s="1"/>
  <c r="N41" i="11" s="1"/>
  <c r="Q41" i="11" s="1"/>
  <c r="T41" i="11" s="1"/>
  <c r="W41" i="11" s="1"/>
  <c r="Z41" i="11" s="1"/>
  <c r="AC41" i="11" s="1"/>
  <c r="AF41" i="11" s="1"/>
  <c r="AI41" i="11" s="1"/>
  <c r="AL41" i="11" s="1"/>
  <c r="AO41" i="11" s="1"/>
  <c r="E43" i="11"/>
  <c r="H43" i="11" s="1"/>
  <c r="K43" i="11" s="1"/>
  <c r="N43" i="11" s="1"/>
  <c r="Q43" i="11" s="1"/>
  <c r="T43" i="11" s="1"/>
  <c r="W43" i="11" s="1"/>
  <c r="Z43" i="11" s="1"/>
  <c r="AC43" i="11" s="1"/>
  <c r="AF43" i="11" s="1"/>
  <c r="AI43" i="11" s="1"/>
  <c r="AL43" i="11" s="1"/>
  <c r="AO43" i="11" s="1"/>
  <c r="E44" i="11"/>
  <c r="H44" i="11" s="1"/>
  <c r="K44" i="11" s="1"/>
  <c r="N44" i="11" s="1"/>
  <c r="Q44" i="11" s="1"/>
  <c r="T44" i="11" s="1"/>
  <c r="W44" i="11" s="1"/>
  <c r="Z44" i="11" s="1"/>
  <c r="AC44" i="11" s="1"/>
  <c r="AF44" i="11" s="1"/>
  <c r="AI44" i="11" s="1"/>
  <c r="AL44" i="11" s="1"/>
  <c r="AO44" i="11" s="1"/>
  <c r="E45" i="11"/>
  <c r="H45" i="11" s="1"/>
  <c r="K45" i="11" s="1"/>
  <c r="N45" i="11" s="1"/>
  <c r="Q45" i="11" s="1"/>
  <c r="T45" i="11" s="1"/>
  <c r="E46" i="11"/>
  <c r="H46" i="11" s="1"/>
  <c r="K46" i="11" s="1"/>
  <c r="N46" i="11" s="1"/>
  <c r="Q46" i="11" s="1"/>
  <c r="T46" i="11" s="1"/>
  <c r="W46" i="11" s="1"/>
  <c r="Z46" i="11" s="1"/>
  <c r="AC46" i="11" s="1"/>
  <c r="AF46" i="11" s="1"/>
  <c r="AI46" i="11" s="1"/>
  <c r="AL46" i="11" s="1"/>
  <c r="AO46" i="11" s="1"/>
  <c r="E47" i="11"/>
  <c r="H47" i="11" s="1"/>
  <c r="K47" i="11" s="1"/>
  <c r="N47" i="11" s="1"/>
  <c r="Q47" i="11" s="1"/>
  <c r="T47" i="11" s="1"/>
  <c r="E48" i="11"/>
  <c r="H48" i="11" s="1"/>
  <c r="K48" i="11" s="1"/>
  <c r="N48" i="11" s="1"/>
  <c r="Q48" i="11" s="1"/>
  <c r="T48" i="11" s="1"/>
  <c r="E49" i="11"/>
  <c r="H49" i="11" s="1"/>
  <c r="K49" i="11" s="1"/>
  <c r="N49" i="11" s="1"/>
  <c r="Q49" i="11" s="1"/>
  <c r="T49" i="11" s="1"/>
  <c r="W49" i="11" s="1"/>
  <c r="Z49" i="11" s="1"/>
  <c r="AC49" i="11" s="1"/>
  <c r="AF49" i="11" s="1"/>
  <c r="AI49" i="11" s="1"/>
  <c r="AL49" i="11" s="1"/>
  <c r="AO49" i="11" s="1"/>
  <c r="E50" i="11"/>
  <c r="H50" i="11" s="1"/>
  <c r="K50" i="11" s="1"/>
  <c r="N50" i="11" s="1"/>
  <c r="Q50" i="11" s="1"/>
  <c r="T50" i="11" s="1"/>
  <c r="W50" i="11" s="1"/>
  <c r="Z50" i="11" s="1"/>
  <c r="AC50" i="11" s="1"/>
  <c r="AF50" i="11" s="1"/>
  <c r="AI50" i="11" s="1"/>
  <c r="AL50" i="11" s="1"/>
  <c r="AO50" i="11" s="1"/>
  <c r="E51" i="11"/>
  <c r="H51" i="11" s="1"/>
  <c r="K51" i="11" s="1"/>
  <c r="N51" i="11" s="1"/>
  <c r="Q51" i="11" s="1"/>
  <c r="T51" i="11" s="1"/>
  <c r="W51" i="11" s="1"/>
  <c r="Z51" i="11" s="1"/>
  <c r="AC51" i="11" s="1"/>
  <c r="AF51" i="11" s="1"/>
  <c r="AI51" i="11" s="1"/>
  <c r="AL51" i="11" s="1"/>
  <c r="AO51" i="11" s="1"/>
  <c r="AR51" i="11" s="1"/>
  <c r="AU51" i="11" s="1"/>
  <c r="E52" i="11"/>
  <c r="H52" i="11" s="1"/>
  <c r="K52" i="11" s="1"/>
  <c r="N52" i="11" s="1"/>
  <c r="Q52" i="11" s="1"/>
  <c r="T52" i="11" s="1"/>
  <c r="E53" i="11"/>
  <c r="H53" i="11" s="1"/>
  <c r="K53" i="11" s="1"/>
  <c r="N53" i="11" s="1"/>
  <c r="Q53" i="11" s="1"/>
  <c r="T53" i="11" s="1"/>
  <c r="W53" i="11" s="1"/>
  <c r="Z53" i="11" s="1"/>
  <c r="AC53" i="11" s="1"/>
  <c r="AF53" i="11" s="1"/>
  <c r="AI53" i="11" s="1"/>
  <c r="AL53" i="11" s="1"/>
  <c r="AO53" i="11" s="1"/>
  <c r="E54" i="11"/>
  <c r="H54" i="11" s="1"/>
  <c r="K54" i="11" s="1"/>
  <c r="N54" i="11" s="1"/>
  <c r="Q54" i="11" s="1"/>
  <c r="T54" i="11" s="1"/>
  <c r="W54" i="11" s="1"/>
  <c r="Z54" i="11" s="1"/>
  <c r="AC54" i="11" s="1"/>
  <c r="AF54" i="11" s="1"/>
  <c r="AI54" i="11" s="1"/>
  <c r="AL54" i="11" s="1"/>
  <c r="AO54" i="11" s="1"/>
  <c r="E55" i="11"/>
  <c r="H55" i="11" s="1"/>
  <c r="K55" i="11" s="1"/>
  <c r="N55" i="11" s="1"/>
  <c r="Q55" i="11" s="1"/>
  <c r="T55" i="11" s="1"/>
  <c r="W55" i="11" s="1"/>
  <c r="Z55" i="11" s="1"/>
  <c r="AC55" i="11" s="1"/>
  <c r="AF55" i="11" s="1"/>
  <c r="AI55" i="11" s="1"/>
  <c r="AL55" i="11" s="1"/>
  <c r="AO55" i="11" s="1"/>
  <c r="E56" i="11"/>
  <c r="H56" i="11" s="1"/>
  <c r="K56" i="11" s="1"/>
  <c r="N56" i="11" s="1"/>
  <c r="Q56" i="11" s="1"/>
  <c r="T56" i="11" s="1"/>
  <c r="W56" i="11" s="1"/>
  <c r="Z56" i="11" s="1"/>
  <c r="AC56" i="11" s="1"/>
  <c r="AF56" i="11" s="1"/>
  <c r="AI56" i="11" s="1"/>
  <c r="AL56" i="11" s="1"/>
  <c r="AO56" i="11" s="1"/>
  <c r="E57" i="11"/>
  <c r="H57" i="11" s="1"/>
  <c r="K57" i="11" s="1"/>
  <c r="N57" i="11" s="1"/>
  <c r="Q57" i="11" s="1"/>
  <c r="T57" i="11" s="1"/>
  <c r="W57" i="11" s="1"/>
  <c r="Z57" i="11" s="1"/>
  <c r="AC57" i="11" s="1"/>
  <c r="AF57" i="11" s="1"/>
  <c r="AI57" i="11" s="1"/>
  <c r="AL57" i="11" s="1"/>
  <c r="AO57" i="11" s="1"/>
  <c r="E58" i="11"/>
  <c r="H58" i="11" s="1"/>
  <c r="K58" i="11" s="1"/>
  <c r="N58" i="11" s="1"/>
  <c r="Q58" i="11" s="1"/>
  <c r="T58" i="11" s="1"/>
  <c r="W58" i="11" s="1"/>
  <c r="Z58" i="11" s="1"/>
  <c r="AC58" i="11" s="1"/>
  <c r="AF58" i="11" s="1"/>
  <c r="AI58" i="11" s="1"/>
  <c r="AL58" i="11" s="1"/>
  <c r="AO58" i="11" s="1"/>
  <c r="E59" i="11"/>
  <c r="H59" i="11" s="1"/>
  <c r="K59" i="11" s="1"/>
  <c r="N59" i="11" s="1"/>
  <c r="Q59" i="11" s="1"/>
  <c r="T59" i="11" s="1"/>
  <c r="W59" i="11" s="1"/>
  <c r="Z59" i="11" s="1"/>
  <c r="AC59" i="11" s="1"/>
  <c r="AF59" i="11" s="1"/>
  <c r="AI59" i="11" s="1"/>
  <c r="AL59" i="11" s="1"/>
  <c r="AO59" i="11" s="1"/>
  <c r="E60" i="11"/>
  <c r="H60" i="11" s="1"/>
  <c r="K60" i="11" s="1"/>
  <c r="N60" i="11" s="1"/>
  <c r="Q60" i="11" s="1"/>
  <c r="T60" i="11" s="1"/>
  <c r="W60" i="11" s="1"/>
  <c r="Z60" i="11" s="1"/>
  <c r="AC60" i="11" s="1"/>
  <c r="AF60" i="11" s="1"/>
  <c r="AI60" i="11" s="1"/>
  <c r="AL60" i="11" s="1"/>
  <c r="AO60" i="11" s="1"/>
  <c r="E61" i="11"/>
  <c r="H61" i="11" s="1"/>
  <c r="K61" i="11" s="1"/>
  <c r="N61" i="11" s="1"/>
  <c r="Q61" i="11" s="1"/>
  <c r="T61" i="11" s="1"/>
  <c r="W61" i="11" s="1"/>
  <c r="Z61" i="11" s="1"/>
  <c r="AC61" i="11" s="1"/>
  <c r="AF61" i="11" s="1"/>
  <c r="AI61" i="11" s="1"/>
  <c r="AL61" i="11" s="1"/>
  <c r="AO61" i="11" s="1"/>
  <c r="E20" i="11"/>
  <c r="H20" i="11" s="1"/>
  <c r="K20" i="11" s="1"/>
  <c r="N20" i="11" s="1"/>
  <c r="Q20" i="11" s="1"/>
  <c r="T20" i="11" s="1"/>
  <c r="W20" i="11" s="1"/>
  <c r="Z20" i="11" s="1"/>
  <c r="AC20" i="11" s="1"/>
  <c r="AF20" i="11" s="1"/>
  <c r="AI20" i="11" s="1"/>
  <c r="AL20" i="11" s="1"/>
  <c r="AO20" i="11" s="1"/>
  <c r="E21" i="11"/>
  <c r="H21" i="11" s="1"/>
  <c r="K21" i="11" s="1"/>
  <c r="N21" i="11" s="1"/>
  <c r="Q21" i="11" s="1"/>
  <c r="T21" i="11" s="1"/>
  <c r="W21" i="11" s="1"/>
  <c r="Z21" i="11" s="1"/>
  <c r="AC21" i="11" s="1"/>
  <c r="AF21" i="11" s="1"/>
  <c r="AI21" i="11" s="1"/>
  <c r="AL21" i="11" s="1"/>
  <c r="AO21" i="11" s="1"/>
  <c r="E22" i="11"/>
  <c r="H22" i="11" s="1"/>
  <c r="K22" i="11" s="1"/>
  <c r="N22" i="11" s="1"/>
  <c r="Q22" i="11" s="1"/>
  <c r="T22" i="11" s="1"/>
  <c r="W22" i="11" s="1"/>
  <c r="Z22" i="11" s="1"/>
  <c r="AC22" i="11" s="1"/>
  <c r="AF22" i="11" s="1"/>
  <c r="AI22" i="11" s="1"/>
  <c r="AL22" i="11" s="1"/>
  <c r="AO22" i="11" s="1"/>
  <c r="E23" i="11"/>
  <c r="H23" i="11" s="1"/>
  <c r="K23" i="11" s="1"/>
  <c r="N23" i="11" s="1"/>
  <c r="Q23" i="11" s="1"/>
  <c r="T23" i="11" s="1"/>
  <c r="W23" i="11" s="1"/>
  <c r="Z23" i="11" s="1"/>
  <c r="AC23" i="11" s="1"/>
  <c r="AF23" i="11" s="1"/>
  <c r="AI23" i="11" s="1"/>
  <c r="AL23" i="11" s="1"/>
  <c r="AO23" i="11" s="1"/>
  <c r="E24" i="11"/>
  <c r="H24" i="11" s="1"/>
  <c r="K24" i="11" s="1"/>
  <c r="N24" i="11" s="1"/>
  <c r="Q24" i="11" s="1"/>
  <c r="T24" i="11" s="1"/>
  <c r="W24" i="11" s="1"/>
  <c r="Z24" i="11" s="1"/>
  <c r="AC24" i="11" s="1"/>
  <c r="AF24" i="11" s="1"/>
  <c r="AI24" i="11" s="1"/>
  <c r="AL24" i="11" s="1"/>
  <c r="AO24" i="11" s="1"/>
  <c r="E25" i="11"/>
  <c r="H25" i="11" s="1"/>
  <c r="K25" i="11" s="1"/>
  <c r="N25" i="11" s="1"/>
  <c r="Q25" i="11" s="1"/>
  <c r="T25" i="11" s="1"/>
  <c r="W25" i="11" s="1"/>
  <c r="Z25" i="11" s="1"/>
  <c r="AC25" i="11" s="1"/>
  <c r="AF25" i="11" s="1"/>
  <c r="AI25" i="11" s="1"/>
  <c r="E26" i="11"/>
  <c r="H26" i="11" s="1"/>
  <c r="K26" i="11" s="1"/>
  <c r="N26" i="11" s="1"/>
  <c r="E27" i="11"/>
  <c r="H27" i="11" s="1"/>
  <c r="K27" i="11" s="1"/>
  <c r="N27" i="11" s="1"/>
  <c r="Q27" i="11" s="1"/>
  <c r="T27" i="11" s="1"/>
  <c r="W27" i="11" s="1"/>
  <c r="Z27" i="11" s="1"/>
  <c r="AC27" i="11" s="1"/>
  <c r="AF27" i="11" s="1"/>
  <c r="AI27" i="11" s="1"/>
  <c r="AL27" i="11" s="1"/>
  <c r="AO27" i="11" s="1"/>
  <c r="E28" i="11"/>
  <c r="E29" i="11"/>
  <c r="H29" i="11" s="1"/>
  <c r="K29" i="11" s="1"/>
  <c r="N29" i="11" s="1"/>
  <c r="Q29" i="11" s="1"/>
  <c r="T29" i="11" s="1"/>
  <c r="W29" i="11" s="1"/>
  <c r="Z29" i="11" s="1"/>
  <c r="AC29" i="11" s="1"/>
  <c r="AF29" i="11" s="1"/>
  <c r="AI29" i="11" s="1"/>
  <c r="AL29" i="11" s="1"/>
  <c r="AO29" i="11" s="1"/>
  <c r="E30" i="11"/>
  <c r="H30" i="11" s="1"/>
  <c r="K30" i="11" s="1"/>
  <c r="N30" i="11" s="1"/>
  <c r="Q30" i="11" s="1"/>
  <c r="T30" i="11" s="1"/>
  <c r="W30" i="11" s="1"/>
  <c r="Z30" i="11" s="1"/>
  <c r="AC30" i="11" s="1"/>
  <c r="AF30" i="11" s="1"/>
  <c r="AI30" i="11" s="1"/>
  <c r="AL30" i="11" s="1"/>
  <c r="AO30" i="11" s="1"/>
  <c r="E31" i="11"/>
  <c r="H31" i="11" s="1"/>
  <c r="K31" i="11" s="1"/>
  <c r="N31" i="11" s="1"/>
  <c r="Q31" i="11" s="1"/>
  <c r="T31" i="11" s="1"/>
  <c r="W31" i="11" s="1"/>
  <c r="Z31" i="11" s="1"/>
  <c r="AC31" i="11" s="1"/>
  <c r="AF31" i="11" s="1"/>
  <c r="AI31" i="11" s="1"/>
  <c r="AL31" i="11" s="1"/>
  <c r="AO31" i="11" s="1"/>
  <c r="E32" i="11"/>
  <c r="H32" i="11" s="1"/>
  <c r="K32" i="11" s="1"/>
  <c r="N32" i="11" s="1"/>
  <c r="Q32" i="11" s="1"/>
  <c r="T32" i="11" s="1"/>
  <c r="W32" i="11" s="1"/>
  <c r="Z32" i="11" s="1"/>
  <c r="AC32" i="11" s="1"/>
  <c r="AF32" i="11" s="1"/>
  <c r="AI32" i="11" s="1"/>
  <c r="AL32" i="11" s="1"/>
  <c r="AO32" i="11" s="1"/>
  <c r="E3" i="11"/>
  <c r="E4" i="11"/>
  <c r="H4" i="11" s="1"/>
  <c r="K4" i="11" s="1"/>
  <c r="N4" i="11" s="1"/>
  <c r="Q4" i="11" s="1"/>
  <c r="T4" i="11" s="1"/>
  <c r="W4" i="11" s="1"/>
  <c r="Z4" i="11" s="1"/>
  <c r="AC4" i="11" s="1"/>
  <c r="AF4" i="11" s="1"/>
  <c r="AI4" i="11" s="1"/>
  <c r="AL4" i="11" s="1"/>
  <c r="AO4" i="11" s="1"/>
  <c r="E5" i="11"/>
  <c r="H5" i="11" s="1"/>
  <c r="K5" i="11" s="1"/>
  <c r="N5" i="11" s="1"/>
  <c r="Q5" i="11" s="1"/>
  <c r="T5" i="11" s="1"/>
  <c r="W5" i="11" s="1"/>
  <c r="Z5" i="11" s="1"/>
  <c r="AC5" i="11" s="1"/>
  <c r="AF5" i="11" s="1"/>
  <c r="AI5" i="11" s="1"/>
  <c r="AL5" i="11" s="1"/>
  <c r="AO5" i="11" s="1"/>
  <c r="E6" i="11"/>
  <c r="H6" i="11" s="1"/>
  <c r="K6" i="11" s="1"/>
  <c r="N6" i="11" s="1"/>
  <c r="Q6" i="11" s="1"/>
  <c r="T6" i="11" s="1"/>
  <c r="W6" i="11" s="1"/>
  <c r="Z6" i="11" s="1"/>
  <c r="AC6" i="11" s="1"/>
  <c r="AF6" i="11" s="1"/>
  <c r="AI6" i="11" s="1"/>
  <c r="AL6" i="11" s="1"/>
  <c r="AO6" i="11" s="1"/>
  <c r="E7" i="11"/>
  <c r="H7" i="11" s="1"/>
  <c r="K7" i="11" s="1"/>
  <c r="N7" i="11" s="1"/>
  <c r="Q7" i="11" s="1"/>
  <c r="T7" i="11" s="1"/>
  <c r="W7" i="11" s="1"/>
  <c r="Z7" i="11" s="1"/>
  <c r="AC7" i="11" s="1"/>
  <c r="AF7" i="11" s="1"/>
  <c r="AI7" i="11" s="1"/>
  <c r="AL7" i="11" s="1"/>
  <c r="AO7" i="11" s="1"/>
  <c r="E8" i="11"/>
  <c r="H8" i="11" s="1"/>
  <c r="K8" i="11" s="1"/>
  <c r="N8" i="11" s="1"/>
  <c r="Q8" i="11" s="1"/>
  <c r="T8" i="11" s="1"/>
  <c r="W8" i="11" s="1"/>
  <c r="Z8" i="11" s="1"/>
  <c r="AC8" i="11" s="1"/>
  <c r="AF8" i="11" s="1"/>
  <c r="AI8" i="11" s="1"/>
  <c r="AL8" i="11" s="1"/>
  <c r="AO8" i="11" s="1"/>
  <c r="E9" i="11"/>
  <c r="H9" i="11" s="1"/>
  <c r="K9" i="11" s="1"/>
  <c r="N9" i="11" s="1"/>
  <c r="Q9" i="11" s="1"/>
  <c r="T9" i="11" s="1"/>
  <c r="W9" i="11" s="1"/>
  <c r="Z9" i="11" s="1"/>
  <c r="AC9" i="11" s="1"/>
  <c r="AF9" i="11" s="1"/>
  <c r="AI9" i="11" s="1"/>
  <c r="AL9" i="11" s="1"/>
  <c r="AO9" i="11" s="1"/>
  <c r="E10" i="11"/>
  <c r="H10" i="11" s="1"/>
  <c r="K10" i="11" s="1"/>
  <c r="N10" i="11" s="1"/>
  <c r="Q10" i="11" s="1"/>
  <c r="T10" i="11" s="1"/>
  <c r="W10" i="11" s="1"/>
  <c r="Z10" i="11" s="1"/>
  <c r="AC10" i="11" s="1"/>
  <c r="AF10" i="11" s="1"/>
  <c r="AI10" i="11" s="1"/>
  <c r="AL10" i="11" s="1"/>
  <c r="AO10" i="11" s="1"/>
  <c r="E11" i="11"/>
  <c r="H11" i="11" s="1"/>
  <c r="K11" i="11" s="1"/>
  <c r="N11" i="11" s="1"/>
  <c r="Q11" i="11" s="1"/>
  <c r="T11" i="11" s="1"/>
  <c r="W11" i="11" s="1"/>
  <c r="Z11" i="11" s="1"/>
  <c r="AC11" i="11" s="1"/>
  <c r="AF11" i="11" s="1"/>
  <c r="AI11" i="11" s="1"/>
  <c r="AL11" i="11" s="1"/>
  <c r="AO11" i="11" s="1"/>
  <c r="E12" i="11"/>
  <c r="H12" i="11" s="1"/>
  <c r="K12" i="11" s="1"/>
  <c r="N12" i="11" s="1"/>
  <c r="Q12" i="11" s="1"/>
  <c r="T12" i="11" s="1"/>
  <c r="W12" i="11" s="1"/>
  <c r="Z12" i="11" s="1"/>
  <c r="AC12" i="11" s="1"/>
  <c r="AF12" i="11" s="1"/>
  <c r="AI12" i="11" s="1"/>
  <c r="AL12" i="11" s="1"/>
  <c r="AO12" i="11" s="1"/>
  <c r="E13" i="11"/>
  <c r="H13" i="11" s="1"/>
  <c r="K13" i="11" s="1"/>
  <c r="N13" i="11" s="1"/>
  <c r="Q13" i="11" s="1"/>
  <c r="T13" i="11" s="1"/>
  <c r="W13" i="11" s="1"/>
  <c r="Z13" i="11" s="1"/>
  <c r="AC13" i="11" s="1"/>
  <c r="AF13" i="11" s="1"/>
  <c r="AI13" i="11" s="1"/>
  <c r="AL13" i="11" s="1"/>
  <c r="AO13" i="11" s="1"/>
  <c r="E14" i="11"/>
  <c r="H14" i="11" s="1"/>
  <c r="K14" i="11" s="1"/>
  <c r="N14" i="11" s="1"/>
  <c r="Q14" i="11" s="1"/>
  <c r="T14" i="11" s="1"/>
  <c r="W14" i="11" s="1"/>
  <c r="Z14" i="11" s="1"/>
  <c r="AC14" i="11" s="1"/>
  <c r="AF14" i="11" s="1"/>
  <c r="AI14" i="11" s="1"/>
  <c r="AL14" i="11" s="1"/>
  <c r="AO14" i="11" s="1"/>
  <c r="E15" i="11"/>
  <c r="H15" i="11" s="1"/>
  <c r="K15" i="11" s="1"/>
  <c r="N15" i="11" s="1"/>
  <c r="Q15" i="11" s="1"/>
  <c r="T15" i="11" s="1"/>
  <c r="W15" i="11" s="1"/>
  <c r="Z15" i="11" s="1"/>
  <c r="AC15" i="11" s="1"/>
  <c r="AF15" i="11" s="1"/>
  <c r="AI15" i="11" s="1"/>
  <c r="AL15" i="11" s="1"/>
  <c r="AO15" i="11" s="1"/>
  <c r="E16" i="11"/>
  <c r="H16" i="11" s="1"/>
  <c r="K16" i="11" s="1"/>
  <c r="N16" i="11" s="1"/>
  <c r="Q16" i="11" s="1"/>
  <c r="T16" i="11" s="1"/>
  <c r="W16" i="11" s="1"/>
  <c r="Z16" i="11" s="1"/>
  <c r="AC16" i="11" s="1"/>
  <c r="AF16" i="11" s="1"/>
  <c r="AI16" i="11" s="1"/>
  <c r="AL16" i="11" s="1"/>
  <c r="AO16" i="11" s="1"/>
  <c r="E17" i="11"/>
  <c r="H17" i="11" s="1"/>
  <c r="K17" i="11" s="1"/>
  <c r="N17" i="11" s="1"/>
  <c r="Q17" i="11" s="1"/>
  <c r="T17" i="11" s="1"/>
  <c r="W17" i="11" s="1"/>
  <c r="Z17" i="11" s="1"/>
  <c r="AC17" i="11" s="1"/>
  <c r="AF17" i="11" s="1"/>
  <c r="AI17" i="11" s="1"/>
  <c r="AL17" i="11" s="1"/>
  <c r="AO17" i="11" s="1"/>
  <c r="E18" i="11"/>
  <c r="H18" i="11" s="1"/>
  <c r="K18" i="11" s="1"/>
  <c r="N18" i="11" s="1"/>
  <c r="Q18" i="11" s="1"/>
  <c r="T18" i="11" s="1"/>
  <c r="W18" i="11" s="1"/>
  <c r="Z18" i="11" s="1"/>
  <c r="AC18" i="11" s="1"/>
  <c r="AF18" i="11" s="1"/>
  <c r="AI18" i="11" s="1"/>
  <c r="AL18" i="11" s="1"/>
  <c r="AO18" i="11" s="1"/>
  <c r="E19" i="11"/>
  <c r="H19" i="11" s="1"/>
  <c r="K19" i="11" s="1"/>
  <c r="N19" i="11" s="1"/>
  <c r="Q19" i="11" s="1"/>
  <c r="T19" i="11" s="1"/>
  <c r="W19" i="11" s="1"/>
  <c r="Z19" i="11" s="1"/>
  <c r="AC19" i="11" s="1"/>
  <c r="AF19" i="11" s="1"/>
  <c r="AI19" i="11" s="1"/>
  <c r="AL19" i="11" s="1"/>
  <c r="AO19" i="11" s="1"/>
  <c r="J36" i="10"/>
  <c r="J17" i="10"/>
  <c r="K17" i="10"/>
  <c r="W47" i="11" l="1"/>
  <c r="Z47" i="11" s="1"/>
  <c r="AC47" i="11" s="1"/>
  <c r="AF47" i="11" s="1"/>
  <c r="AI47" i="11" s="1"/>
  <c r="AL47" i="11" s="1"/>
  <c r="AO47" i="11" s="1"/>
  <c r="W48" i="11"/>
  <c r="Z48" i="11" s="1"/>
  <c r="AC48" i="11" s="1"/>
  <c r="AF48" i="11" s="1"/>
  <c r="AI48" i="11" s="1"/>
  <c r="AL48" i="11" s="1"/>
  <c r="AO48" i="11" s="1"/>
  <c r="W45" i="11"/>
  <c r="Z45" i="11" s="1"/>
  <c r="AC45" i="11" s="1"/>
  <c r="AF45" i="11" s="1"/>
  <c r="AI45" i="11" s="1"/>
  <c r="AL45" i="11" s="1"/>
  <c r="AO45" i="11" s="1"/>
  <c r="H3" i="11"/>
  <c r="K3" i="11" s="1"/>
  <c r="N3" i="11" s="1"/>
  <c r="Q3" i="11" s="1"/>
  <c r="T3" i="11" s="1"/>
  <c r="W3" i="11" s="1"/>
  <c r="Z3" i="11" s="1"/>
  <c r="AC3" i="11" s="1"/>
  <c r="AF3" i="11" s="1"/>
  <c r="AI3" i="11" s="1"/>
  <c r="AL3" i="11" s="1"/>
  <c r="AO3" i="11" s="1"/>
  <c r="K33" i="10"/>
  <c r="J33" i="10"/>
  <c r="K32" i="10"/>
  <c r="J32" i="10"/>
  <c r="K31" i="10"/>
  <c r="J31" i="10"/>
  <c r="J30" i="10"/>
  <c r="K30" i="10" s="1"/>
  <c r="K29" i="10"/>
  <c r="J29" i="10"/>
  <c r="K28" i="10"/>
  <c r="J28" i="10"/>
  <c r="K27" i="10"/>
  <c r="J27" i="10"/>
  <c r="J26" i="10"/>
  <c r="K26" i="10" s="1"/>
  <c r="K25" i="10"/>
  <c r="J25" i="10"/>
  <c r="K24" i="10"/>
  <c r="J24" i="10"/>
  <c r="K23" i="10"/>
  <c r="J23" i="10"/>
  <c r="J22" i="10"/>
  <c r="K22" i="10" s="1"/>
  <c r="J21" i="10"/>
  <c r="K20" i="10"/>
  <c r="K36" i="10" s="1"/>
  <c r="K16" i="10"/>
  <c r="J16" i="10"/>
  <c r="J15" i="10"/>
  <c r="K15" i="10" s="1"/>
  <c r="J14" i="10"/>
  <c r="K14" i="10" s="1"/>
  <c r="J13" i="10"/>
  <c r="K13" i="10" s="1"/>
  <c r="K12" i="10"/>
  <c r="J12" i="10"/>
  <c r="K11" i="10"/>
  <c r="J11" i="10"/>
  <c r="J10" i="10"/>
  <c r="K10" i="10" s="1"/>
  <c r="J9" i="10"/>
  <c r="K9" i="10" s="1"/>
  <c r="K8" i="10"/>
  <c r="J8" i="10"/>
  <c r="K7" i="10"/>
  <c r="J7" i="10"/>
  <c r="J6" i="10"/>
  <c r="K6" i="10" s="1"/>
  <c r="J5" i="10"/>
  <c r="K5" i="10" s="1"/>
  <c r="K4" i="10"/>
  <c r="J4" i="10"/>
  <c r="K3" i="10"/>
  <c r="J3" i="10"/>
  <c r="E60" i="9"/>
  <c r="CG60" i="9" s="1"/>
  <c r="E59" i="9"/>
  <c r="E58" i="9"/>
  <c r="E56" i="9"/>
  <c r="CG56" i="9" s="1"/>
  <c r="E55" i="9"/>
  <c r="E54" i="9"/>
  <c r="E52" i="9"/>
  <c r="CG52" i="9" s="1"/>
  <c r="AA51" i="9"/>
  <c r="E51" i="9"/>
  <c r="E50" i="9"/>
  <c r="CG50" i="9" s="1"/>
  <c r="E49" i="9"/>
  <c r="CG49" i="9" s="1"/>
  <c r="AU48" i="9"/>
  <c r="E48" i="9"/>
  <c r="CG48" i="9" s="1"/>
  <c r="E47" i="9"/>
  <c r="E46" i="9"/>
  <c r="E45" i="9"/>
  <c r="CG45" i="9" s="1"/>
  <c r="E44" i="9"/>
  <c r="CG44" i="9" s="1"/>
  <c r="E43" i="9"/>
  <c r="CG43" i="9" s="1"/>
  <c r="E42" i="9"/>
  <c r="CG42" i="9" s="1"/>
  <c r="E40" i="9"/>
  <c r="E39" i="9"/>
  <c r="CG39" i="9" s="1"/>
  <c r="E38" i="9"/>
  <c r="CG38" i="9" s="1"/>
  <c r="E37" i="9"/>
  <c r="E36" i="9"/>
  <c r="CG36" i="9" s="1"/>
  <c r="E35" i="9"/>
  <c r="CG35" i="9" s="1"/>
  <c r="E34" i="9"/>
  <c r="E33" i="9"/>
  <c r="CG33" i="9" s="1"/>
  <c r="E32" i="9"/>
  <c r="W31" i="9"/>
  <c r="E31" i="9"/>
  <c r="CG31" i="9" s="1"/>
  <c r="E29" i="9"/>
  <c r="E28" i="9"/>
  <c r="E27" i="9"/>
  <c r="CG27" i="9" s="1"/>
  <c r="E26" i="9"/>
  <c r="CG26" i="9" s="1"/>
  <c r="E25" i="9"/>
  <c r="CG25" i="9" s="1"/>
  <c r="BA24" i="9"/>
  <c r="I24" i="9"/>
  <c r="E24" i="9"/>
  <c r="CG24" i="9" s="1"/>
  <c r="E23" i="9"/>
  <c r="E22" i="9"/>
  <c r="CG22" i="9" s="1"/>
  <c r="E21" i="9"/>
  <c r="CG21" i="9" s="1"/>
  <c r="AW20" i="9"/>
  <c r="AK20" i="9"/>
  <c r="Y20" i="9"/>
  <c r="G20" i="9"/>
  <c r="E20" i="9"/>
  <c r="CG20" i="9" s="1"/>
  <c r="E19" i="9"/>
  <c r="E18" i="9"/>
  <c r="CG18" i="9" s="1"/>
  <c r="E17" i="9"/>
  <c r="CG17" i="9" s="1"/>
  <c r="E16" i="9"/>
  <c r="CG16" i="9" s="1"/>
  <c r="E15" i="9"/>
  <c r="E14" i="9"/>
  <c r="E13" i="9"/>
  <c r="CG13" i="9" s="1"/>
  <c r="E12" i="9"/>
  <c r="CG12" i="9" s="1"/>
  <c r="E11" i="9"/>
  <c r="CG11" i="9" s="1"/>
  <c r="E10" i="9"/>
  <c r="CG10" i="9" s="1"/>
  <c r="E9" i="9"/>
  <c r="AS8" i="9"/>
  <c r="Y8" i="9"/>
  <c r="E8" i="9"/>
  <c r="CG8" i="9" s="1"/>
  <c r="E7" i="9"/>
  <c r="CG7" i="9" s="1"/>
  <c r="E6" i="9"/>
  <c r="E5" i="9"/>
  <c r="E4" i="9"/>
  <c r="CG4" i="9" s="1"/>
  <c r="E3" i="9"/>
  <c r="CG3" i="9" s="1"/>
  <c r="CG2" i="9"/>
  <c r="K32" i="7"/>
  <c r="J32" i="7"/>
  <c r="J31" i="7"/>
  <c r="K31" i="7" s="1"/>
  <c r="J30" i="7"/>
  <c r="K30" i="7" s="1"/>
  <c r="J29" i="7"/>
  <c r="K29" i="7" s="1"/>
  <c r="K28" i="7"/>
  <c r="J28" i="7"/>
  <c r="J27" i="7"/>
  <c r="K27" i="7" s="1"/>
  <c r="J26" i="7"/>
  <c r="K26" i="7" s="1"/>
  <c r="J25" i="7"/>
  <c r="K25" i="7" s="1"/>
  <c r="K24" i="7"/>
  <c r="J24" i="7"/>
  <c r="J23" i="7"/>
  <c r="K23" i="7" s="1"/>
  <c r="J22" i="7"/>
  <c r="K22" i="7" s="1"/>
  <c r="J21" i="7"/>
  <c r="K20" i="7"/>
  <c r="J20" i="7"/>
  <c r="J16" i="7"/>
  <c r="K16" i="7" s="1"/>
  <c r="J15" i="7"/>
  <c r="K15" i="7" s="1"/>
  <c r="K14" i="7"/>
  <c r="J14" i="7"/>
  <c r="J13" i="7"/>
  <c r="K13" i="7" s="1"/>
  <c r="J12" i="7"/>
  <c r="K12" i="7" s="1"/>
  <c r="K11" i="7"/>
  <c r="J11" i="7"/>
  <c r="K10" i="7"/>
  <c r="J10" i="7"/>
  <c r="J9" i="7"/>
  <c r="K9" i="7" s="1"/>
  <c r="J8" i="7"/>
  <c r="K8" i="7" s="1"/>
  <c r="K7" i="7"/>
  <c r="J7" i="7"/>
  <c r="K6" i="7"/>
  <c r="J6" i="7"/>
  <c r="J5" i="7"/>
  <c r="K5" i="7" s="1"/>
  <c r="J4" i="7"/>
  <c r="K4" i="7" s="1"/>
  <c r="J3" i="7"/>
  <c r="K3" i="7" s="1"/>
  <c r="K2" i="7"/>
  <c r="J2" i="7"/>
  <c r="J17" i="7" s="1"/>
  <c r="K17" i="7" s="1"/>
  <c r="F34" i="6"/>
  <c r="E34" i="6"/>
  <c r="D34" i="6"/>
  <c r="C34" i="6"/>
  <c r="B34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34" i="6" s="1"/>
  <c r="BE58" i="5"/>
  <c r="BC58" i="5"/>
  <c r="BA58" i="5"/>
  <c r="AY58" i="5"/>
  <c r="AW58" i="5"/>
  <c r="AS58" i="5"/>
  <c r="AO58" i="5"/>
  <c r="AM58" i="5"/>
  <c r="AK58" i="5"/>
  <c r="Q58" i="5"/>
  <c r="AU58" i="5" s="1"/>
  <c r="BE57" i="5"/>
  <c r="BC57" i="5"/>
  <c r="BA57" i="5"/>
  <c r="AY57" i="5"/>
  <c r="AW57" i="5"/>
  <c r="AS57" i="5"/>
  <c r="AO57" i="5"/>
  <c r="AM57" i="5"/>
  <c r="AK57" i="5"/>
  <c r="Q57" i="5"/>
  <c r="AU57" i="5" s="1"/>
  <c r="BC55" i="5"/>
  <c r="AW55" i="5"/>
  <c r="AU55" i="5"/>
  <c r="AS55" i="5"/>
  <c r="AM55" i="5"/>
  <c r="AG55" i="5"/>
  <c r="AE55" i="5"/>
  <c r="AC55" i="5"/>
  <c r="W55" i="5"/>
  <c r="Q55" i="5"/>
  <c r="O55" i="5"/>
  <c r="M55" i="5"/>
  <c r="G55" i="5"/>
  <c r="E55" i="5"/>
  <c r="AQ55" i="5" s="1"/>
  <c r="BC54" i="5"/>
  <c r="AM54" i="5"/>
  <c r="AK54" i="5"/>
  <c r="AI54" i="5"/>
  <c r="W54" i="5"/>
  <c r="U54" i="5"/>
  <c r="S54" i="5"/>
  <c r="E54" i="5"/>
  <c r="BE53" i="5"/>
  <c r="AY53" i="5"/>
  <c r="AS53" i="5"/>
  <c r="AQ53" i="5"/>
  <c r="AO53" i="5"/>
  <c r="AI53" i="5"/>
  <c r="AC53" i="5"/>
  <c r="AA53" i="5"/>
  <c r="Y53" i="5"/>
  <c r="S53" i="5"/>
  <c r="M53" i="5"/>
  <c r="K53" i="5"/>
  <c r="I53" i="5"/>
  <c r="E53" i="5"/>
  <c r="BC53" i="5" s="1"/>
  <c r="BE52" i="5"/>
  <c r="AY52" i="5"/>
  <c r="AW52" i="5"/>
  <c r="AU52" i="5"/>
  <c r="AO52" i="5"/>
  <c r="AI52" i="5"/>
  <c r="AG52" i="5"/>
  <c r="AE52" i="5"/>
  <c r="Y52" i="5"/>
  <c r="S52" i="5"/>
  <c r="Q52" i="5"/>
  <c r="O52" i="5"/>
  <c r="I52" i="5"/>
  <c r="E52" i="5"/>
  <c r="AS52" i="5" s="1"/>
  <c r="BE51" i="5"/>
  <c r="E51" i="5"/>
  <c r="BA50" i="5"/>
  <c r="AU50" i="5"/>
  <c r="AS50" i="5"/>
  <c r="AA50" i="5"/>
  <c r="U50" i="5"/>
  <c r="O50" i="5"/>
  <c r="M50" i="5"/>
  <c r="E50" i="5"/>
  <c r="AE50" i="5" s="1"/>
  <c r="E49" i="5"/>
  <c r="BE48" i="5"/>
  <c r="BC48" i="5"/>
  <c r="AY48" i="5"/>
  <c r="AW48" i="5"/>
  <c r="AU48" i="5"/>
  <c r="AS48" i="5"/>
  <c r="AQ48" i="5"/>
  <c r="AO48" i="5"/>
  <c r="AM48" i="5"/>
  <c r="AI48" i="5"/>
  <c r="AG48" i="5"/>
  <c r="AE48" i="5"/>
  <c r="AC48" i="5"/>
  <c r="AA48" i="5"/>
  <c r="Y48" i="5"/>
  <c r="W48" i="5"/>
  <c r="S48" i="5"/>
  <c r="Q48" i="5"/>
  <c r="O48" i="5"/>
  <c r="M48" i="5"/>
  <c r="K48" i="5"/>
  <c r="I48" i="5"/>
  <c r="G48" i="5"/>
  <c r="E48" i="5"/>
  <c r="BA48" i="5" s="1"/>
  <c r="AY47" i="5"/>
  <c r="AW47" i="5"/>
  <c r="AU47" i="5"/>
  <c r="AS47" i="5"/>
  <c r="AI47" i="5"/>
  <c r="AG47" i="5"/>
  <c r="AE47" i="5"/>
  <c r="AC47" i="5"/>
  <c r="S47" i="5"/>
  <c r="Q47" i="5"/>
  <c r="O47" i="5"/>
  <c r="M47" i="5"/>
  <c r="E47" i="5"/>
  <c r="AQ47" i="5" s="1"/>
  <c r="BE46" i="5"/>
  <c r="BC46" i="5"/>
  <c r="BA46" i="5"/>
  <c r="Y46" i="5"/>
  <c r="W46" i="5"/>
  <c r="E46" i="5"/>
  <c r="BE45" i="5"/>
  <c r="AU45" i="5"/>
  <c r="AS45" i="5"/>
  <c r="AQ45" i="5"/>
  <c r="AO45" i="5"/>
  <c r="AE45" i="5"/>
  <c r="AC45" i="5"/>
  <c r="AA45" i="5"/>
  <c r="Y45" i="5"/>
  <c r="O45" i="5"/>
  <c r="M45" i="5"/>
  <c r="K45" i="5"/>
  <c r="I45" i="5"/>
  <c r="E45" i="5"/>
  <c r="BC45" i="5" s="1"/>
  <c r="AK44" i="5"/>
  <c r="AI44" i="5"/>
  <c r="S44" i="5"/>
  <c r="O44" i="5"/>
  <c r="E44" i="5"/>
  <c r="AO43" i="5"/>
  <c r="AK43" i="5"/>
  <c r="AA43" i="5"/>
  <c r="Y43" i="5"/>
  <c r="W43" i="5"/>
  <c r="I43" i="5"/>
  <c r="E43" i="5"/>
  <c r="BC43" i="5" s="1"/>
  <c r="AW42" i="5"/>
  <c r="AU42" i="5"/>
  <c r="AS42" i="5"/>
  <c r="AQ42" i="5"/>
  <c r="AG42" i="5"/>
  <c r="AE42" i="5"/>
  <c r="AC42" i="5"/>
  <c r="AA42" i="5"/>
  <c r="Q42" i="5"/>
  <c r="O42" i="5"/>
  <c r="M42" i="5"/>
  <c r="K42" i="5"/>
  <c r="E42" i="5"/>
  <c r="BE42" i="5" s="1"/>
  <c r="BC41" i="5"/>
  <c r="AY41" i="5"/>
  <c r="AK41" i="5"/>
  <c r="W41" i="5"/>
  <c r="Q41" i="5"/>
  <c r="G41" i="5"/>
  <c r="E41" i="5"/>
  <c r="BE40" i="5"/>
  <c r="BC40" i="5"/>
  <c r="AS40" i="5"/>
  <c r="AQ40" i="5"/>
  <c r="AO40" i="5"/>
  <c r="AM40" i="5"/>
  <c r="AC40" i="5"/>
  <c r="AA40" i="5"/>
  <c r="Y40" i="5"/>
  <c r="W40" i="5"/>
  <c r="M40" i="5"/>
  <c r="K40" i="5"/>
  <c r="I40" i="5"/>
  <c r="G40" i="5"/>
  <c r="E40" i="5"/>
  <c r="BA40" i="5" s="1"/>
  <c r="AY39" i="5"/>
  <c r="AW39" i="5"/>
  <c r="AU39" i="5"/>
  <c r="AS39" i="5"/>
  <c r="AI39" i="5"/>
  <c r="AG39" i="5"/>
  <c r="AE39" i="5"/>
  <c r="AC39" i="5"/>
  <c r="S39" i="5"/>
  <c r="Q39" i="5"/>
  <c r="O39" i="5"/>
  <c r="M39" i="5"/>
  <c r="E39" i="5"/>
  <c r="AQ39" i="5" s="1"/>
  <c r="BA38" i="5"/>
  <c r="AY38" i="5"/>
  <c r="U38" i="5"/>
  <c r="E38" i="5"/>
  <c r="BC38" i="5" s="1"/>
  <c r="BE37" i="5"/>
  <c r="AU37" i="5"/>
  <c r="AS37" i="5"/>
  <c r="AQ37" i="5"/>
  <c r="AO37" i="5"/>
  <c r="AE37" i="5"/>
  <c r="AC37" i="5"/>
  <c r="AA37" i="5"/>
  <c r="Y37" i="5"/>
  <c r="O37" i="5"/>
  <c r="M37" i="5"/>
  <c r="K37" i="5"/>
  <c r="I37" i="5"/>
  <c r="E37" i="5"/>
  <c r="BC37" i="5" s="1"/>
  <c r="AU36" i="5"/>
  <c r="AK36" i="5"/>
  <c r="AI36" i="5"/>
  <c r="O36" i="5"/>
  <c r="E36" i="5"/>
  <c r="BC35" i="5"/>
  <c r="AQ35" i="5"/>
  <c r="AA35" i="5"/>
  <c r="U35" i="5"/>
  <c r="I35" i="5"/>
  <c r="G35" i="5"/>
  <c r="E35" i="5"/>
  <c r="AM35" i="5" s="1"/>
  <c r="AY34" i="5"/>
  <c r="AW34" i="5"/>
  <c r="AU34" i="5"/>
  <c r="AS34" i="5"/>
  <c r="AQ34" i="5"/>
  <c r="AI34" i="5"/>
  <c r="AG34" i="5"/>
  <c r="AE34" i="5"/>
  <c r="AC34" i="5"/>
  <c r="AA34" i="5"/>
  <c r="S34" i="5"/>
  <c r="Q34" i="5"/>
  <c r="O34" i="5"/>
  <c r="M34" i="5"/>
  <c r="K34" i="5"/>
  <c r="E34" i="5"/>
  <c r="BE34" i="5" s="1"/>
  <c r="BA33" i="5"/>
  <c r="AW33" i="5"/>
  <c r="AO33" i="5"/>
  <c r="AM33" i="5"/>
  <c r="AK33" i="5"/>
  <c r="Y33" i="5"/>
  <c r="U33" i="5"/>
  <c r="S33" i="5"/>
  <c r="Q33" i="5"/>
  <c r="I33" i="5"/>
  <c r="E33" i="5"/>
  <c r="AY33" i="5" s="1"/>
  <c r="BE32" i="5"/>
  <c r="BC32" i="5"/>
  <c r="AU32" i="5"/>
  <c r="AS32" i="5"/>
  <c r="AQ32" i="5"/>
  <c r="AO32" i="5"/>
  <c r="AM32" i="5"/>
  <c r="AE32" i="5"/>
  <c r="AC32" i="5"/>
  <c r="AA32" i="5"/>
  <c r="Y32" i="5"/>
  <c r="W32" i="5"/>
  <c r="O32" i="5"/>
  <c r="M32" i="5"/>
  <c r="K32" i="5"/>
  <c r="I32" i="5"/>
  <c r="G32" i="5"/>
  <c r="E32" i="5"/>
  <c r="BA32" i="5" s="1"/>
  <c r="BA31" i="5"/>
  <c r="AY31" i="5"/>
  <c r="AW31" i="5"/>
  <c r="AU31" i="5"/>
  <c r="AS31" i="5"/>
  <c r="AK31" i="5"/>
  <c r="AI31" i="5"/>
  <c r="AE31" i="5"/>
  <c r="AC31" i="5"/>
  <c r="U31" i="5"/>
  <c r="S31" i="5"/>
  <c r="Q31" i="5"/>
  <c r="O31" i="5"/>
  <c r="M31" i="5"/>
  <c r="E31" i="5"/>
  <c r="E30" i="5"/>
  <c r="BE29" i="5"/>
  <c r="AW29" i="5"/>
  <c r="AU29" i="5"/>
  <c r="AS29" i="5"/>
  <c r="AQ29" i="5"/>
  <c r="AO29" i="5"/>
  <c r="AG29" i="5"/>
  <c r="AE29" i="5"/>
  <c r="AC29" i="5"/>
  <c r="AA29" i="5"/>
  <c r="Y29" i="5"/>
  <c r="Q29" i="5"/>
  <c r="O29" i="5"/>
  <c r="M29" i="5"/>
  <c r="K29" i="5"/>
  <c r="I29" i="5"/>
  <c r="E29" i="5"/>
  <c r="BC29" i="5" s="1"/>
  <c r="AG28" i="5"/>
  <c r="E28" i="5"/>
  <c r="BA27" i="5"/>
  <c r="AQ27" i="5"/>
  <c r="AO27" i="5"/>
  <c r="AM27" i="5"/>
  <c r="AK27" i="5"/>
  <c r="Y27" i="5"/>
  <c r="U27" i="5"/>
  <c r="M27" i="5"/>
  <c r="K27" i="5"/>
  <c r="I27" i="5"/>
  <c r="E27" i="5"/>
  <c r="AS27" i="5" s="1"/>
  <c r="AY26" i="5"/>
  <c r="AW26" i="5"/>
  <c r="AU26" i="5"/>
  <c r="AS26" i="5"/>
  <c r="AQ26" i="5"/>
  <c r="AI26" i="5"/>
  <c r="AG26" i="5"/>
  <c r="AE26" i="5"/>
  <c r="AC26" i="5"/>
  <c r="AA26" i="5"/>
  <c r="S26" i="5"/>
  <c r="Q26" i="5"/>
  <c r="O26" i="5"/>
  <c r="M26" i="5"/>
  <c r="K26" i="5"/>
  <c r="E26" i="5"/>
  <c r="BE26" i="5" s="1"/>
  <c r="BE25" i="5"/>
  <c r="BA25" i="5"/>
  <c r="AY25" i="5"/>
  <c r="AW25" i="5"/>
  <c r="AO25" i="5"/>
  <c r="AM25" i="5"/>
  <c r="AK25" i="5"/>
  <c r="AI25" i="5"/>
  <c r="Y25" i="5"/>
  <c r="W25" i="5"/>
  <c r="U25" i="5"/>
  <c r="S25" i="5"/>
  <c r="Q25" i="5"/>
  <c r="I25" i="5"/>
  <c r="G25" i="5"/>
  <c r="E25" i="5"/>
  <c r="BE24" i="5"/>
  <c r="BC24" i="5"/>
  <c r="AU24" i="5"/>
  <c r="AS24" i="5"/>
  <c r="AQ24" i="5"/>
  <c r="AO24" i="5"/>
  <c r="AM24" i="5"/>
  <c r="AE24" i="5"/>
  <c r="AC24" i="5"/>
  <c r="AA24" i="5"/>
  <c r="Y24" i="5"/>
  <c r="W24" i="5"/>
  <c r="O24" i="5"/>
  <c r="M24" i="5"/>
  <c r="K24" i="5"/>
  <c r="I24" i="5"/>
  <c r="G24" i="5"/>
  <c r="E24" i="5"/>
  <c r="BA24" i="5" s="1"/>
  <c r="AY23" i="5"/>
  <c r="AI23" i="5"/>
  <c r="AG23" i="5"/>
  <c r="AE23" i="5"/>
  <c r="AC23" i="5"/>
  <c r="E23" i="5"/>
  <c r="AS23" i="5" s="1"/>
  <c r="BE22" i="5"/>
  <c r="BC22" i="5"/>
  <c r="AM22" i="5"/>
  <c r="E22" i="5"/>
  <c r="BE21" i="5"/>
  <c r="AW21" i="5"/>
  <c r="AU21" i="5"/>
  <c r="AS21" i="5"/>
  <c r="AQ21" i="5"/>
  <c r="AO21" i="5"/>
  <c r="AG21" i="5"/>
  <c r="AE21" i="5"/>
  <c r="AC21" i="5"/>
  <c r="AA21" i="5"/>
  <c r="Y21" i="5"/>
  <c r="Q21" i="5"/>
  <c r="O21" i="5"/>
  <c r="M21" i="5"/>
  <c r="K21" i="5"/>
  <c r="I21" i="5"/>
  <c r="E21" i="5"/>
  <c r="BC21" i="5" s="1"/>
  <c r="BA20" i="5"/>
  <c r="AW20" i="5"/>
  <c r="AU20" i="5"/>
  <c r="AM20" i="5"/>
  <c r="AK20" i="5"/>
  <c r="AE20" i="5"/>
  <c r="U20" i="5"/>
  <c r="S20" i="5"/>
  <c r="Q20" i="5"/>
  <c r="O20" i="5"/>
  <c r="E20" i="5"/>
  <c r="AY20" i="5" s="1"/>
  <c r="BE19" i="5"/>
  <c r="BA19" i="5"/>
  <c r="AS19" i="5"/>
  <c r="AQ19" i="5"/>
  <c r="AO19" i="5"/>
  <c r="AM19" i="5"/>
  <c r="AK19" i="5"/>
  <c r="AC19" i="5"/>
  <c r="Y19" i="5"/>
  <c r="W19" i="5"/>
  <c r="U19" i="5"/>
  <c r="M19" i="5"/>
  <c r="K19" i="5"/>
  <c r="I19" i="5"/>
  <c r="G19" i="5"/>
  <c r="E19" i="5"/>
  <c r="AY18" i="5"/>
  <c r="AW18" i="5"/>
  <c r="AU18" i="5"/>
  <c r="AS18" i="5"/>
  <c r="AQ18" i="5"/>
  <c r="AI18" i="5"/>
  <c r="AG18" i="5"/>
  <c r="AE18" i="5"/>
  <c r="AC18" i="5"/>
  <c r="AA18" i="5"/>
  <c r="S18" i="5"/>
  <c r="Q18" i="5"/>
  <c r="O18" i="5"/>
  <c r="M18" i="5"/>
  <c r="K18" i="5"/>
  <c r="E18" i="5"/>
  <c r="BE18" i="5" s="1"/>
  <c r="BE17" i="5"/>
  <c r="BA17" i="5"/>
  <c r="AY17" i="5"/>
  <c r="Y17" i="5"/>
  <c r="W17" i="5"/>
  <c r="Q17" i="5"/>
  <c r="G17" i="5"/>
  <c r="E17" i="5"/>
  <c r="AM17" i="5" s="1"/>
  <c r="BE16" i="5"/>
  <c r="BC16" i="5"/>
  <c r="AU16" i="5"/>
  <c r="AS16" i="5"/>
  <c r="AQ16" i="5"/>
  <c r="AO16" i="5"/>
  <c r="AM16" i="5"/>
  <c r="AE16" i="5"/>
  <c r="AC16" i="5"/>
  <c r="AA16" i="5"/>
  <c r="Y16" i="5"/>
  <c r="W16" i="5"/>
  <c r="O16" i="5"/>
  <c r="M16" i="5"/>
  <c r="K16" i="5"/>
  <c r="I16" i="5"/>
  <c r="G16" i="5"/>
  <c r="E16" i="5"/>
  <c r="BA16" i="5" s="1"/>
  <c r="E15" i="5"/>
  <c r="BA14" i="5"/>
  <c r="AQ14" i="5"/>
  <c r="AO14" i="5"/>
  <c r="AM14" i="5"/>
  <c r="AK14" i="5"/>
  <c r="Y14" i="5"/>
  <c r="U14" i="5"/>
  <c r="S14" i="5"/>
  <c r="K14" i="5"/>
  <c r="I14" i="5"/>
  <c r="E14" i="5"/>
  <c r="AY14" i="5" s="1"/>
  <c r="BE13" i="5"/>
  <c r="AW13" i="5"/>
  <c r="AU13" i="5"/>
  <c r="AS13" i="5"/>
  <c r="AQ13" i="5"/>
  <c r="AO13" i="5"/>
  <c r="AG13" i="5"/>
  <c r="AE13" i="5"/>
  <c r="AC13" i="5"/>
  <c r="AA13" i="5"/>
  <c r="Y13" i="5"/>
  <c r="Q13" i="5"/>
  <c r="O13" i="5"/>
  <c r="M13" i="5"/>
  <c r="K13" i="5"/>
  <c r="I13" i="5"/>
  <c r="E13" i="5"/>
  <c r="BC13" i="5" s="1"/>
  <c r="BA12" i="5"/>
  <c r="AY12" i="5"/>
  <c r="AW12" i="5"/>
  <c r="AU12" i="5"/>
  <c r="AM12" i="5"/>
  <c r="AK12" i="5"/>
  <c r="AI12" i="5"/>
  <c r="AE12" i="5"/>
  <c r="W12" i="5"/>
  <c r="U12" i="5"/>
  <c r="S12" i="5"/>
  <c r="Q12" i="5"/>
  <c r="O12" i="5"/>
  <c r="G12" i="5"/>
  <c r="E12" i="5"/>
  <c r="BE11" i="5"/>
  <c r="BC11" i="5"/>
  <c r="AM11" i="5"/>
  <c r="AC11" i="5"/>
  <c r="AA11" i="5"/>
  <c r="Y11" i="5"/>
  <c r="W11" i="5"/>
  <c r="K11" i="5"/>
  <c r="E11" i="5"/>
  <c r="AY10" i="5"/>
  <c r="AW10" i="5"/>
  <c r="AU10" i="5"/>
  <c r="AS10" i="5"/>
  <c r="AQ10" i="5"/>
  <c r="AI10" i="5"/>
  <c r="AG10" i="5"/>
  <c r="AE10" i="5"/>
  <c r="AC10" i="5"/>
  <c r="AA10" i="5"/>
  <c r="S10" i="5"/>
  <c r="Q10" i="5"/>
  <c r="O10" i="5"/>
  <c r="M10" i="5"/>
  <c r="K10" i="5"/>
  <c r="E10" i="5"/>
  <c r="BE10" i="5" s="1"/>
  <c r="BE9" i="5"/>
  <c r="AM9" i="5"/>
  <c r="AK9" i="5"/>
  <c r="Q9" i="5"/>
  <c r="I9" i="5"/>
  <c r="G9" i="5"/>
  <c r="E9" i="5"/>
  <c r="AW9" i="5" s="1"/>
  <c r="BE8" i="5"/>
  <c r="BC8" i="5"/>
  <c r="AU8" i="5"/>
  <c r="AS8" i="5"/>
  <c r="AQ8" i="5"/>
  <c r="AO8" i="5"/>
  <c r="AM8" i="5"/>
  <c r="AE8" i="5"/>
  <c r="AC8" i="5"/>
  <c r="AA8" i="5"/>
  <c r="Y8" i="5"/>
  <c r="W8" i="5"/>
  <c r="O8" i="5"/>
  <c r="M8" i="5"/>
  <c r="K8" i="5"/>
  <c r="I8" i="5"/>
  <c r="G8" i="5"/>
  <c r="E8" i="5"/>
  <c r="BA8" i="5" s="1"/>
  <c r="AU7" i="5"/>
  <c r="AK7" i="5"/>
  <c r="AE7" i="5"/>
  <c r="U7" i="5"/>
  <c r="S7" i="5"/>
  <c r="E7" i="5"/>
  <c r="AS7" i="5" s="1"/>
  <c r="BC6" i="5"/>
  <c r="BA6" i="5"/>
  <c r="AW6" i="5"/>
  <c r="W6" i="5"/>
  <c r="U6" i="5"/>
  <c r="G6" i="5"/>
  <c r="E6" i="5"/>
  <c r="AI6" i="5" s="1"/>
  <c r="BE5" i="5"/>
  <c r="BC5" i="5"/>
  <c r="AY5" i="5"/>
  <c r="AW5" i="5"/>
  <c r="AS5" i="5"/>
  <c r="AQ5" i="5"/>
  <c r="AO5" i="5"/>
  <c r="AM5" i="5"/>
  <c r="AI5" i="5"/>
  <c r="AG5" i="5"/>
  <c r="AC5" i="5"/>
  <c r="AA5" i="5"/>
  <c r="Y5" i="5"/>
  <c r="W5" i="5"/>
  <c r="S5" i="5"/>
  <c r="Q5" i="5"/>
  <c r="M5" i="5"/>
  <c r="K5" i="5"/>
  <c r="I5" i="5"/>
  <c r="G5" i="5"/>
  <c r="E5" i="5"/>
  <c r="BA5" i="5" s="1"/>
  <c r="BE4" i="5"/>
  <c r="BC4" i="5"/>
  <c r="AY4" i="5"/>
  <c r="AW4" i="5"/>
  <c r="AU4" i="5"/>
  <c r="AS4" i="5"/>
  <c r="AQ4" i="5"/>
  <c r="AO4" i="5"/>
  <c r="AM4" i="5"/>
  <c r="AI4" i="5"/>
  <c r="AG4" i="5"/>
  <c r="AE4" i="5"/>
  <c r="AC4" i="5"/>
  <c r="AA4" i="5"/>
  <c r="Y4" i="5"/>
  <c r="W4" i="5"/>
  <c r="S4" i="5"/>
  <c r="Q4" i="5"/>
  <c r="O4" i="5"/>
  <c r="M4" i="5"/>
  <c r="K4" i="5"/>
  <c r="I4" i="5"/>
  <c r="G4" i="5"/>
  <c r="E4" i="5"/>
  <c r="BA4" i="5" s="1"/>
  <c r="BA3" i="5"/>
  <c r="AY3" i="5"/>
  <c r="AS3" i="5"/>
  <c r="AC3" i="5"/>
  <c r="Y3" i="5"/>
  <c r="U3" i="5"/>
  <c r="S3" i="5"/>
  <c r="M3" i="5"/>
  <c r="E3" i="5"/>
  <c r="AM3" i="5" s="1"/>
  <c r="BE2" i="5"/>
  <c r="AY2" i="5"/>
  <c r="AU2" i="5"/>
  <c r="AS2" i="5"/>
  <c r="AQ2" i="5"/>
  <c r="AO2" i="5"/>
  <c r="AI2" i="5"/>
  <c r="AE2" i="5"/>
  <c r="AC2" i="5"/>
  <c r="AA2" i="5"/>
  <c r="Y2" i="5"/>
  <c r="S2" i="5"/>
  <c r="O2" i="5"/>
  <c r="M2" i="5"/>
  <c r="K2" i="5"/>
  <c r="I2" i="5"/>
  <c r="E2" i="5"/>
  <c r="BC2" i="5" s="1"/>
  <c r="AW55" i="3"/>
  <c r="AS55" i="3"/>
  <c r="AQ55" i="3"/>
  <c r="AO55" i="3"/>
  <c r="AM55" i="3"/>
  <c r="AA55" i="3"/>
  <c r="Y55" i="3"/>
  <c r="W55" i="3"/>
  <c r="Q55" i="3"/>
  <c r="M55" i="3"/>
  <c r="K55" i="3"/>
  <c r="E55" i="3"/>
  <c r="AQ54" i="3"/>
  <c r="AO54" i="3"/>
  <c r="AK54" i="3"/>
  <c r="AE54" i="3"/>
  <c r="W54" i="3"/>
  <c r="U54" i="3"/>
  <c r="K54" i="3"/>
  <c r="I54" i="3"/>
  <c r="E54" i="3"/>
  <c r="AO53" i="3"/>
  <c r="AM53" i="3"/>
  <c r="E53" i="3"/>
  <c r="AY52" i="3"/>
  <c r="AI52" i="3"/>
  <c r="AG52" i="3"/>
  <c r="W52" i="3"/>
  <c r="U52" i="3"/>
  <c r="K52" i="3"/>
  <c r="E52" i="3"/>
  <c r="AK52" i="3" s="1"/>
  <c r="AW51" i="3"/>
  <c r="AU51" i="3"/>
  <c r="AG51" i="3"/>
  <c r="AE51" i="3"/>
  <c r="Q51" i="3"/>
  <c r="E51" i="3"/>
  <c r="AY50" i="3"/>
  <c r="AW50" i="3"/>
  <c r="AU50" i="3"/>
  <c r="AO50" i="3"/>
  <c r="AK50" i="3"/>
  <c r="AE50" i="3"/>
  <c r="Y50" i="3"/>
  <c r="U50" i="3"/>
  <c r="S50" i="3"/>
  <c r="Q50" i="3"/>
  <c r="O50" i="3"/>
  <c r="E50" i="3"/>
  <c r="AY49" i="3"/>
  <c r="AW49" i="3"/>
  <c r="AU49" i="3"/>
  <c r="AO49" i="3"/>
  <c r="AK49" i="3"/>
  <c r="AI49" i="3"/>
  <c r="Y49" i="3"/>
  <c r="U49" i="3"/>
  <c r="S49" i="3"/>
  <c r="Q49" i="3"/>
  <c r="O49" i="3"/>
  <c r="I49" i="3"/>
  <c r="E49" i="3"/>
  <c r="AE49" i="3" s="1"/>
  <c r="AW48" i="3"/>
  <c r="AU48" i="3"/>
  <c r="AO48" i="3"/>
  <c r="AG48" i="3"/>
  <c r="U48" i="3"/>
  <c r="Q48" i="3"/>
  <c r="O48" i="3"/>
  <c r="I48" i="3"/>
  <c r="E48" i="3"/>
  <c r="AI48" i="3" s="1"/>
  <c r="AO47" i="3"/>
  <c r="AK47" i="3"/>
  <c r="AG47" i="3"/>
  <c r="AE47" i="3"/>
  <c r="I47" i="3"/>
  <c r="E47" i="3"/>
  <c r="Y46" i="3"/>
  <c r="Q46" i="3"/>
  <c r="I46" i="3"/>
  <c r="E46" i="3"/>
  <c r="AY45" i="3"/>
  <c r="AW45" i="3"/>
  <c r="AI45" i="3"/>
  <c r="AG45" i="3"/>
  <c r="Y45" i="3"/>
  <c r="U45" i="3"/>
  <c r="O45" i="3"/>
  <c r="I45" i="3"/>
  <c r="E45" i="3"/>
  <c r="AE45" i="3" s="1"/>
  <c r="AY44" i="3"/>
  <c r="AW44" i="3"/>
  <c r="AI44" i="3"/>
  <c r="AG44" i="3"/>
  <c r="AE44" i="3"/>
  <c r="Y44" i="3"/>
  <c r="S44" i="3"/>
  <c r="I44" i="3"/>
  <c r="E44" i="3"/>
  <c r="AY43" i="3"/>
  <c r="AW43" i="3"/>
  <c r="AE43" i="3"/>
  <c r="Y43" i="3"/>
  <c r="S43" i="3"/>
  <c r="Q43" i="3"/>
  <c r="E43" i="3"/>
  <c r="AO43" i="3" s="1"/>
  <c r="AY42" i="3"/>
  <c r="AW42" i="3"/>
  <c r="AU42" i="3"/>
  <c r="AO42" i="3"/>
  <c r="AK42" i="3"/>
  <c r="AE42" i="3"/>
  <c r="Y42" i="3"/>
  <c r="U42" i="3"/>
  <c r="S42" i="3"/>
  <c r="Q42" i="3"/>
  <c r="O42" i="3"/>
  <c r="E42" i="3"/>
  <c r="AY41" i="3"/>
  <c r="AW41" i="3"/>
  <c r="AU41" i="3"/>
  <c r="AO41" i="3"/>
  <c r="AK41" i="3"/>
  <c r="AI41" i="3"/>
  <c r="Y41" i="3"/>
  <c r="U41" i="3"/>
  <c r="S41" i="3"/>
  <c r="Q41" i="3"/>
  <c r="O41" i="3"/>
  <c r="I41" i="3"/>
  <c r="E41" i="3"/>
  <c r="AE41" i="3" s="1"/>
  <c r="AU40" i="3"/>
  <c r="AO40" i="3"/>
  <c r="AI40" i="3"/>
  <c r="AG40" i="3"/>
  <c r="U40" i="3"/>
  <c r="S40" i="3"/>
  <c r="O40" i="3"/>
  <c r="I40" i="3"/>
  <c r="E40" i="3"/>
  <c r="AU39" i="3"/>
  <c r="AO39" i="3"/>
  <c r="AE39" i="3"/>
  <c r="S39" i="3"/>
  <c r="O39" i="3"/>
  <c r="I39" i="3"/>
  <c r="E39" i="3"/>
  <c r="AI39" i="3" s="1"/>
  <c r="AY38" i="3"/>
  <c r="AS38" i="3"/>
  <c r="AO38" i="3"/>
  <c r="AK38" i="3"/>
  <c r="AI38" i="3"/>
  <c r="AG38" i="3"/>
  <c r="AE38" i="3"/>
  <c r="U38" i="3"/>
  <c r="S38" i="3"/>
  <c r="Q38" i="3"/>
  <c r="O38" i="3"/>
  <c r="M38" i="3"/>
  <c r="I38" i="3"/>
  <c r="E38" i="3"/>
  <c r="AU38" i="3" s="1"/>
  <c r="AW37" i="3"/>
  <c r="E37" i="3"/>
  <c r="AY36" i="3"/>
  <c r="AU36" i="3"/>
  <c r="AS36" i="3"/>
  <c r="AO36" i="3"/>
  <c r="AC36" i="3"/>
  <c r="Y36" i="3"/>
  <c r="S36" i="3"/>
  <c r="M36" i="3"/>
  <c r="I36" i="3"/>
  <c r="E36" i="3"/>
  <c r="AE36" i="3" s="1"/>
  <c r="AW35" i="3"/>
  <c r="I35" i="3"/>
  <c r="E35" i="3"/>
  <c r="AY34" i="3"/>
  <c r="AS34" i="3"/>
  <c r="AO34" i="3"/>
  <c r="AK34" i="3"/>
  <c r="AI34" i="3"/>
  <c r="AG34" i="3"/>
  <c r="AE34" i="3"/>
  <c r="U34" i="3"/>
  <c r="S34" i="3"/>
  <c r="Q34" i="3"/>
  <c r="O34" i="3"/>
  <c r="M34" i="3"/>
  <c r="I34" i="3"/>
  <c r="E34" i="3"/>
  <c r="AU34" i="3" s="1"/>
  <c r="AW33" i="3"/>
  <c r="AU33" i="3"/>
  <c r="AS33" i="3"/>
  <c r="AO33" i="3"/>
  <c r="AI33" i="3"/>
  <c r="AC33" i="3"/>
  <c r="U33" i="3"/>
  <c r="S33" i="3"/>
  <c r="Q33" i="3"/>
  <c r="O33" i="3"/>
  <c r="E33" i="3"/>
  <c r="Y33" i="3" s="1"/>
  <c r="AS32" i="3"/>
  <c r="AO32" i="3"/>
  <c r="AG32" i="3"/>
  <c r="Y32" i="3"/>
  <c r="U32" i="3"/>
  <c r="M32" i="3"/>
  <c r="E32" i="3"/>
  <c r="AU31" i="3"/>
  <c r="AK31" i="3"/>
  <c r="AG31" i="3"/>
  <c r="AE31" i="3"/>
  <c r="AC31" i="3"/>
  <c r="O31" i="3"/>
  <c r="E31" i="3"/>
  <c r="AY30" i="3"/>
  <c r="AS30" i="3"/>
  <c r="AO30" i="3"/>
  <c r="AK30" i="3"/>
  <c r="AI30" i="3"/>
  <c r="AG30" i="3"/>
  <c r="AE30" i="3"/>
  <c r="U30" i="3"/>
  <c r="S30" i="3"/>
  <c r="Q30" i="3"/>
  <c r="O30" i="3"/>
  <c r="M30" i="3"/>
  <c r="I30" i="3"/>
  <c r="E30" i="3"/>
  <c r="AU30" i="3" s="1"/>
  <c r="AU29" i="3"/>
  <c r="AS29" i="3"/>
  <c r="AO29" i="3"/>
  <c r="AC29" i="3"/>
  <c r="Y29" i="3"/>
  <c r="S29" i="3"/>
  <c r="Q29" i="3"/>
  <c r="O29" i="3"/>
  <c r="E29" i="3"/>
  <c r="AI29" i="3" s="1"/>
  <c r="AU28" i="3"/>
  <c r="AO28" i="3"/>
  <c r="AG28" i="3"/>
  <c r="AE28" i="3"/>
  <c r="U28" i="3"/>
  <c r="S28" i="3"/>
  <c r="E28" i="3"/>
  <c r="AY27" i="3"/>
  <c r="AW27" i="3"/>
  <c r="AK27" i="3"/>
  <c r="AI27" i="3"/>
  <c r="AE27" i="3"/>
  <c r="AC27" i="3"/>
  <c r="Y27" i="3"/>
  <c r="Q27" i="3"/>
  <c r="M27" i="3"/>
  <c r="I27" i="3"/>
  <c r="E27" i="3"/>
  <c r="AY26" i="3"/>
  <c r="AS26" i="3"/>
  <c r="AO26" i="3"/>
  <c r="AK26" i="3"/>
  <c r="AI26" i="3"/>
  <c r="AG26" i="3"/>
  <c r="AE26" i="3"/>
  <c r="U26" i="3"/>
  <c r="S26" i="3"/>
  <c r="Q26" i="3"/>
  <c r="O26" i="3"/>
  <c r="M26" i="3"/>
  <c r="I26" i="3"/>
  <c r="E26" i="3"/>
  <c r="AU26" i="3" s="1"/>
  <c r="AW25" i="3"/>
  <c r="AS25" i="3"/>
  <c r="AO25" i="3"/>
  <c r="AK25" i="3"/>
  <c r="Y25" i="3"/>
  <c r="O25" i="3"/>
  <c r="E25" i="3"/>
  <c r="AU24" i="3"/>
  <c r="AS24" i="3"/>
  <c r="AI24" i="3"/>
  <c r="AG24" i="3"/>
  <c r="AE24" i="3"/>
  <c r="W24" i="3"/>
  <c r="Q24" i="3"/>
  <c r="M24" i="3"/>
  <c r="I24" i="3"/>
  <c r="G24" i="3"/>
  <c r="E24" i="3"/>
  <c r="AW24" i="3" s="1"/>
  <c r="AS23" i="3"/>
  <c r="AO23" i="3"/>
  <c r="AK23" i="3"/>
  <c r="AI23" i="3"/>
  <c r="AC23" i="3"/>
  <c r="AA23" i="3"/>
  <c r="W23" i="3"/>
  <c r="U23" i="3"/>
  <c r="M23" i="3"/>
  <c r="K23" i="3"/>
  <c r="I23" i="3"/>
  <c r="G23" i="3"/>
  <c r="E23" i="3"/>
  <c r="AM23" i="3" s="1"/>
  <c r="Y22" i="3"/>
  <c r="U22" i="3"/>
  <c r="E22" i="3"/>
  <c r="AO22" i="3" s="1"/>
  <c r="AO21" i="3"/>
  <c r="AI21" i="3"/>
  <c r="AC21" i="3"/>
  <c r="Y21" i="3"/>
  <c r="W21" i="3"/>
  <c r="U21" i="3"/>
  <c r="E21" i="3"/>
  <c r="AY20" i="3"/>
  <c r="AM20" i="3"/>
  <c r="AK20" i="3"/>
  <c r="AC20" i="3"/>
  <c r="S20" i="3"/>
  <c r="G20" i="3"/>
  <c r="E20" i="3"/>
  <c r="AY19" i="3"/>
  <c r="AQ19" i="3"/>
  <c r="AO19" i="3"/>
  <c r="AM19" i="3"/>
  <c r="AK19" i="3"/>
  <c r="AI19" i="3"/>
  <c r="AC19" i="3"/>
  <c r="AA19" i="3"/>
  <c r="W19" i="3"/>
  <c r="U19" i="3"/>
  <c r="S19" i="3"/>
  <c r="M19" i="3"/>
  <c r="K19" i="3"/>
  <c r="I19" i="3"/>
  <c r="G19" i="3"/>
  <c r="E19" i="3"/>
  <c r="AY18" i="3"/>
  <c r="AM18" i="3"/>
  <c r="AK18" i="3"/>
  <c r="AA18" i="3"/>
  <c r="S18" i="3"/>
  <c r="E18" i="3"/>
  <c r="AQ17" i="3"/>
  <c r="AO17" i="3"/>
  <c r="K17" i="3"/>
  <c r="E17" i="3"/>
  <c r="AY16" i="3"/>
  <c r="AS16" i="3"/>
  <c r="AC16" i="3"/>
  <c r="AA16" i="3"/>
  <c r="Y16" i="3"/>
  <c r="S16" i="3"/>
  <c r="M16" i="3"/>
  <c r="I16" i="3"/>
  <c r="E16" i="3"/>
  <c r="AY15" i="3"/>
  <c r="AQ15" i="3"/>
  <c r="AO15" i="3"/>
  <c r="AK15" i="3"/>
  <c r="AI15" i="3"/>
  <c r="AC15" i="3"/>
  <c r="AA15" i="3"/>
  <c r="W15" i="3"/>
  <c r="U15" i="3"/>
  <c r="M15" i="3"/>
  <c r="K15" i="3"/>
  <c r="I15" i="3"/>
  <c r="G15" i="3"/>
  <c r="E15" i="3"/>
  <c r="AM15" i="3" s="1"/>
  <c r="AO14" i="3"/>
  <c r="AM14" i="3"/>
  <c r="AK14" i="3"/>
  <c r="AA14" i="3"/>
  <c r="G14" i="3"/>
  <c r="E14" i="3"/>
  <c r="AQ13" i="3"/>
  <c r="AO13" i="3"/>
  <c r="K13" i="3"/>
  <c r="E13" i="3"/>
  <c r="AY12" i="3"/>
  <c r="AK12" i="3"/>
  <c r="S12" i="3"/>
  <c r="E12" i="3"/>
  <c r="AY11" i="3"/>
  <c r="AQ11" i="3"/>
  <c r="AO11" i="3"/>
  <c r="AK11" i="3"/>
  <c r="AI11" i="3"/>
  <c r="AC11" i="3"/>
  <c r="AA11" i="3"/>
  <c r="W11" i="3"/>
  <c r="U11" i="3"/>
  <c r="M11" i="3"/>
  <c r="K11" i="3"/>
  <c r="I11" i="3"/>
  <c r="G11" i="3"/>
  <c r="E11" i="3"/>
  <c r="AM11" i="3" s="1"/>
  <c r="AO10" i="3"/>
  <c r="AM10" i="3"/>
  <c r="AK10" i="3"/>
  <c r="AA10" i="3"/>
  <c r="G10" i="3"/>
  <c r="E10" i="3"/>
  <c r="AQ9" i="3"/>
  <c r="AO9" i="3"/>
  <c r="K9" i="3"/>
  <c r="E9" i="3"/>
  <c r="AM8" i="3"/>
  <c r="AK8" i="3"/>
  <c r="S8" i="3"/>
  <c r="E8" i="3"/>
  <c r="AY7" i="3"/>
  <c r="AQ7" i="3"/>
  <c r="AO7" i="3"/>
  <c r="AK7" i="3"/>
  <c r="AI7" i="3"/>
  <c r="AC7" i="3"/>
  <c r="AA7" i="3"/>
  <c r="W7" i="3"/>
  <c r="U7" i="3"/>
  <c r="M7" i="3"/>
  <c r="K7" i="3"/>
  <c r="I7" i="3"/>
  <c r="G7" i="3"/>
  <c r="E7" i="3"/>
  <c r="AM7" i="3" s="1"/>
  <c r="AM6" i="3"/>
  <c r="G6" i="3"/>
  <c r="E6" i="3"/>
  <c r="AO6" i="3" s="1"/>
  <c r="AC5" i="3"/>
  <c r="W5" i="3"/>
  <c r="K5" i="3"/>
  <c r="I5" i="3"/>
  <c r="E5" i="3"/>
  <c r="AM5" i="3" s="1"/>
  <c r="AQ4" i="3"/>
  <c r="AC4" i="3"/>
  <c r="AA4" i="3"/>
  <c r="Y4" i="3"/>
  <c r="W4" i="3"/>
  <c r="S4" i="3"/>
  <c r="E4" i="3"/>
  <c r="AY3" i="3"/>
  <c r="AQ3" i="3"/>
  <c r="AO3" i="3"/>
  <c r="AK3" i="3"/>
  <c r="AI3" i="3"/>
  <c r="AC3" i="3"/>
  <c r="AA3" i="3"/>
  <c r="W3" i="3"/>
  <c r="U3" i="3"/>
  <c r="M3" i="3"/>
  <c r="K3" i="3"/>
  <c r="I3" i="3"/>
  <c r="G3" i="3"/>
  <c r="E3" i="3"/>
  <c r="AM3" i="3" s="1"/>
  <c r="AA2" i="3"/>
  <c r="S2" i="3"/>
  <c r="E2" i="3"/>
  <c r="AK2" i="3" s="1"/>
  <c r="BO56" i="2"/>
  <c r="AU56" i="2"/>
  <c r="AX56" i="2" s="1"/>
  <c r="BA56" i="2" s="1"/>
  <c r="BD56" i="2" s="1"/>
  <c r="BG56" i="2" s="1"/>
  <c r="BJ56" i="2" s="1"/>
  <c r="AO56" i="2"/>
  <c r="AR56" i="2" s="1"/>
  <c r="Q56" i="2"/>
  <c r="T56" i="2" s="1"/>
  <c r="W56" i="2" s="1"/>
  <c r="Z56" i="2" s="1"/>
  <c r="AC56" i="2" s="1"/>
  <c r="AF56" i="2" s="1"/>
  <c r="AI56" i="2" s="1"/>
  <c r="AL56" i="2" s="1"/>
  <c r="N56" i="2"/>
  <c r="D56" i="2"/>
  <c r="F56" i="2" s="1"/>
  <c r="H56" i="2" s="1"/>
  <c r="AI55" i="2"/>
  <c r="AL55" i="2" s="1"/>
  <c r="AO55" i="2" s="1"/>
  <c r="AR55" i="2" s="1"/>
  <c r="AU55" i="2" s="1"/>
  <c r="AX55" i="2" s="1"/>
  <c r="BA55" i="2" s="1"/>
  <c r="BD55" i="2" s="1"/>
  <c r="BG55" i="2" s="1"/>
  <c r="BJ55" i="2" s="1"/>
  <c r="BM55" i="2" s="1"/>
  <c r="BO55" i="2" s="1"/>
  <c r="Z55" i="2"/>
  <c r="AC55" i="2" s="1"/>
  <c r="AF55" i="2" s="1"/>
  <c r="Q55" i="2"/>
  <c r="T55" i="2" s="1"/>
  <c r="K55" i="2"/>
  <c r="N55" i="2" s="1"/>
  <c r="H55" i="2"/>
  <c r="D55" i="2"/>
  <c r="F55" i="2" s="1"/>
  <c r="AR54" i="2"/>
  <c r="AU54" i="2" s="1"/>
  <c r="AX54" i="2" s="1"/>
  <c r="BA54" i="2" s="1"/>
  <c r="BD54" i="2" s="1"/>
  <c r="BG54" i="2" s="1"/>
  <c r="BJ54" i="2" s="1"/>
  <c r="BM54" i="2" s="1"/>
  <c r="BO54" i="2" s="1"/>
  <c r="AF54" i="2"/>
  <c r="AI54" i="2" s="1"/>
  <c r="AL54" i="2" s="1"/>
  <c r="AO54" i="2" s="1"/>
  <c r="AC54" i="2"/>
  <c r="Z54" i="2"/>
  <c r="D54" i="2"/>
  <c r="F54" i="2" s="1"/>
  <c r="H54" i="2" s="1"/>
  <c r="K54" i="2" s="1"/>
  <c r="N54" i="2" s="1"/>
  <c r="Q54" i="2" s="1"/>
  <c r="T54" i="2" s="1"/>
  <c r="K53" i="2"/>
  <c r="N53" i="2" s="1"/>
  <c r="Q53" i="2" s="1"/>
  <c r="T53" i="2" s="1"/>
  <c r="W53" i="2" s="1"/>
  <c r="Z53" i="2" s="1"/>
  <c r="AC53" i="2" s="1"/>
  <c r="AF53" i="2" s="1"/>
  <c r="AI53" i="2" s="1"/>
  <c r="AL53" i="2" s="1"/>
  <c r="AO53" i="2" s="1"/>
  <c r="AR53" i="2" s="1"/>
  <c r="AU53" i="2" s="1"/>
  <c r="AX53" i="2" s="1"/>
  <c r="BA53" i="2" s="1"/>
  <c r="BD53" i="2" s="1"/>
  <c r="BG53" i="2" s="1"/>
  <c r="BJ53" i="2" s="1"/>
  <c r="BM53" i="2" s="1"/>
  <c r="BO53" i="2" s="1"/>
  <c r="H53" i="2"/>
  <c r="F53" i="2"/>
  <c r="D53" i="2"/>
  <c r="D52" i="2"/>
  <c r="F52" i="2" s="1"/>
  <c r="H52" i="2" s="1"/>
  <c r="K52" i="2" s="1"/>
  <c r="N52" i="2" s="1"/>
  <c r="Q52" i="2" s="1"/>
  <c r="T52" i="2" s="1"/>
  <c r="W52" i="2" s="1"/>
  <c r="Z52" i="2" s="1"/>
  <c r="AC52" i="2" s="1"/>
  <c r="AF52" i="2" s="1"/>
  <c r="AI52" i="2" s="1"/>
  <c r="AL52" i="2" s="1"/>
  <c r="AO52" i="2" s="1"/>
  <c r="AR52" i="2" s="1"/>
  <c r="AU52" i="2" s="1"/>
  <c r="AX52" i="2" s="1"/>
  <c r="BA52" i="2" s="1"/>
  <c r="BD52" i="2" s="1"/>
  <c r="BG52" i="2" s="1"/>
  <c r="BJ52" i="2" s="1"/>
  <c r="BM52" i="2" s="1"/>
  <c r="BO52" i="2" s="1"/>
  <c r="AC51" i="2"/>
  <c r="AF51" i="2" s="1"/>
  <c r="AI51" i="2" s="1"/>
  <c r="AL51" i="2" s="1"/>
  <c r="AO51" i="2" s="1"/>
  <c r="AR51" i="2" s="1"/>
  <c r="AU51" i="2" s="1"/>
  <c r="AX51" i="2" s="1"/>
  <c r="BA51" i="2" s="1"/>
  <c r="BD51" i="2" s="1"/>
  <c r="BG51" i="2" s="1"/>
  <c r="BJ51" i="2" s="1"/>
  <c r="BM51" i="2" s="1"/>
  <c r="BO51" i="2" s="1"/>
  <c r="N51" i="2"/>
  <c r="Q51" i="2" s="1"/>
  <c r="T51" i="2" s="1"/>
  <c r="W51" i="2" s="1"/>
  <c r="Z51" i="2" s="1"/>
  <c r="D51" i="2"/>
  <c r="F51" i="2" s="1"/>
  <c r="H51" i="2" s="1"/>
  <c r="K51" i="2" s="1"/>
  <c r="AI50" i="2"/>
  <c r="AL50" i="2" s="1"/>
  <c r="AO50" i="2" s="1"/>
  <c r="AR50" i="2" s="1"/>
  <c r="AU50" i="2" s="1"/>
  <c r="AX50" i="2" s="1"/>
  <c r="BA50" i="2" s="1"/>
  <c r="BD50" i="2" s="1"/>
  <c r="BG50" i="2" s="1"/>
  <c r="BJ50" i="2" s="1"/>
  <c r="BM50" i="2" s="1"/>
  <c r="BO50" i="2" s="1"/>
  <c r="W50" i="2"/>
  <c r="Z50" i="2" s="1"/>
  <c r="AC50" i="2" s="1"/>
  <c r="AF50" i="2" s="1"/>
  <c r="T50" i="2"/>
  <c r="F50" i="2"/>
  <c r="H50" i="2" s="1"/>
  <c r="K50" i="2" s="1"/>
  <c r="N50" i="2" s="1"/>
  <c r="Q50" i="2" s="1"/>
  <c r="D50" i="2"/>
  <c r="W49" i="2"/>
  <c r="Z49" i="2" s="1"/>
  <c r="AC49" i="2" s="1"/>
  <c r="AF49" i="2" s="1"/>
  <c r="AI49" i="2" s="1"/>
  <c r="AL49" i="2" s="1"/>
  <c r="AO49" i="2" s="1"/>
  <c r="AR49" i="2" s="1"/>
  <c r="AU49" i="2" s="1"/>
  <c r="AX49" i="2" s="1"/>
  <c r="BA49" i="2" s="1"/>
  <c r="BD49" i="2" s="1"/>
  <c r="BG49" i="2" s="1"/>
  <c r="BJ49" i="2" s="1"/>
  <c r="BM49" i="2" s="1"/>
  <c r="BO49" i="2" s="1"/>
  <c r="D49" i="2"/>
  <c r="F49" i="2" s="1"/>
  <c r="H49" i="2" s="1"/>
  <c r="K49" i="2" s="1"/>
  <c r="N49" i="2" s="1"/>
  <c r="Q49" i="2" s="1"/>
  <c r="T49" i="2" s="1"/>
  <c r="AR48" i="2"/>
  <c r="AU48" i="2" s="1"/>
  <c r="AX48" i="2" s="1"/>
  <c r="BA48" i="2" s="1"/>
  <c r="BD48" i="2" s="1"/>
  <c r="BG48" i="2" s="1"/>
  <c r="BJ48" i="2" s="1"/>
  <c r="BM48" i="2" s="1"/>
  <c r="BO48" i="2" s="1"/>
  <c r="AL48" i="2"/>
  <c r="AO48" i="2" s="1"/>
  <c r="Z48" i="2"/>
  <c r="AC48" i="2" s="1"/>
  <c r="AF48" i="2" s="1"/>
  <c r="D48" i="2"/>
  <c r="F48" i="2" s="1"/>
  <c r="H48" i="2" s="1"/>
  <c r="K48" i="2" s="1"/>
  <c r="N48" i="2" s="1"/>
  <c r="Q48" i="2" s="1"/>
  <c r="T48" i="2" s="1"/>
  <c r="AC47" i="2"/>
  <c r="AF47" i="2" s="1"/>
  <c r="AI47" i="2" s="1"/>
  <c r="AL47" i="2" s="1"/>
  <c r="AO47" i="2" s="1"/>
  <c r="AR47" i="2" s="1"/>
  <c r="AU47" i="2" s="1"/>
  <c r="AX47" i="2" s="1"/>
  <c r="BA47" i="2" s="1"/>
  <c r="BD47" i="2" s="1"/>
  <c r="BG47" i="2" s="1"/>
  <c r="BJ47" i="2" s="1"/>
  <c r="BM47" i="2" s="1"/>
  <c r="BO47" i="2" s="1"/>
  <c r="Z47" i="2"/>
  <c r="H47" i="2"/>
  <c r="K47" i="2" s="1"/>
  <c r="N47" i="2" s="1"/>
  <c r="Q47" i="2" s="1"/>
  <c r="T47" i="2" s="1"/>
  <c r="F47" i="2"/>
  <c r="D47" i="2"/>
  <c r="AL46" i="2"/>
  <c r="AO46" i="2" s="1"/>
  <c r="AR46" i="2" s="1"/>
  <c r="AU46" i="2" s="1"/>
  <c r="AX46" i="2" s="1"/>
  <c r="BA46" i="2" s="1"/>
  <c r="BD46" i="2" s="1"/>
  <c r="BG46" i="2" s="1"/>
  <c r="BJ46" i="2" s="1"/>
  <c r="BM46" i="2" s="1"/>
  <c r="BO46" i="2" s="1"/>
  <c r="AF46" i="2"/>
  <c r="AI46" i="2" s="1"/>
  <c r="Z46" i="2"/>
  <c r="AC46" i="2" s="1"/>
  <c r="D46" i="2"/>
  <c r="F46" i="2" s="1"/>
  <c r="H46" i="2" s="1"/>
  <c r="K46" i="2" s="1"/>
  <c r="N46" i="2" s="1"/>
  <c r="Q46" i="2" s="1"/>
  <c r="T46" i="2" s="1"/>
  <c r="BO45" i="2"/>
  <c r="AR45" i="2"/>
  <c r="AU45" i="2" s="1"/>
  <c r="AX45" i="2" s="1"/>
  <c r="BA45" i="2" s="1"/>
  <c r="BD45" i="2" s="1"/>
  <c r="BG45" i="2" s="1"/>
  <c r="BJ45" i="2" s="1"/>
  <c r="BM45" i="2" s="1"/>
  <c r="Z45" i="2"/>
  <c r="AC45" i="2" s="1"/>
  <c r="AF45" i="2" s="1"/>
  <c r="AI45" i="2" s="1"/>
  <c r="AL45" i="2" s="1"/>
  <c r="AO45" i="2" s="1"/>
  <c r="T45" i="2"/>
  <c r="F45" i="2"/>
  <c r="H45" i="2" s="1"/>
  <c r="K45" i="2" s="1"/>
  <c r="N45" i="2" s="1"/>
  <c r="Q45" i="2" s="1"/>
  <c r="D45" i="2"/>
  <c r="AO44" i="2"/>
  <c r="AR44" i="2" s="1"/>
  <c r="AU44" i="2" s="1"/>
  <c r="AX44" i="2" s="1"/>
  <c r="BA44" i="2" s="1"/>
  <c r="BD44" i="2" s="1"/>
  <c r="BG44" i="2" s="1"/>
  <c r="BJ44" i="2" s="1"/>
  <c r="BM44" i="2" s="1"/>
  <c r="BO44" i="2" s="1"/>
  <c r="AL44" i="2"/>
  <c r="Z44" i="2"/>
  <c r="AC44" i="2" s="1"/>
  <c r="AF44" i="2" s="1"/>
  <c r="N44" i="2"/>
  <c r="Q44" i="2" s="1"/>
  <c r="T44" i="2" s="1"/>
  <c r="K44" i="2"/>
  <c r="F44" i="2"/>
  <c r="D44" i="2"/>
  <c r="AO43" i="2"/>
  <c r="AR43" i="2" s="1"/>
  <c r="AU43" i="2" s="1"/>
  <c r="AX43" i="2" s="1"/>
  <c r="BA43" i="2" s="1"/>
  <c r="BD43" i="2" s="1"/>
  <c r="BG43" i="2" s="1"/>
  <c r="BJ43" i="2" s="1"/>
  <c r="BM43" i="2" s="1"/>
  <c r="BO43" i="2" s="1"/>
  <c r="AL43" i="2"/>
  <c r="Z43" i="2"/>
  <c r="AC43" i="2" s="1"/>
  <c r="AF43" i="2" s="1"/>
  <c r="AI43" i="2" s="1"/>
  <c r="K43" i="2"/>
  <c r="N43" i="2" s="1"/>
  <c r="Q43" i="2" s="1"/>
  <c r="T43" i="2" s="1"/>
  <c r="D43" i="2"/>
  <c r="F43" i="2" s="1"/>
  <c r="AL42" i="2"/>
  <c r="AO42" i="2" s="1"/>
  <c r="AR42" i="2" s="1"/>
  <c r="AU42" i="2" s="1"/>
  <c r="AX42" i="2" s="1"/>
  <c r="BA42" i="2" s="1"/>
  <c r="BD42" i="2" s="1"/>
  <c r="BG42" i="2" s="1"/>
  <c r="BJ42" i="2" s="1"/>
  <c r="BM42" i="2" s="1"/>
  <c r="BO42" i="2" s="1"/>
  <c r="AC42" i="2"/>
  <c r="AF42" i="2" s="1"/>
  <c r="AI42" i="2" s="1"/>
  <c r="Z42" i="2"/>
  <c r="Q42" i="2"/>
  <c r="T42" i="2" s="1"/>
  <c r="N42" i="2"/>
  <c r="K42" i="2"/>
  <c r="D42" i="2"/>
  <c r="F42" i="2" s="1"/>
  <c r="AU41" i="2"/>
  <c r="AX41" i="2" s="1"/>
  <c r="BA41" i="2" s="1"/>
  <c r="BD41" i="2" s="1"/>
  <c r="BG41" i="2" s="1"/>
  <c r="BJ41" i="2" s="1"/>
  <c r="BM41" i="2" s="1"/>
  <c r="BO41" i="2" s="1"/>
  <c r="AR41" i="2"/>
  <c r="AL41" i="2"/>
  <c r="AO41" i="2" s="1"/>
  <c r="AC41" i="2"/>
  <c r="AF41" i="2" s="1"/>
  <c r="AI41" i="2" s="1"/>
  <c r="Z41" i="2"/>
  <c r="K41" i="2"/>
  <c r="N41" i="2" s="1"/>
  <c r="Q41" i="2" s="1"/>
  <c r="T41" i="2" s="1"/>
  <c r="F41" i="2"/>
  <c r="D41" i="2"/>
  <c r="Z40" i="2"/>
  <c r="AC40" i="2" s="1"/>
  <c r="AF40" i="2" s="1"/>
  <c r="AI40" i="2" s="1"/>
  <c r="AL40" i="2" s="1"/>
  <c r="AO40" i="2" s="1"/>
  <c r="AR40" i="2" s="1"/>
  <c r="AU40" i="2" s="1"/>
  <c r="AX40" i="2" s="1"/>
  <c r="BA40" i="2" s="1"/>
  <c r="BD40" i="2" s="1"/>
  <c r="BG40" i="2" s="1"/>
  <c r="BJ40" i="2" s="1"/>
  <c r="BM40" i="2" s="1"/>
  <c r="BO40" i="2" s="1"/>
  <c r="K40" i="2"/>
  <c r="N40" i="2" s="1"/>
  <c r="Q40" i="2" s="1"/>
  <c r="T40" i="2" s="1"/>
  <c r="W40" i="2" s="1"/>
  <c r="D40" i="2"/>
  <c r="F40" i="2" s="1"/>
  <c r="H40" i="2" s="1"/>
  <c r="AI39" i="2"/>
  <c r="AL39" i="2" s="1"/>
  <c r="AO39" i="2" s="1"/>
  <c r="AR39" i="2" s="1"/>
  <c r="AU39" i="2" s="1"/>
  <c r="AX39" i="2" s="1"/>
  <c r="BA39" i="2" s="1"/>
  <c r="BD39" i="2" s="1"/>
  <c r="BG39" i="2" s="1"/>
  <c r="BJ39" i="2" s="1"/>
  <c r="BM39" i="2" s="1"/>
  <c r="BO39" i="2" s="1"/>
  <c r="W39" i="2"/>
  <c r="Z39" i="2" s="1"/>
  <c r="AC39" i="2" s="1"/>
  <c r="AF39" i="2" s="1"/>
  <c r="T39" i="2"/>
  <c r="Q39" i="2"/>
  <c r="D39" i="2"/>
  <c r="F39" i="2" s="1"/>
  <c r="H39" i="2" s="1"/>
  <c r="K39" i="2" s="1"/>
  <c r="N39" i="2" s="1"/>
  <c r="W38" i="2"/>
  <c r="Z38" i="2" s="1"/>
  <c r="AC38" i="2" s="1"/>
  <c r="AF38" i="2" s="1"/>
  <c r="AI38" i="2" s="1"/>
  <c r="AL38" i="2" s="1"/>
  <c r="AO38" i="2" s="1"/>
  <c r="AR38" i="2" s="1"/>
  <c r="AU38" i="2" s="1"/>
  <c r="AX38" i="2" s="1"/>
  <c r="BA38" i="2" s="1"/>
  <c r="BD38" i="2" s="1"/>
  <c r="BG38" i="2" s="1"/>
  <c r="BJ38" i="2" s="1"/>
  <c r="BM38" i="2" s="1"/>
  <c r="BO38" i="2" s="1"/>
  <c r="F38" i="2"/>
  <c r="H38" i="2" s="1"/>
  <c r="K38" i="2" s="1"/>
  <c r="N38" i="2" s="1"/>
  <c r="Q38" i="2" s="1"/>
  <c r="T38" i="2" s="1"/>
  <c r="D38" i="2"/>
  <c r="D37" i="2"/>
  <c r="F37" i="2" s="1"/>
  <c r="H37" i="2" s="1"/>
  <c r="K37" i="2" s="1"/>
  <c r="N37" i="2" s="1"/>
  <c r="Q37" i="2" s="1"/>
  <c r="T37" i="2" s="1"/>
  <c r="W37" i="2" s="1"/>
  <c r="Z37" i="2" s="1"/>
  <c r="AC37" i="2" s="1"/>
  <c r="AF37" i="2" s="1"/>
  <c r="AI37" i="2" s="1"/>
  <c r="AL37" i="2" s="1"/>
  <c r="AO37" i="2" s="1"/>
  <c r="AR37" i="2" s="1"/>
  <c r="AU37" i="2" s="1"/>
  <c r="AX37" i="2" s="1"/>
  <c r="BA37" i="2" s="1"/>
  <c r="BD37" i="2" s="1"/>
  <c r="BG37" i="2" s="1"/>
  <c r="BJ37" i="2" s="1"/>
  <c r="BM37" i="2" s="1"/>
  <c r="BO37" i="2" s="1"/>
  <c r="Q36" i="2"/>
  <c r="T36" i="2" s="1"/>
  <c r="W36" i="2" s="1"/>
  <c r="Z36" i="2" s="1"/>
  <c r="AC36" i="2" s="1"/>
  <c r="AF36" i="2" s="1"/>
  <c r="AI36" i="2" s="1"/>
  <c r="AL36" i="2" s="1"/>
  <c r="AO36" i="2" s="1"/>
  <c r="AR36" i="2" s="1"/>
  <c r="AU36" i="2" s="1"/>
  <c r="AX36" i="2" s="1"/>
  <c r="BA36" i="2" s="1"/>
  <c r="BD36" i="2" s="1"/>
  <c r="BG36" i="2" s="1"/>
  <c r="BJ36" i="2" s="1"/>
  <c r="BM36" i="2" s="1"/>
  <c r="BO36" i="2" s="1"/>
  <c r="N36" i="2"/>
  <c r="K36" i="2"/>
  <c r="H36" i="2"/>
  <c r="D36" i="2"/>
  <c r="F36" i="2" s="1"/>
  <c r="T35" i="2"/>
  <c r="W35" i="2" s="1"/>
  <c r="Z35" i="2" s="1"/>
  <c r="AC35" i="2" s="1"/>
  <c r="AF35" i="2" s="1"/>
  <c r="AI35" i="2" s="1"/>
  <c r="AL35" i="2" s="1"/>
  <c r="AO35" i="2" s="1"/>
  <c r="AR35" i="2" s="1"/>
  <c r="AU35" i="2" s="1"/>
  <c r="AX35" i="2" s="1"/>
  <c r="BA35" i="2" s="1"/>
  <c r="BD35" i="2" s="1"/>
  <c r="BG35" i="2" s="1"/>
  <c r="BJ35" i="2" s="1"/>
  <c r="BM35" i="2" s="1"/>
  <c r="BO35" i="2" s="1"/>
  <c r="H35" i="2"/>
  <c r="K35" i="2" s="1"/>
  <c r="N35" i="2" s="1"/>
  <c r="Q35" i="2" s="1"/>
  <c r="F35" i="2"/>
  <c r="D35" i="2"/>
  <c r="D34" i="2"/>
  <c r="F34" i="2" s="1"/>
  <c r="H34" i="2" s="1"/>
  <c r="K34" i="2" s="1"/>
  <c r="N34" i="2" s="1"/>
  <c r="Q34" i="2" s="1"/>
  <c r="T34" i="2" s="1"/>
  <c r="W34" i="2" s="1"/>
  <c r="Z34" i="2" s="1"/>
  <c r="AC34" i="2" s="1"/>
  <c r="AF34" i="2" s="1"/>
  <c r="AI34" i="2" s="1"/>
  <c r="AL34" i="2" s="1"/>
  <c r="AO34" i="2" s="1"/>
  <c r="AR34" i="2" s="1"/>
  <c r="AU34" i="2" s="1"/>
  <c r="AX34" i="2" s="1"/>
  <c r="BA34" i="2" s="1"/>
  <c r="BD34" i="2" s="1"/>
  <c r="BG34" i="2" s="1"/>
  <c r="BJ34" i="2" s="1"/>
  <c r="BM34" i="2" s="1"/>
  <c r="BO34" i="2" s="1"/>
  <c r="D33" i="2"/>
  <c r="F33" i="2" s="1"/>
  <c r="H33" i="2" s="1"/>
  <c r="K33" i="2" s="1"/>
  <c r="N33" i="2" s="1"/>
  <c r="Q33" i="2" s="1"/>
  <c r="T33" i="2" s="1"/>
  <c r="W33" i="2" s="1"/>
  <c r="Z33" i="2" s="1"/>
  <c r="AC33" i="2" s="1"/>
  <c r="AF33" i="2" s="1"/>
  <c r="AI33" i="2" s="1"/>
  <c r="AL33" i="2" s="1"/>
  <c r="AO33" i="2" s="1"/>
  <c r="AR33" i="2" s="1"/>
  <c r="AU33" i="2" s="1"/>
  <c r="AX33" i="2" s="1"/>
  <c r="BA33" i="2" s="1"/>
  <c r="BD33" i="2" s="1"/>
  <c r="BG33" i="2" s="1"/>
  <c r="BJ33" i="2" s="1"/>
  <c r="BM33" i="2" s="1"/>
  <c r="BO33" i="2" s="1"/>
  <c r="AC32" i="2"/>
  <c r="AF32" i="2" s="1"/>
  <c r="AI32" i="2" s="1"/>
  <c r="AL32" i="2" s="1"/>
  <c r="AO32" i="2" s="1"/>
  <c r="AR32" i="2" s="1"/>
  <c r="AU32" i="2" s="1"/>
  <c r="AX32" i="2" s="1"/>
  <c r="BA32" i="2" s="1"/>
  <c r="BD32" i="2" s="1"/>
  <c r="BG32" i="2" s="1"/>
  <c r="BJ32" i="2" s="1"/>
  <c r="BM32" i="2" s="1"/>
  <c r="BO32" i="2" s="1"/>
  <c r="K32" i="2"/>
  <c r="N32" i="2" s="1"/>
  <c r="Q32" i="2" s="1"/>
  <c r="T32" i="2" s="1"/>
  <c r="W32" i="2" s="1"/>
  <c r="Z32" i="2" s="1"/>
  <c r="F32" i="2"/>
  <c r="H32" i="2" s="1"/>
  <c r="D32" i="2"/>
  <c r="D31" i="2"/>
  <c r="F31" i="2" s="1"/>
  <c r="H31" i="2" s="1"/>
  <c r="K31" i="2" s="1"/>
  <c r="N31" i="2" s="1"/>
  <c r="Q31" i="2" s="1"/>
  <c r="T31" i="2" s="1"/>
  <c r="W31" i="2" s="1"/>
  <c r="Z31" i="2" s="1"/>
  <c r="AC31" i="2" s="1"/>
  <c r="AF31" i="2" s="1"/>
  <c r="AI31" i="2" s="1"/>
  <c r="AL31" i="2" s="1"/>
  <c r="AO31" i="2" s="1"/>
  <c r="AR31" i="2" s="1"/>
  <c r="AU31" i="2" s="1"/>
  <c r="AX31" i="2" s="1"/>
  <c r="BA31" i="2" s="1"/>
  <c r="BD31" i="2" s="1"/>
  <c r="BG31" i="2" s="1"/>
  <c r="BJ31" i="2" s="1"/>
  <c r="BM31" i="2" s="1"/>
  <c r="BO31" i="2" s="1"/>
  <c r="Q30" i="2"/>
  <c r="T30" i="2" s="1"/>
  <c r="W30" i="2" s="1"/>
  <c r="Z30" i="2" s="1"/>
  <c r="AC30" i="2" s="1"/>
  <c r="AF30" i="2" s="1"/>
  <c r="AI30" i="2" s="1"/>
  <c r="AL30" i="2" s="1"/>
  <c r="AO30" i="2" s="1"/>
  <c r="AR30" i="2" s="1"/>
  <c r="AU30" i="2" s="1"/>
  <c r="AX30" i="2" s="1"/>
  <c r="BA30" i="2" s="1"/>
  <c r="BD30" i="2" s="1"/>
  <c r="BG30" i="2" s="1"/>
  <c r="BJ30" i="2" s="1"/>
  <c r="BM30" i="2" s="1"/>
  <c r="BO30" i="2" s="1"/>
  <c r="N30" i="2"/>
  <c r="H30" i="2"/>
  <c r="K30" i="2" s="1"/>
  <c r="F30" i="2"/>
  <c r="D30" i="2"/>
  <c r="Q29" i="2"/>
  <c r="T29" i="2" s="1"/>
  <c r="W29" i="2" s="1"/>
  <c r="Z29" i="2" s="1"/>
  <c r="AC29" i="2" s="1"/>
  <c r="AF29" i="2" s="1"/>
  <c r="AI29" i="2" s="1"/>
  <c r="AL29" i="2" s="1"/>
  <c r="AO29" i="2" s="1"/>
  <c r="AR29" i="2" s="1"/>
  <c r="AU29" i="2" s="1"/>
  <c r="AX29" i="2" s="1"/>
  <c r="BA29" i="2" s="1"/>
  <c r="BD29" i="2" s="1"/>
  <c r="BG29" i="2" s="1"/>
  <c r="BJ29" i="2" s="1"/>
  <c r="BM29" i="2" s="1"/>
  <c r="BO29" i="2" s="1"/>
  <c r="H29" i="2"/>
  <c r="F29" i="2"/>
  <c r="D29" i="2"/>
  <c r="W28" i="2"/>
  <c r="Z28" i="2" s="1"/>
  <c r="AC28" i="2" s="1"/>
  <c r="AF28" i="2" s="1"/>
  <c r="AI28" i="2" s="1"/>
  <c r="AL28" i="2" s="1"/>
  <c r="AO28" i="2" s="1"/>
  <c r="AR28" i="2" s="1"/>
  <c r="AU28" i="2" s="1"/>
  <c r="AX28" i="2" s="1"/>
  <c r="BA28" i="2" s="1"/>
  <c r="BD28" i="2" s="1"/>
  <c r="BG28" i="2" s="1"/>
  <c r="BJ28" i="2" s="1"/>
  <c r="BM28" i="2" s="1"/>
  <c r="BO28" i="2" s="1"/>
  <c r="Q28" i="2"/>
  <c r="F28" i="2"/>
  <c r="H28" i="2" s="1"/>
  <c r="K28" i="2" s="1"/>
  <c r="N28" i="2" s="1"/>
  <c r="D28" i="2"/>
  <c r="Z27" i="2"/>
  <c r="AC27" i="2" s="1"/>
  <c r="AF27" i="2" s="1"/>
  <c r="AI27" i="2" s="1"/>
  <c r="AL27" i="2" s="1"/>
  <c r="AO27" i="2" s="1"/>
  <c r="AR27" i="2" s="1"/>
  <c r="AU27" i="2" s="1"/>
  <c r="AX27" i="2" s="1"/>
  <c r="BA27" i="2" s="1"/>
  <c r="BD27" i="2" s="1"/>
  <c r="BG27" i="2" s="1"/>
  <c r="BJ27" i="2" s="1"/>
  <c r="BM27" i="2" s="1"/>
  <c r="BO27" i="2" s="1"/>
  <c r="W27" i="2"/>
  <c r="N27" i="2"/>
  <c r="Q27" i="2" s="1"/>
  <c r="T27" i="2" s="1"/>
  <c r="K27" i="2"/>
  <c r="F27" i="2"/>
  <c r="D27" i="2"/>
  <c r="AR26" i="2"/>
  <c r="AU26" i="2" s="1"/>
  <c r="AX26" i="2" s="1"/>
  <c r="BA26" i="2" s="1"/>
  <c r="BD26" i="2" s="1"/>
  <c r="BG26" i="2" s="1"/>
  <c r="BJ26" i="2" s="1"/>
  <c r="BM26" i="2" s="1"/>
  <c r="BO26" i="2" s="1"/>
  <c r="AO26" i="2"/>
  <c r="AL26" i="2"/>
  <c r="D26" i="2"/>
  <c r="F26" i="2" s="1"/>
  <c r="H26" i="2" s="1"/>
  <c r="K26" i="2" s="1"/>
  <c r="N26" i="2" s="1"/>
  <c r="Q26" i="2" s="1"/>
  <c r="T26" i="2" s="1"/>
  <c r="W26" i="2" s="1"/>
  <c r="Z26" i="2" s="1"/>
  <c r="AC26" i="2" s="1"/>
  <c r="AF26" i="2" s="1"/>
  <c r="AI25" i="2"/>
  <c r="AL25" i="2" s="1"/>
  <c r="AO25" i="2" s="1"/>
  <c r="AR25" i="2" s="1"/>
  <c r="AU25" i="2" s="1"/>
  <c r="AX25" i="2" s="1"/>
  <c r="BA25" i="2" s="1"/>
  <c r="BD25" i="2" s="1"/>
  <c r="BG25" i="2" s="1"/>
  <c r="BJ25" i="2" s="1"/>
  <c r="BM25" i="2" s="1"/>
  <c r="BO25" i="2" s="1"/>
  <c r="Z25" i="2"/>
  <c r="AC25" i="2" s="1"/>
  <c r="AF25" i="2" s="1"/>
  <c r="W25" i="2"/>
  <c r="D25" i="2"/>
  <c r="F25" i="2" s="1"/>
  <c r="H25" i="2" s="1"/>
  <c r="K25" i="2" s="1"/>
  <c r="N25" i="2" s="1"/>
  <c r="Q25" i="2" s="1"/>
  <c r="H24" i="2"/>
  <c r="K24" i="2" s="1"/>
  <c r="N24" i="2" s="1"/>
  <c r="Q24" i="2" s="1"/>
  <c r="T24" i="2" s="1"/>
  <c r="W24" i="2" s="1"/>
  <c r="Z24" i="2" s="1"/>
  <c r="AC24" i="2" s="1"/>
  <c r="AF24" i="2" s="1"/>
  <c r="AI24" i="2" s="1"/>
  <c r="AL24" i="2" s="1"/>
  <c r="AO24" i="2" s="1"/>
  <c r="AR24" i="2" s="1"/>
  <c r="AU24" i="2" s="1"/>
  <c r="AX24" i="2" s="1"/>
  <c r="BA24" i="2" s="1"/>
  <c r="BD24" i="2" s="1"/>
  <c r="BG24" i="2" s="1"/>
  <c r="BJ24" i="2" s="1"/>
  <c r="BM24" i="2" s="1"/>
  <c r="BO24" i="2" s="1"/>
  <c r="F24" i="2"/>
  <c r="D24" i="2"/>
  <c r="D23" i="2"/>
  <c r="F23" i="2" s="1"/>
  <c r="H23" i="2" s="1"/>
  <c r="K23" i="2" s="1"/>
  <c r="N23" i="2" s="1"/>
  <c r="Q23" i="2" s="1"/>
  <c r="T23" i="2" s="1"/>
  <c r="W23" i="2" s="1"/>
  <c r="Z23" i="2" s="1"/>
  <c r="AC23" i="2" s="1"/>
  <c r="AF23" i="2" s="1"/>
  <c r="AI23" i="2" s="1"/>
  <c r="AL23" i="2" s="1"/>
  <c r="AO23" i="2" s="1"/>
  <c r="AR23" i="2" s="1"/>
  <c r="AU23" i="2" s="1"/>
  <c r="AX23" i="2" s="1"/>
  <c r="BA23" i="2" s="1"/>
  <c r="BD23" i="2" s="1"/>
  <c r="BG23" i="2" s="1"/>
  <c r="BJ23" i="2" s="1"/>
  <c r="BM23" i="2" s="1"/>
  <c r="BO23" i="2" s="1"/>
  <c r="Z22" i="2"/>
  <c r="AC22" i="2" s="1"/>
  <c r="AF22" i="2" s="1"/>
  <c r="AI22" i="2" s="1"/>
  <c r="AL22" i="2" s="1"/>
  <c r="AO22" i="2" s="1"/>
  <c r="AR22" i="2" s="1"/>
  <c r="AU22" i="2" s="1"/>
  <c r="AX22" i="2" s="1"/>
  <c r="BA22" i="2" s="1"/>
  <c r="BD22" i="2" s="1"/>
  <c r="BG22" i="2" s="1"/>
  <c r="BJ22" i="2" s="1"/>
  <c r="BM22" i="2" s="1"/>
  <c r="BO22" i="2" s="1"/>
  <c r="W22" i="2"/>
  <c r="F22" i="2"/>
  <c r="H22" i="2" s="1"/>
  <c r="K22" i="2" s="1"/>
  <c r="N22" i="2" s="1"/>
  <c r="Q22" i="2" s="1"/>
  <c r="T22" i="2" s="1"/>
  <c r="D22" i="2"/>
  <c r="Z21" i="2"/>
  <c r="AC21" i="2" s="1"/>
  <c r="AF21" i="2" s="1"/>
  <c r="AI21" i="2" s="1"/>
  <c r="AL21" i="2" s="1"/>
  <c r="AO21" i="2" s="1"/>
  <c r="AR21" i="2" s="1"/>
  <c r="AU21" i="2" s="1"/>
  <c r="AX21" i="2" s="1"/>
  <c r="BA21" i="2" s="1"/>
  <c r="BD21" i="2" s="1"/>
  <c r="BG21" i="2" s="1"/>
  <c r="BJ21" i="2" s="1"/>
  <c r="BM21" i="2" s="1"/>
  <c r="BO21" i="2" s="1"/>
  <c r="H21" i="2"/>
  <c r="K21" i="2" s="1"/>
  <c r="N21" i="2" s="1"/>
  <c r="Q21" i="2" s="1"/>
  <c r="T21" i="2" s="1"/>
  <c r="W21" i="2" s="1"/>
  <c r="D21" i="2"/>
  <c r="F21" i="2" s="1"/>
  <c r="Q20" i="2"/>
  <c r="T20" i="2" s="1"/>
  <c r="W20" i="2" s="1"/>
  <c r="Z20" i="2" s="1"/>
  <c r="AC20" i="2" s="1"/>
  <c r="AF20" i="2" s="1"/>
  <c r="AI20" i="2" s="1"/>
  <c r="AL20" i="2" s="1"/>
  <c r="AO20" i="2" s="1"/>
  <c r="AR20" i="2" s="1"/>
  <c r="AU20" i="2" s="1"/>
  <c r="AX20" i="2" s="1"/>
  <c r="BA20" i="2" s="1"/>
  <c r="BD20" i="2" s="1"/>
  <c r="BG20" i="2" s="1"/>
  <c r="BJ20" i="2" s="1"/>
  <c r="BM20" i="2" s="1"/>
  <c r="BO20" i="2" s="1"/>
  <c r="D20" i="2"/>
  <c r="F20" i="2" s="1"/>
  <c r="H20" i="2" s="1"/>
  <c r="K20" i="2" s="1"/>
  <c r="N20" i="2" s="1"/>
  <c r="D19" i="2"/>
  <c r="F19" i="2" s="1"/>
  <c r="H19" i="2" s="1"/>
  <c r="K19" i="2" s="1"/>
  <c r="N19" i="2" s="1"/>
  <c r="Q19" i="2" s="1"/>
  <c r="T19" i="2" s="1"/>
  <c r="W19" i="2" s="1"/>
  <c r="Z19" i="2" s="1"/>
  <c r="AC19" i="2" s="1"/>
  <c r="AF19" i="2" s="1"/>
  <c r="AI19" i="2" s="1"/>
  <c r="AL19" i="2" s="1"/>
  <c r="AO19" i="2" s="1"/>
  <c r="AR19" i="2" s="1"/>
  <c r="AU19" i="2" s="1"/>
  <c r="AX19" i="2" s="1"/>
  <c r="BA19" i="2" s="1"/>
  <c r="BD19" i="2" s="1"/>
  <c r="BG19" i="2" s="1"/>
  <c r="BJ19" i="2" s="1"/>
  <c r="BM19" i="2" s="1"/>
  <c r="BO19" i="2" s="1"/>
  <c r="N18" i="2"/>
  <c r="Q18" i="2" s="1"/>
  <c r="T18" i="2" s="1"/>
  <c r="W18" i="2" s="1"/>
  <c r="Z18" i="2" s="1"/>
  <c r="AC18" i="2" s="1"/>
  <c r="AF18" i="2" s="1"/>
  <c r="AI18" i="2" s="1"/>
  <c r="AL18" i="2" s="1"/>
  <c r="AO18" i="2" s="1"/>
  <c r="AR18" i="2" s="1"/>
  <c r="AU18" i="2" s="1"/>
  <c r="AX18" i="2" s="1"/>
  <c r="BA18" i="2" s="1"/>
  <c r="BD18" i="2" s="1"/>
  <c r="BG18" i="2" s="1"/>
  <c r="BJ18" i="2" s="1"/>
  <c r="BM18" i="2" s="1"/>
  <c r="BO18" i="2" s="1"/>
  <c r="K18" i="2"/>
  <c r="D18" i="2"/>
  <c r="F18" i="2" s="1"/>
  <c r="H18" i="2" s="1"/>
  <c r="N17" i="2"/>
  <c r="Q17" i="2" s="1"/>
  <c r="T17" i="2" s="1"/>
  <c r="W17" i="2" s="1"/>
  <c r="Z17" i="2" s="1"/>
  <c r="AC17" i="2" s="1"/>
  <c r="AF17" i="2" s="1"/>
  <c r="AI17" i="2" s="1"/>
  <c r="AL17" i="2" s="1"/>
  <c r="AO17" i="2" s="1"/>
  <c r="AR17" i="2" s="1"/>
  <c r="AU17" i="2" s="1"/>
  <c r="AX17" i="2" s="1"/>
  <c r="BA17" i="2" s="1"/>
  <c r="BD17" i="2" s="1"/>
  <c r="BG17" i="2" s="1"/>
  <c r="BJ17" i="2" s="1"/>
  <c r="BM17" i="2" s="1"/>
  <c r="BO17" i="2" s="1"/>
  <c r="K17" i="2"/>
  <c r="H17" i="2"/>
  <c r="D17" i="2"/>
  <c r="F17" i="2" s="1"/>
  <c r="AC16" i="2"/>
  <c r="AF16" i="2" s="1"/>
  <c r="AI16" i="2" s="1"/>
  <c r="AL16" i="2" s="1"/>
  <c r="AO16" i="2" s="1"/>
  <c r="AR16" i="2" s="1"/>
  <c r="AU16" i="2" s="1"/>
  <c r="AX16" i="2" s="1"/>
  <c r="BA16" i="2" s="1"/>
  <c r="BD16" i="2" s="1"/>
  <c r="BG16" i="2" s="1"/>
  <c r="BJ16" i="2" s="1"/>
  <c r="BM16" i="2" s="1"/>
  <c r="BO16" i="2" s="1"/>
  <c r="T16" i="2"/>
  <c r="W16" i="2" s="1"/>
  <c r="Z16" i="2" s="1"/>
  <c r="H16" i="2"/>
  <c r="K16" i="2" s="1"/>
  <c r="N16" i="2" s="1"/>
  <c r="Q16" i="2" s="1"/>
  <c r="F16" i="2"/>
  <c r="D16" i="2"/>
  <c r="F15" i="2"/>
  <c r="H15" i="2" s="1"/>
  <c r="K15" i="2" s="1"/>
  <c r="N15" i="2" s="1"/>
  <c r="Q15" i="2" s="1"/>
  <c r="T15" i="2" s="1"/>
  <c r="W15" i="2" s="1"/>
  <c r="Z15" i="2" s="1"/>
  <c r="AC15" i="2" s="1"/>
  <c r="AF15" i="2" s="1"/>
  <c r="AI15" i="2" s="1"/>
  <c r="AL15" i="2" s="1"/>
  <c r="AO15" i="2" s="1"/>
  <c r="AR15" i="2" s="1"/>
  <c r="AU15" i="2" s="1"/>
  <c r="AX15" i="2" s="1"/>
  <c r="BA15" i="2" s="1"/>
  <c r="BD15" i="2" s="1"/>
  <c r="BG15" i="2" s="1"/>
  <c r="BJ15" i="2" s="1"/>
  <c r="BM15" i="2" s="1"/>
  <c r="BO15" i="2" s="1"/>
  <c r="D15" i="2"/>
  <c r="W14" i="2"/>
  <c r="Z14" i="2" s="1"/>
  <c r="AC14" i="2" s="1"/>
  <c r="AF14" i="2" s="1"/>
  <c r="AI14" i="2" s="1"/>
  <c r="AL14" i="2" s="1"/>
  <c r="AO14" i="2" s="1"/>
  <c r="AR14" i="2" s="1"/>
  <c r="AU14" i="2" s="1"/>
  <c r="AX14" i="2" s="1"/>
  <c r="BA14" i="2" s="1"/>
  <c r="BD14" i="2" s="1"/>
  <c r="BG14" i="2" s="1"/>
  <c r="BJ14" i="2" s="1"/>
  <c r="BM14" i="2" s="1"/>
  <c r="BO14" i="2" s="1"/>
  <c r="H14" i="2"/>
  <c r="K14" i="2" s="1"/>
  <c r="N14" i="2" s="1"/>
  <c r="Q14" i="2" s="1"/>
  <c r="T14" i="2" s="1"/>
  <c r="F14" i="2"/>
  <c r="D14" i="2"/>
  <c r="K13" i="2"/>
  <c r="N13" i="2" s="1"/>
  <c r="Q13" i="2" s="1"/>
  <c r="T13" i="2" s="1"/>
  <c r="W13" i="2" s="1"/>
  <c r="Z13" i="2" s="1"/>
  <c r="AC13" i="2" s="1"/>
  <c r="AF13" i="2" s="1"/>
  <c r="AI13" i="2" s="1"/>
  <c r="AL13" i="2" s="1"/>
  <c r="AO13" i="2" s="1"/>
  <c r="AR13" i="2" s="1"/>
  <c r="AU13" i="2" s="1"/>
  <c r="AX13" i="2" s="1"/>
  <c r="BA13" i="2" s="1"/>
  <c r="BD13" i="2" s="1"/>
  <c r="BG13" i="2" s="1"/>
  <c r="BJ13" i="2" s="1"/>
  <c r="BM13" i="2" s="1"/>
  <c r="BO13" i="2" s="1"/>
  <c r="H13" i="2"/>
  <c r="F13" i="2"/>
  <c r="D13" i="2"/>
  <c r="T12" i="2"/>
  <c r="W12" i="2" s="1"/>
  <c r="Z12" i="2" s="1"/>
  <c r="AC12" i="2" s="1"/>
  <c r="AF12" i="2" s="1"/>
  <c r="AI12" i="2" s="1"/>
  <c r="AL12" i="2" s="1"/>
  <c r="AO12" i="2" s="1"/>
  <c r="AR12" i="2" s="1"/>
  <c r="AU12" i="2" s="1"/>
  <c r="AX12" i="2" s="1"/>
  <c r="BA12" i="2" s="1"/>
  <c r="BD12" i="2" s="1"/>
  <c r="BG12" i="2" s="1"/>
  <c r="BJ12" i="2" s="1"/>
  <c r="BM12" i="2" s="1"/>
  <c r="BO12" i="2" s="1"/>
  <c r="Q12" i="2"/>
  <c r="D12" i="2"/>
  <c r="F12" i="2" s="1"/>
  <c r="H12" i="2" s="1"/>
  <c r="K12" i="2" s="1"/>
  <c r="N12" i="2" s="1"/>
  <c r="T11" i="2"/>
  <c r="W11" i="2" s="1"/>
  <c r="Z11" i="2" s="1"/>
  <c r="AC11" i="2" s="1"/>
  <c r="AF11" i="2" s="1"/>
  <c r="AI11" i="2" s="1"/>
  <c r="AL11" i="2" s="1"/>
  <c r="AO11" i="2" s="1"/>
  <c r="AR11" i="2" s="1"/>
  <c r="AU11" i="2" s="1"/>
  <c r="AX11" i="2" s="1"/>
  <c r="BA11" i="2" s="1"/>
  <c r="BD11" i="2" s="1"/>
  <c r="BG11" i="2" s="1"/>
  <c r="BJ11" i="2" s="1"/>
  <c r="BM11" i="2" s="1"/>
  <c r="BO11" i="2" s="1"/>
  <c r="D11" i="2"/>
  <c r="F11" i="2" s="1"/>
  <c r="H11" i="2" s="1"/>
  <c r="K11" i="2" s="1"/>
  <c r="N11" i="2" s="1"/>
  <c r="Q11" i="2" s="1"/>
  <c r="K10" i="2"/>
  <c r="N10" i="2" s="1"/>
  <c r="Q10" i="2" s="1"/>
  <c r="T10" i="2" s="1"/>
  <c r="W10" i="2" s="1"/>
  <c r="Z10" i="2" s="1"/>
  <c r="AC10" i="2" s="1"/>
  <c r="AF10" i="2" s="1"/>
  <c r="AI10" i="2" s="1"/>
  <c r="AL10" i="2" s="1"/>
  <c r="AO10" i="2" s="1"/>
  <c r="AR10" i="2" s="1"/>
  <c r="AU10" i="2" s="1"/>
  <c r="AX10" i="2" s="1"/>
  <c r="BA10" i="2" s="1"/>
  <c r="BD10" i="2" s="1"/>
  <c r="BG10" i="2" s="1"/>
  <c r="BJ10" i="2" s="1"/>
  <c r="BM10" i="2" s="1"/>
  <c r="BO10" i="2" s="1"/>
  <c r="D10" i="2"/>
  <c r="F10" i="2" s="1"/>
  <c r="H10" i="2" s="1"/>
  <c r="D9" i="2"/>
  <c r="F9" i="2" s="1"/>
  <c r="H9" i="2" s="1"/>
  <c r="K9" i="2" s="1"/>
  <c r="N9" i="2" s="1"/>
  <c r="Q9" i="2" s="1"/>
  <c r="T9" i="2" s="1"/>
  <c r="W9" i="2" s="1"/>
  <c r="Z9" i="2" s="1"/>
  <c r="AC9" i="2" s="1"/>
  <c r="AF9" i="2" s="1"/>
  <c r="AI9" i="2" s="1"/>
  <c r="AL9" i="2" s="1"/>
  <c r="AO9" i="2" s="1"/>
  <c r="AR9" i="2" s="1"/>
  <c r="AU9" i="2" s="1"/>
  <c r="AX9" i="2" s="1"/>
  <c r="BA9" i="2" s="1"/>
  <c r="BD9" i="2" s="1"/>
  <c r="BG9" i="2" s="1"/>
  <c r="BJ9" i="2" s="1"/>
  <c r="BM9" i="2" s="1"/>
  <c r="BO9" i="2" s="1"/>
  <c r="H8" i="2"/>
  <c r="K8" i="2" s="1"/>
  <c r="N8" i="2" s="1"/>
  <c r="Q8" i="2" s="1"/>
  <c r="T8" i="2" s="1"/>
  <c r="W8" i="2" s="1"/>
  <c r="Z8" i="2" s="1"/>
  <c r="AC8" i="2" s="1"/>
  <c r="AF8" i="2" s="1"/>
  <c r="AI8" i="2" s="1"/>
  <c r="AL8" i="2" s="1"/>
  <c r="AO8" i="2" s="1"/>
  <c r="AR8" i="2" s="1"/>
  <c r="AU8" i="2" s="1"/>
  <c r="AX8" i="2" s="1"/>
  <c r="BA8" i="2" s="1"/>
  <c r="BD8" i="2" s="1"/>
  <c r="BG8" i="2" s="1"/>
  <c r="BJ8" i="2" s="1"/>
  <c r="BM8" i="2" s="1"/>
  <c r="BO8" i="2" s="1"/>
  <c r="F8" i="2"/>
  <c r="D8" i="2"/>
  <c r="D7" i="2"/>
  <c r="F7" i="2" s="1"/>
  <c r="H7" i="2" s="1"/>
  <c r="K7" i="2" s="1"/>
  <c r="N7" i="2" s="1"/>
  <c r="Q7" i="2" s="1"/>
  <c r="T7" i="2" s="1"/>
  <c r="W7" i="2" s="1"/>
  <c r="Z7" i="2" s="1"/>
  <c r="AC7" i="2" s="1"/>
  <c r="AF7" i="2" s="1"/>
  <c r="AI7" i="2" s="1"/>
  <c r="AL7" i="2" s="1"/>
  <c r="AO7" i="2" s="1"/>
  <c r="AR7" i="2" s="1"/>
  <c r="AU7" i="2" s="1"/>
  <c r="AX7" i="2" s="1"/>
  <c r="BA7" i="2" s="1"/>
  <c r="BD7" i="2" s="1"/>
  <c r="BG7" i="2" s="1"/>
  <c r="BJ7" i="2" s="1"/>
  <c r="BM7" i="2" s="1"/>
  <c r="BO7" i="2" s="1"/>
  <c r="Z6" i="2"/>
  <c r="AC6" i="2" s="1"/>
  <c r="AF6" i="2" s="1"/>
  <c r="AI6" i="2" s="1"/>
  <c r="AL6" i="2" s="1"/>
  <c r="AO6" i="2" s="1"/>
  <c r="AR6" i="2" s="1"/>
  <c r="AU6" i="2" s="1"/>
  <c r="AX6" i="2" s="1"/>
  <c r="BA6" i="2" s="1"/>
  <c r="BD6" i="2" s="1"/>
  <c r="BG6" i="2" s="1"/>
  <c r="BJ6" i="2" s="1"/>
  <c r="BM6" i="2" s="1"/>
  <c r="BO6" i="2" s="1"/>
  <c r="W6" i="2"/>
  <c r="F6" i="2"/>
  <c r="H6" i="2" s="1"/>
  <c r="K6" i="2" s="1"/>
  <c r="N6" i="2" s="1"/>
  <c r="Q6" i="2" s="1"/>
  <c r="T6" i="2" s="1"/>
  <c r="D6" i="2"/>
  <c r="Z5" i="2"/>
  <c r="AC5" i="2" s="1"/>
  <c r="AF5" i="2" s="1"/>
  <c r="AI5" i="2" s="1"/>
  <c r="AL5" i="2" s="1"/>
  <c r="AO5" i="2" s="1"/>
  <c r="AR5" i="2" s="1"/>
  <c r="AU5" i="2" s="1"/>
  <c r="AX5" i="2" s="1"/>
  <c r="BA5" i="2" s="1"/>
  <c r="BD5" i="2" s="1"/>
  <c r="BG5" i="2" s="1"/>
  <c r="BJ5" i="2" s="1"/>
  <c r="BM5" i="2" s="1"/>
  <c r="BO5" i="2" s="1"/>
  <c r="H5" i="2"/>
  <c r="K5" i="2" s="1"/>
  <c r="N5" i="2" s="1"/>
  <c r="Q5" i="2" s="1"/>
  <c r="T5" i="2" s="1"/>
  <c r="W5" i="2" s="1"/>
  <c r="D5" i="2"/>
  <c r="F5" i="2" s="1"/>
  <c r="Q4" i="2"/>
  <c r="T4" i="2" s="1"/>
  <c r="W4" i="2" s="1"/>
  <c r="Z4" i="2" s="1"/>
  <c r="AC4" i="2" s="1"/>
  <c r="AF4" i="2" s="1"/>
  <c r="AI4" i="2" s="1"/>
  <c r="AL4" i="2" s="1"/>
  <c r="AO4" i="2" s="1"/>
  <c r="AR4" i="2" s="1"/>
  <c r="AU4" i="2" s="1"/>
  <c r="AX4" i="2" s="1"/>
  <c r="BA4" i="2" s="1"/>
  <c r="BD4" i="2" s="1"/>
  <c r="BG4" i="2" s="1"/>
  <c r="BJ4" i="2" s="1"/>
  <c r="BM4" i="2" s="1"/>
  <c r="BO4" i="2" s="1"/>
  <c r="D4" i="2"/>
  <c r="F4" i="2" s="1"/>
  <c r="H4" i="2" s="1"/>
  <c r="K4" i="2" s="1"/>
  <c r="N4" i="2" s="1"/>
  <c r="AL3" i="2"/>
  <c r="AO3" i="2" s="1"/>
  <c r="AR3" i="2" s="1"/>
  <c r="AU3" i="2" s="1"/>
  <c r="AX3" i="2" s="1"/>
  <c r="BA3" i="2" s="1"/>
  <c r="BD3" i="2" s="1"/>
  <c r="BG3" i="2" s="1"/>
  <c r="BJ3" i="2" s="1"/>
  <c r="BM3" i="2" s="1"/>
  <c r="BO3" i="2" s="1"/>
  <c r="T3" i="2"/>
  <c r="W3" i="2" s="1"/>
  <c r="Z3" i="2" s="1"/>
  <c r="AC3" i="2" s="1"/>
  <c r="AF3" i="2" s="1"/>
  <c r="AI3" i="2" s="1"/>
  <c r="N3" i="2"/>
  <c r="Q3" i="2" s="1"/>
  <c r="D3" i="2"/>
  <c r="F3" i="2" s="1"/>
  <c r="H3" i="2" s="1"/>
  <c r="AH56" i="1"/>
  <c r="Y56" i="1"/>
  <c r="AA56" i="1" s="1"/>
  <c r="AD56" i="1" s="1"/>
  <c r="AF56" i="1" s="1"/>
  <c r="T56" i="1"/>
  <c r="V56" i="1" s="1"/>
  <c r="AN55" i="1"/>
  <c r="AQ55" i="1" s="1"/>
  <c r="AT55" i="1" s="1"/>
  <c r="AW55" i="1" s="1"/>
  <c r="AZ55" i="1" s="1"/>
  <c r="BC55" i="1" s="1"/>
  <c r="BF55" i="1" s="1"/>
  <c r="BI55" i="1" s="1"/>
  <c r="BL55" i="1" s="1"/>
  <c r="BO55" i="1" s="1"/>
  <c r="BR55" i="1" s="1"/>
  <c r="BU55" i="1" s="1"/>
  <c r="BX55" i="1" s="1"/>
  <c r="Y55" i="1"/>
  <c r="AA55" i="1" s="1"/>
  <c r="AD55" i="1" s="1"/>
  <c r="AF55" i="1" s="1"/>
  <c r="AH55" i="1" s="1"/>
  <c r="AK55" i="1" s="1"/>
  <c r="Q55" i="1"/>
  <c r="T55" i="1" s="1"/>
  <c r="V55" i="1" s="1"/>
  <c r="H55" i="1"/>
  <c r="K55" i="1" s="1"/>
  <c r="N55" i="1" s="1"/>
  <c r="E55" i="1"/>
  <c r="H54" i="1"/>
  <c r="K54" i="1" s="1"/>
  <c r="N54" i="1" s="1"/>
  <c r="Q54" i="1" s="1"/>
  <c r="T54" i="1" s="1"/>
  <c r="V54" i="1" s="1"/>
  <c r="Y54" i="1" s="1"/>
  <c r="AA54" i="1" s="1"/>
  <c r="AD54" i="1" s="1"/>
  <c r="AF54" i="1" s="1"/>
  <c r="AH54" i="1" s="1"/>
  <c r="AK54" i="1" s="1"/>
  <c r="AN54" i="1" s="1"/>
  <c r="AQ54" i="1" s="1"/>
  <c r="AT54" i="1" s="1"/>
  <c r="AW54" i="1" s="1"/>
  <c r="AZ54" i="1" s="1"/>
  <c r="BC54" i="1" s="1"/>
  <c r="BF54" i="1" s="1"/>
  <c r="BI54" i="1" s="1"/>
  <c r="BL54" i="1" s="1"/>
  <c r="BO54" i="1" s="1"/>
  <c r="BR54" i="1" s="1"/>
  <c r="BU54" i="1" s="1"/>
  <c r="BX54" i="1" s="1"/>
  <c r="E54" i="1"/>
  <c r="H53" i="1"/>
  <c r="K53" i="1" s="1"/>
  <c r="N53" i="1" s="1"/>
  <c r="Q53" i="1" s="1"/>
  <c r="T53" i="1" s="1"/>
  <c r="V53" i="1" s="1"/>
  <c r="Y53" i="1" s="1"/>
  <c r="AA53" i="1" s="1"/>
  <c r="AD53" i="1" s="1"/>
  <c r="AF53" i="1" s="1"/>
  <c r="AH53" i="1" s="1"/>
  <c r="AK53" i="1" s="1"/>
  <c r="AN53" i="1" s="1"/>
  <c r="AQ53" i="1" s="1"/>
  <c r="AT53" i="1" s="1"/>
  <c r="AW53" i="1" s="1"/>
  <c r="AZ53" i="1" s="1"/>
  <c r="BC53" i="1" s="1"/>
  <c r="BF53" i="1" s="1"/>
  <c r="BI53" i="1" s="1"/>
  <c r="BL53" i="1" s="1"/>
  <c r="BO53" i="1" s="1"/>
  <c r="BR53" i="1" s="1"/>
  <c r="BU53" i="1" s="1"/>
  <c r="BX53" i="1" s="1"/>
  <c r="E53" i="1"/>
  <c r="E52" i="1"/>
  <c r="H52" i="1" s="1"/>
  <c r="K52" i="1" s="1"/>
  <c r="N52" i="1" s="1"/>
  <c r="Q52" i="1" s="1"/>
  <c r="T52" i="1" s="1"/>
  <c r="V52" i="1" s="1"/>
  <c r="Y52" i="1" s="1"/>
  <c r="AA52" i="1" s="1"/>
  <c r="AD52" i="1" s="1"/>
  <c r="AF52" i="1" s="1"/>
  <c r="AH52" i="1" s="1"/>
  <c r="AK52" i="1" s="1"/>
  <c r="AN52" i="1" s="1"/>
  <c r="AQ52" i="1" s="1"/>
  <c r="AT52" i="1" s="1"/>
  <c r="AW52" i="1" s="1"/>
  <c r="AZ52" i="1" s="1"/>
  <c r="BC52" i="1" s="1"/>
  <c r="BF52" i="1" s="1"/>
  <c r="BI52" i="1" s="1"/>
  <c r="BL52" i="1" s="1"/>
  <c r="BO52" i="1" s="1"/>
  <c r="BR52" i="1" s="1"/>
  <c r="BU52" i="1" s="1"/>
  <c r="BX52" i="1" s="1"/>
  <c r="T51" i="1"/>
  <c r="V51" i="1" s="1"/>
  <c r="Y51" i="1" s="1"/>
  <c r="AA51" i="1" s="1"/>
  <c r="AD51" i="1" s="1"/>
  <c r="AF51" i="1" s="1"/>
  <c r="AH51" i="1" s="1"/>
  <c r="AK51" i="1" s="1"/>
  <c r="AN51" i="1" s="1"/>
  <c r="AQ51" i="1" s="1"/>
  <c r="AT51" i="1" s="1"/>
  <c r="AW51" i="1" s="1"/>
  <c r="AZ51" i="1" s="1"/>
  <c r="BC51" i="1" s="1"/>
  <c r="BF51" i="1" s="1"/>
  <c r="BI51" i="1" s="1"/>
  <c r="BL51" i="1" s="1"/>
  <c r="BO51" i="1" s="1"/>
  <c r="BR51" i="1" s="1"/>
  <c r="BU51" i="1" s="1"/>
  <c r="BX51" i="1" s="1"/>
  <c r="K51" i="1"/>
  <c r="N51" i="1" s="1"/>
  <c r="Q51" i="1" s="1"/>
  <c r="H51" i="1"/>
  <c r="E51" i="1"/>
  <c r="Q50" i="1"/>
  <c r="T50" i="1" s="1"/>
  <c r="V50" i="1" s="1"/>
  <c r="Y50" i="1" s="1"/>
  <c r="AA50" i="1" s="1"/>
  <c r="AD50" i="1" s="1"/>
  <c r="AF50" i="1" s="1"/>
  <c r="AH50" i="1" s="1"/>
  <c r="AK50" i="1" s="1"/>
  <c r="AN50" i="1" s="1"/>
  <c r="AQ50" i="1" s="1"/>
  <c r="AT50" i="1" s="1"/>
  <c r="AW50" i="1" s="1"/>
  <c r="AZ50" i="1" s="1"/>
  <c r="BC50" i="1" s="1"/>
  <c r="BF50" i="1" s="1"/>
  <c r="BI50" i="1" s="1"/>
  <c r="BL50" i="1" s="1"/>
  <c r="BO50" i="1" s="1"/>
  <c r="BR50" i="1" s="1"/>
  <c r="BU50" i="1" s="1"/>
  <c r="BX50" i="1" s="1"/>
  <c r="N50" i="1"/>
  <c r="E50" i="1"/>
  <c r="H50" i="1" s="1"/>
  <c r="K50" i="1" s="1"/>
  <c r="H49" i="1"/>
  <c r="K49" i="1" s="1"/>
  <c r="N49" i="1" s="1"/>
  <c r="Q49" i="1" s="1"/>
  <c r="T49" i="1" s="1"/>
  <c r="V49" i="1" s="1"/>
  <c r="Y49" i="1" s="1"/>
  <c r="AA49" i="1" s="1"/>
  <c r="AD49" i="1" s="1"/>
  <c r="AF49" i="1" s="1"/>
  <c r="AH49" i="1" s="1"/>
  <c r="AK49" i="1" s="1"/>
  <c r="AN49" i="1" s="1"/>
  <c r="AQ49" i="1" s="1"/>
  <c r="AT49" i="1" s="1"/>
  <c r="AW49" i="1" s="1"/>
  <c r="AZ49" i="1" s="1"/>
  <c r="BC49" i="1" s="1"/>
  <c r="BF49" i="1" s="1"/>
  <c r="BI49" i="1" s="1"/>
  <c r="BL49" i="1" s="1"/>
  <c r="BO49" i="1" s="1"/>
  <c r="BR49" i="1" s="1"/>
  <c r="BU49" i="1" s="1"/>
  <c r="BX49" i="1" s="1"/>
  <c r="E49" i="1"/>
  <c r="Y48" i="1"/>
  <c r="AA48" i="1" s="1"/>
  <c r="AD48" i="1" s="1"/>
  <c r="AF48" i="1" s="1"/>
  <c r="AH48" i="1" s="1"/>
  <c r="AK48" i="1" s="1"/>
  <c r="AN48" i="1" s="1"/>
  <c r="AQ48" i="1" s="1"/>
  <c r="AT48" i="1" s="1"/>
  <c r="AW48" i="1" s="1"/>
  <c r="AZ48" i="1" s="1"/>
  <c r="BC48" i="1" s="1"/>
  <c r="BF48" i="1" s="1"/>
  <c r="BI48" i="1" s="1"/>
  <c r="BL48" i="1" s="1"/>
  <c r="BO48" i="1" s="1"/>
  <c r="BR48" i="1" s="1"/>
  <c r="BU48" i="1" s="1"/>
  <c r="BX48" i="1" s="1"/>
  <c r="N48" i="1"/>
  <c r="Q48" i="1" s="1"/>
  <c r="T48" i="1" s="1"/>
  <c r="V48" i="1" s="1"/>
  <c r="E48" i="1"/>
  <c r="H48" i="1" s="1"/>
  <c r="K48" i="1" s="1"/>
  <c r="K47" i="1"/>
  <c r="N47" i="1" s="1"/>
  <c r="Q47" i="1" s="1"/>
  <c r="T47" i="1" s="1"/>
  <c r="V47" i="1" s="1"/>
  <c r="Y47" i="1" s="1"/>
  <c r="AA47" i="1" s="1"/>
  <c r="AD47" i="1" s="1"/>
  <c r="AF47" i="1" s="1"/>
  <c r="AH47" i="1" s="1"/>
  <c r="AK47" i="1" s="1"/>
  <c r="AN47" i="1" s="1"/>
  <c r="AQ47" i="1" s="1"/>
  <c r="AT47" i="1" s="1"/>
  <c r="AW47" i="1" s="1"/>
  <c r="AZ47" i="1" s="1"/>
  <c r="BC47" i="1" s="1"/>
  <c r="BF47" i="1" s="1"/>
  <c r="BI47" i="1" s="1"/>
  <c r="BL47" i="1" s="1"/>
  <c r="BO47" i="1" s="1"/>
  <c r="BR47" i="1" s="1"/>
  <c r="BU47" i="1" s="1"/>
  <c r="BX47" i="1" s="1"/>
  <c r="H47" i="1"/>
  <c r="E47" i="1"/>
  <c r="E46" i="1"/>
  <c r="H46" i="1" s="1"/>
  <c r="K46" i="1" s="1"/>
  <c r="N46" i="1" s="1"/>
  <c r="Q46" i="1" s="1"/>
  <c r="T46" i="1" s="1"/>
  <c r="V46" i="1" s="1"/>
  <c r="Y46" i="1" s="1"/>
  <c r="AA46" i="1" s="1"/>
  <c r="AD46" i="1" s="1"/>
  <c r="AF46" i="1" s="1"/>
  <c r="AH46" i="1" s="1"/>
  <c r="AK46" i="1" s="1"/>
  <c r="AN46" i="1" s="1"/>
  <c r="AQ46" i="1" s="1"/>
  <c r="AT46" i="1" s="1"/>
  <c r="AW46" i="1" s="1"/>
  <c r="AZ46" i="1" s="1"/>
  <c r="BC46" i="1" s="1"/>
  <c r="BF46" i="1" s="1"/>
  <c r="BI46" i="1" s="1"/>
  <c r="BL46" i="1" s="1"/>
  <c r="BO46" i="1" s="1"/>
  <c r="BR46" i="1" s="1"/>
  <c r="BU46" i="1" s="1"/>
  <c r="BX46" i="1" s="1"/>
  <c r="T45" i="1"/>
  <c r="V45" i="1" s="1"/>
  <c r="Y45" i="1" s="1"/>
  <c r="AA45" i="1" s="1"/>
  <c r="AD45" i="1" s="1"/>
  <c r="AF45" i="1" s="1"/>
  <c r="AH45" i="1" s="1"/>
  <c r="AK45" i="1" s="1"/>
  <c r="AN45" i="1" s="1"/>
  <c r="AQ45" i="1" s="1"/>
  <c r="AT45" i="1" s="1"/>
  <c r="AW45" i="1" s="1"/>
  <c r="AZ45" i="1" s="1"/>
  <c r="BC45" i="1" s="1"/>
  <c r="BF45" i="1" s="1"/>
  <c r="BI45" i="1" s="1"/>
  <c r="BL45" i="1" s="1"/>
  <c r="BO45" i="1" s="1"/>
  <c r="BR45" i="1" s="1"/>
  <c r="BU45" i="1" s="1"/>
  <c r="BX45" i="1" s="1"/>
  <c r="H45" i="1"/>
  <c r="K45" i="1" s="1"/>
  <c r="N45" i="1" s="1"/>
  <c r="Q45" i="1" s="1"/>
  <c r="E45" i="1"/>
  <c r="N44" i="1"/>
  <c r="Q44" i="1" s="1"/>
  <c r="T44" i="1" s="1"/>
  <c r="V44" i="1" s="1"/>
  <c r="Y44" i="1" s="1"/>
  <c r="AA44" i="1" s="1"/>
  <c r="AD44" i="1" s="1"/>
  <c r="AF44" i="1" s="1"/>
  <c r="AH44" i="1" s="1"/>
  <c r="AK44" i="1" s="1"/>
  <c r="AN44" i="1" s="1"/>
  <c r="AQ44" i="1" s="1"/>
  <c r="AT44" i="1" s="1"/>
  <c r="AW44" i="1" s="1"/>
  <c r="AZ44" i="1" s="1"/>
  <c r="BC44" i="1" s="1"/>
  <c r="BF44" i="1" s="1"/>
  <c r="BI44" i="1" s="1"/>
  <c r="BL44" i="1" s="1"/>
  <c r="BO44" i="1" s="1"/>
  <c r="BR44" i="1" s="1"/>
  <c r="BU44" i="1" s="1"/>
  <c r="BX44" i="1" s="1"/>
  <c r="E44" i="1"/>
  <c r="H44" i="1" s="1"/>
  <c r="K44" i="1" s="1"/>
  <c r="H43" i="1"/>
  <c r="K43" i="1" s="1"/>
  <c r="N43" i="1" s="1"/>
  <c r="Q43" i="1" s="1"/>
  <c r="T43" i="1" s="1"/>
  <c r="V43" i="1" s="1"/>
  <c r="Y43" i="1" s="1"/>
  <c r="AA43" i="1" s="1"/>
  <c r="AD43" i="1" s="1"/>
  <c r="AF43" i="1" s="1"/>
  <c r="AH43" i="1" s="1"/>
  <c r="AK43" i="1" s="1"/>
  <c r="AN43" i="1" s="1"/>
  <c r="AQ43" i="1" s="1"/>
  <c r="AT43" i="1" s="1"/>
  <c r="AW43" i="1" s="1"/>
  <c r="AZ43" i="1" s="1"/>
  <c r="BC43" i="1" s="1"/>
  <c r="BF43" i="1" s="1"/>
  <c r="BI43" i="1" s="1"/>
  <c r="BL43" i="1" s="1"/>
  <c r="BO43" i="1" s="1"/>
  <c r="BR43" i="1" s="1"/>
  <c r="BU43" i="1" s="1"/>
  <c r="BX43" i="1" s="1"/>
  <c r="E43" i="1"/>
  <c r="N42" i="1"/>
  <c r="Q42" i="1" s="1"/>
  <c r="T42" i="1" s="1"/>
  <c r="V42" i="1" s="1"/>
  <c r="Y42" i="1" s="1"/>
  <c r="AA42" i="1" s="1"/>
  <c r="AD42" i="1" s="1"/>
  <c r="AF42" i="1" s="1"/>
  <c r="AH42" i="1" s="1"/>
  <c r="AK42" i="1" s="1"/>
  <c r="AN42" i="1" s="1"/>
  <c r="AQ42" i="1" s="1"/>
  <c r="AT42" i="1" s="1"/>
  <c r="AW42" i="1" s="1"/>
  <c r="AZ42" i="1" s="1"/>
  <c r="BC42" i="1" s="1"/>
  <c r="BF42" i="1" s="1"/>
  <c r="BI42" i="1" s="1"/>
  <c r="BL42" i="1" s="1"/>
  <c r="BO42" i="1" s="1"/>
  <c r="BR42" i="1" s="1"/>
  <c r="BU42" i="1" s="1"/>
  <c r="BX42" i="1" s="1"/>
  <c r="E42" i="1"/>
  <c r="H42" i="1" s="1"/>
  <c r="K42" i="1" s="1"/>
  <c r="H41" i="1"/>
  <c r="K41" i="1" s="1"/>
  <c r="N41" i="1" s="1"/>
  <c r="Q41" i="1" s="1"/>
  <c r="T41" i="1" s="1"/>
  <c r="V41" i="1" s="1"/>
  <c r="Y41" i="1" s="1"/>
  <c r="AA41" i="1" s="1"/>
  <c r="AD41" i="1" s="1"/>
  <c r="AF41" i="1" s="1"/>
  <c r="AH41" i="1" s="1"/>
  <c r="AK41" i="1" s="1"/>
  <c r="AN41" i="1" s="1"/>
  <c r="AQ41" i="1" s="1"/>
  <c r="AT41" i="1" s="1"/>
  <c r="AW41" i="1" s="1"/>
  <c r="AZ41" i="1" s="1"/>
  <c r="BC41" i="1" s="1"/>
  <c r="BF41" i="1" s="1"/>
  <c r="BI41" i="1" s="1"/>
  <c r="BL41" i="1" s="1"/>
  <c r="BO41" i="1" s="1"/>
  <c r="BR41" i="1" s="1"/>
  <c r="BU41" i="1" s="1"/>
  <c r="BX41" i="1" s="1"/>
  <c r="E41" i="1"/>
  <c r="E40" i="1"/>
  <c r="H40" i="1" s="1"/>
  <c r="K40" i="1" s="1"/>
  <c r="N40" i="1" s="1"/>
  <c r="Q40" i="1" s="1"/>
  <c r="T40" i="1" s="1"/>
  <c r="V40" i="1" s="1"/>
  <c r="Y40" i="1" s="1"/>
  <c r="AA40" i="1" s="1"/>
  <c r="AD40" i="1" s="1"/>
  <c r="AF40" i="1" s="1"/>
  <c r="AH40" i="1" s="1"/>
  <c r="AK40" i="1" s="1"/>
  <c r="AN40" i="1" s="1"/>
  <c r="AQ40" i="1" s="1"/>
  <c r="AT40" i="1" s="1"/>
  <c r="AW40" i="1" s="1"/>
  <c r="AZ40" i="1" s="1"/>
  <c r="BC40" i="1" s="1"/>
  <c r="BF40" i="1" s="1"/>
  <c r="BI40" i="1" s="1"/>
  <c r="BL40" i="1" s="1"/>
  <c r="BO40" i="1" s="1"/>
  <c r="BR40" i="1" s="1"/>
  <c r="BU40" i="1" s="1"/>
  <c r="BX40" i="1" s="1"/>
  <c r="K39" i="1"/>
  <c r="N39" i="1" s="1"/>
  <c r="Q39" i="1" s="1"/>
  <c r="T39" i="1" s="1"/>
  <c r="V39" i="1" s="1"/>
  <c r="Y39" i="1" s="1"/>
  <c r="AA39" i="1" s="1"/>
  <c r="AD39" i="1" s="1"/>
  <c r="AF39" i="1" s="1"/>
  <c r="AH39" i="1" s="1"/>
  <c r="AK39" i="1" s="1"/>
  <c r="AN39" i="1" s="1"/>
  <c r="AQ39" i="1" s="1"/>
  <c r="AT39" i="1" s="1"/>
  <c r="AW39" i="1" s="1"/>
  <c r="AZ39" i="1" s="1"/>
  <c r="BC39" i="1" s="1"/>
  <c r="BF39" i="1" s="1"/>
  <c r="BI39" i="1" s="1"/>
  <c r="BL39" i="1" s="1"/>
  <c r="BO39" i="1" s="1"/>
  <c r="BR39" i="1" s="1"/>
  <c r="BU39" i="1" s="1"/>
  <c r="BX39" i="1" s="1"/>
  <c r="H39" i="1"/>
  <c r="E39" i="1"/>
  <c r="N38" i="1"/>
  <c r="Q38" i="1" s="1"/>
  <c r="T38" i="1" s="1"/>
  <c r="V38" i="1" s="1"/>
  <c r="Y38" i="1" s="1"/>
  <c r="AA38" i="1" s="1"/>
  <c r="AD38" i="1" s="1"/>
  <c r="AF38" i="1" s="1"/>
  <c r="AH38" i="1" s="1"/>
  <c r="AK38" i="1" s="1"/>
  <c r="AN38" i="1" s="1"/>
  <c r="AQ38" i="1" s="1"/>
  <c r="AT38" i="1" s="1"/>
  <c r="AW38" i="1" s="1"/>
  <c r="AZ38" i="1" s="1"/>
  <c r="BC38" i="1" s="1"/>
  <c r="BF38" i="1" s="1"/>
  <c r="BI38" i="1" s="1"/>
  <c r="BL38" i="1" s="1"/>
  <c r="BO38" i="1" s="1"/>
  <c r="BR38" i="1" s="1"/>
  <c r="BU38" i="1" s="1"/>
  <c r="BX38" i="1" s="1"/>
  <c r="K38" i="1"/>
  <c r="E38" i="1"/>
  <c r="H38" i="1" s="1"/>
  <c r="H37" i="1"/>
  <c r="K37" i="1" s="1"/>
  <c r="N37" i="1" s="1"/>
  <c r="Q37" i="1" s="1"/>
  <c r="T37" i="1" s="1"/>
  <c r="V37" i="1" s="1"/>
  <c r="Y37" i="1" s="1"/>
  <c r="AA37" i="1" s="1"/>
  <c r="AD37" i="1" s="1"/>
  <c r="AF37" i="1" s="1"/>
  <c r="AH37" i="1" s="1"/>
  <c r="AK37" i="1" s="1"/>
  <c r="AN37" i="1" s="1"/>
  <c r="AQ37" i="1" s="1"/>
  <c r="AT37" i="1" s="1"/>
  <c r="AW37" i="1" s="1"/>
  <c r="AZ37" i="1" s="1"/>
  <c r="BC37" i="1" s="1"/>
  <c r="BF37" i="1" s="1"/>
  <c r="BI37" i="1" s="1"/>
  <c r="BL37" i="1" s="1"/>
  <c r="BO37" i="1" s="1"/>
  <c r="BR37" i="1" s="1"/>
  <c r="BU37" i="1" s="1"/>
  <c r="BX37" i="1" s="1"/>
  <c r="E37" i="1"/>
  <c r="V36" i="1"/>
  <c r="Y36" i="1" s="1"/>
  <c r="AA36" i="1" s="1"/>
  <c r="AD36" i="1" s="1"/>
  <c r="AF36" i="1" s="1"/>
  <c r="AH36" i="1" s="1"/>
  <c r="AK36" i="1" s="1"/>
  <c r="AN36" i="1" s="1"/>
  <c r="AQ36" i="1" s="1"/>
  <c r="AT36" i="1" s="1"/>
  <c r="AW36" i="1" s="1"/>
  <c r="AZ36" i="1" s="1"/>
  <c r="BC36" i="1" s="1"/>
  <c r="BF36" i="1" s="1"/>
  <c r="BI36" i="1" s="1"/>
  <c r="BL36" i="1" s="1"/>
  <c r="BO36" i="1" s="1"/>
  <c r="BR36" i="1" s="1"/>
  <c r="BU36" i="1" s="1"/>
  <c r="BX36" i="1" s="1"/>
  <c r="N36" i="1"/>
  <c r="Q36" i="1" s="1"/>
  <c r="T36" i="1" s="1"/>
  <c r="E36" i="1"/>
  <c r="H36" i="1" s="1"/>
  <c r="K36" i="1" s="1"/>
  <c r="H35" i="1"/>
  <c r="K35" i="1" s="1"/>
  <c r="N35" i="1" s="1"/>
  <c r="Q35" i="1" s="1"/>
  <c r="T35" i="1" s="1"/>
  <c r="V35" i="1" s="1"/>
  <c r="Y35" i="1" s="1"/>
  <c r="AA35" i="1" s="1"/>
  <c r="AD35" i="1" s="1"/>
  <c r="AF35" i="1" s="1"/>
  <c r="AH35" i="1" s="1"/>
  <c r="AK35" i="1" s="1"/>
  <c r="AN35" i="1" s="1"/>
  <c r="AQ35" i="1" s="1"/>
  <c r="AT35" i="1" s="1"/>
  <c r="AW35" i="1" s="1"/>
  <c r="AZ35" i="1" s="1"/>
  <c r="BC35" i="1" s="1"/>
  <c r="BF35" i="1" s="1"/>
  <c r="BI35" i="1" s="1"/>
  <c r="BL35" i="1" s="1"/>
  <c r="BO35" i="1" s="1"/>
  <c r="BR35" i="1" s="1"/>
  <c r="BU35" i="1" s="1"/>
  <c r="BX35" i="1" s="1"/>
  <c r="E35" i="1"/>
  <c r="K34" i="1"/>
  <c r="N34" i="1" s="1"/>
  <c r="Q34" i="1" s="1"/>
  <c r="T34" i="1" s="1"/>
  <c r="V34" i="1" s="1"/>
  <c r="Y34" i="1" s="1"/>
  <c r="AA34" i="1" s="1"/>
  <c r="AD34" i="1" s="1"/>
  <c r="AF34" i="1" s="1"/>
  <c r="AH34" i="1" s="1"/>
  <c r="AK34" i="1" s="1"/>
  <c r="AN34" i="1" s="1"/>
  <c r="AQ34" i="1" s="1"/>
  <c r="AT34" i="1" s="1"/>
  <c r="AW34" i="1" s="1"/>
  <c r="AZ34" i="1" s="1"/>
  <c r="BC34" i="1" s="1"/>
  <c r="BF34" i="1" s="1"/>
  <c r="BI34" i="1" s="1"/>
  <c r="BL34" i="1" s="1"/>
  <c r="BO34" i="1" s="1"/>
  <c r="BR34" i="1" s="1"/>
  <c r="BU34" i="1" s="1"/>
  <c r="BX34" i="1" s="1"/>
  <c r="E34" i="1"/>
  <c r="H34" i="1" s="1"/>
  <c r="Q33" i="1"/>
  <c r="T33" i="1" s="1"/>
  <c r="V33" i="1" s="1"/>
  <c r="Y33" i="1" s="1"/>
  <c r="AA33" i="1" s="1"/>
  <c r="AD33" i="1" s="1"/>
  <c r="AF33" i="1" s="1"/>
  <c r="AH33" i="1" s="1"/>
  <c r="AK33" i="1" s="1"/>
  <c r="AN33" i="1" s="1"/>
  <c r="AQ33" i="1" s="1"/>
  <c r="AT33" i="1" s="1"/>
  <c r="AW33" i="1" s="1"/>
  <c r="AZ33" i="1" s="1"/>
  <c r="BC33" i="1" s="1"/>
  <c r="BF33" i="1" s="1"/>
  <c r="BI33" i="1" s="1"/>
  <c r="BL33" i="1" s="1"/>
  <c r="BO33" i="1" s="1"/>
  <c r="BR33" i="1" s="1"/>
  <c r="BU33" i="1" s="1"/>
  <c r="BX33" i="1" s="1"/>
  <c r="H33" i="1"/>
  <c r="K33" i="1" s="1"/>
  <c r="N33" i="1" s="1"/>
  <c r="E33" i="1"/>
  <c r="V32" i="1"/>
  <c r="Y32" i="1" s="1"/>
  <c r="AA32" i="1" s="1"/>
  <c r="AD32" i="1" s="1"/>
  <c r="AF32" i="1" s="1"/>
  <c r="AH32" i="1" s="1"/>
  <c r="AK32" i="1" s="1"/>
  <c r="AN32" i="1" s="1"/>
  <c r="AQ32" i="1" s="1"/>
  <c r="AT32" i="1" s="1"/>
  <c r="AW32" i="1" s="1"/>
  <c r="AZ32" i="1" s="1"/>
  <c r="BC32" i="1" s="1"/>
  <c r="BF32" i="1" s="1"/>
  <c r="BI32" i="1" s="1"/>
  <c r="BL32" i="1" s="1"/>
  <c r="BO32" i="1" s="1"/>
  <c r="BR32" i="1" s="1"/>
  <c r="BU32" i="1" s="1"/>
  <c r="BX32" i="1" s="1"/>
  <c r="N32" i="1"/>
  <c r="Q32" i="1" s="1"/>
  <c r="T32" i="1" s="1"/>
  <c r="H32" i="1"/>
  <c r="K32" i="1" s="1"/>
  <c r="E32" i="1"/>
  <c r="E31" i="1"/>
  <c r="H31" i="1" s="1"/>
  <c r="K31" i="1" s="1"/>
  <c r="N31" i="1" s="1"/>
  <c r="Q31" i="1" s="1"/>
  <c r="T31" i="1" s="1"/>
  <c r="V31" i="1" s="1"/>
  <c r="Y31" i="1" s="1"/>
  <c r="AA31" i="1" s="1"/>
  <c r="AD31" i="1" s="1"/>
  <c r="AF31" i="1" s="1"/>
  <c r="AH31" i="1" s="1"/>
  <c r="AK31" i="1" s="1"/>
  <c r="AN31" i="1" s="1"/>
  <c r="AQ31" i="1" s="1"/>
  <c r="AT31" i="1" s="1"/>
  <c r="AW31" i="1" s="1"/>
  <c r="AZ31" i="1" s="1"/>
  <c r="BC31" i="1" s="1"/>
  <c r="BF31" i="1" s="1"/>
  <c r="BI31" i="1" s="1"/>
  <c r="BL31" i="1" s="1"/>
  <c r="BO31" i="1" s="1"/>
  <c r="BR31" i="1" s="1"/>
  <c r="BU31" i="1" s="1"/>
  <c r="BX31" i="1" s="1"/>
  <c r="E30" i="1"/>
  <c r="H30" i="1" s="1"/>
  <c r="K30" i="1" s="1"/>
  <c r="N30" i="1" s="1"/>
  <c r="Q30" i="1" s="1"/>
  <c r="T30" i="1" s="1"/>
  <c r="V30" i="1" s="1"/>
  <c r="Y30" i="1" s="1"/>
  <c r="AA30" i="1" s="1"/>
  <c r="AD30" i="1" s="1"/>
  <c r="AF30" i="1" s="1"/>
  <c r="AH30" i="1" s="1"/>
  <c r="AK30" i="1" s="1"/>
  <c r="AN30" i="1" s="1"/>
  <c r="AQ30" i="1" s="1"/>
  <c r="AT30" i="1" s="1"/>
  <c r="AW30" i="1" s="1"/>
  <c r="AZ30" i="1" s="1"/>
  <c r="BC30" i="1" s="1"/>
  <c r="BF30" i="1" s="1"/>
  <c r="BI30" i="1" s="1"/>
  <c r="BL30" i="1" s="1"/>
  <c r="BO30" i="1" s="1"/>
  <c r="BR30" i="1" s="1"/>
  <c r="BU30" i="1" s="1"/>
  <c r="BX30" i="1" s="1"/>
  <c r="H29" i="1"/>
  <c r="K29" i="1" s="1"/>
  <c r="N29" i="1" s="1"/>
  <c r="Q29" i="1" s="1"/>
  <c r="T29" i="1" s="1"/>
  <c r="V29" i="1" s="1"/>
  <c r="Y29" i="1" s="1"/>
  <c r="AA29" i="1" s="1"/>
  <c r="AD29" i="1" s="1"/>
  <c r="AF29" i="1" s="1"/>
  <c r="AH29" i="1" s="1"/>
  <c r="AK29" i="1" s="1"/>
  <c r="AN29" i="1" s="1"/>
  <c r="AQ29" i="1" s="1"/>
  <c r="AT29" i="1" s="1"/>
  <c r="AW29" i="1" s="1"/>
  <c r="AZ29" i="1" s="1"/>
  <c r="BC29" i="1" s="1"/>
  <c r="BF29" i="1" s="1"/>
  <c r="BI29" i="1" s="1"/>
  <c r="BL29" i="1" s="1"/>
  <c r="BO29" i="1" s="1"/>
  <c r="BR29" i="1" s="1"/>
  <c r="BU29" i="1" s="1"/>
  <c r="BX29" i="1" s="1"/>
  <c r="E29" i="1"/>
  <c r="H28" i="1"/>
  <c r="K28" i="1" s="1"/>
  <c r="N28" i="1" s="1"/>
  <c r="Q28" i="1" s="1"/>
  <c r="T28" i="1" s="1"/>
  <c r="V28" i="1" s="1"/>
  <c r="Y28" i="1" s="1"/>
  <c r="AA28" i="1" s="1"/>
  <c r="AD28" i="1" s="1"/>
  <c r="AF28" i="1" s="1"/>
  <c r="AH28" i="1" s="1"/>
  <c r="AK28" i="1" s="1"/>
  <c r="AN28" i="1" s="1"/>
  <c r="AQ28" i="1" s="1"/>
  <c r="AT28" i="1" s="1"/>
  <c r="AW28" i="1" s="1"/>
  <c r="AZ28" i="1" s="1"/>
  <c r="BC28" i="1" s="1"/>
  <c r="BF28" i="1" s="1"/>
  <c r="BI28" i="1" s="1"/>
  <c r="BL28" i="1" s="1"/>
  <c r="BO28" i="1" s="1"/>
  <c r="BR28" i="1" s="1"/>
  <c r="BU28" i="1" s="1"/>
  <c r="BX28" i="1" s="1"/>
  <c r="E28" i="1"/>
  <c r="K27" i="1"/>
  <c r="N27" i="1" s="1"/>
  <c r="Q27" i="1" s="1"/>
  <c r="T27" i="1" s="1"/>
  <c r="V27" i="1" s="1"/>
  <c r="Y27" i="1" s="1"/>
  <c r="AA27" i="1" s="1"/>
  <c r="AD27" i="1" s="1"/>
  <c r="AF27" i="1" s="1"/>
  <c r="AH27" i="1" s="1"/>
  <c r="AK27" i="1" s="1"/>
  <c r="AN27" i="1" s="1"/>
  <c r="AQ27" i="1" s="1"/>
  <c r="AT27" i="1" s="1"/>
  <c r="AW27" i="1" s="1"/>
  <c r="AZ27" i="1" s="1"/>
  <c r="BC27" i="1" s="1"/>
  <c r="BF27" i="1" s="1"/>
  <c r="BI27" i="1" s="1"/>
  <c r="BL27" i="1" s="1"/>
  <c r="BO27" i="1" s="1"/>
  <c r="BR27" i="1" s="1"/>
  <c r="BU27" i="1" s="1"/>
  <c r="BX27" i="1" s="1"/>
  <c r="H27" i="1"/>
  <c r="E27" i="1"/>
  <c r="N26" i="1"/>
  <c r="Q26" i="1" s="1"/>
  <c r="T26" i="1" s="1"/>
  <c r="V26" i="1" s="1"/>
  <c r="Y26" i="1" s="1"/>
  <c r="AA26" i="1" s="1"/>
  <c r="AD26" i="1" s="1"/>
  <c r="AF26" i="1" s="1"/>
  <c r="AH26" i="1" s="1"/>
  <c r="AK26" i="1" s="1"/>
  <c r="AN26" i="1" s="1"/>
  <c r="AQ26" i="1" s="1"/>
  <c r="AT26" i="1" s="1"/>
  <c r="AW26" i="1" s="1"/>
  <c r="AZ26" i="1" s="1"/>
  <c r="BC26" i="1" s="1"/>
  <c r="BF26" i="1" s="1"/>
  <c r="BI26" i="1" s="1"/>
  <c r="BL26" i="1" s="1"/>
  <c r="BO26" i="1" s="1"/>
  <c r="BR26" i="1" s="1"/>
  <c r="BU26" i="1" s="1"/>
  <c r="BX26" i="1" s="1"/>
  <c r="K26" i="1"/>
  <c r="E26" i="1"/>
  <c r="H26" i="1" s="1"/>
  <c r="T25" i="1"/>
  <c r="V25" i="1" s="1"/>
  <c r="Y25" i="1" s="1"/>
  <c r="AA25" i="1" s="1"/>
  <c r="AD25" i="1" s="1"/>
  <c r="AF25" i="1" s="1"/>
  <c r="AH25" i="1" s="1"/>
  <c r="AK25" i="1" s="1"/>
  <c r="AN25" i="1" s="1"/>
  <c r="AQ25" i="1" s="1"/>
  <c r="AT25" i="1" s="1"/>
  <c r="AW25" i="1" s="1"/>
  <c r="AZ25" i="1" s="1"/>
  <c r="BC25" i="1" s="1"/>
  <c r="BF25" i="1" s="1"/>
  <c r="BI25" i="1" s="1"/>
  <c r="BL25" i="1" s="1"/>
  <c r="BO25" i="1" s="1"/>
  <c r="BR25" i="1" s="1"/>
  <c r="BU25" i="1" s="1"/>
  <c r="BX25" i="1" s="1"/>
  <c r="Q25" i="1"/>
  <c r="H25" i="1"/>
  <c r="K25" i="1" s="1"/>
  <c r="N25" i="1" s="1"/>
  <c r="E25" i="1"/>
  <c r="H24" i="1"/>
  <c r="K24" i="1" s="1"/>
  <c r="N24" i="1" s="1"/>
  <c r="Q24" i="1" s="1"/>
  <c r="T24" i="1" s="1"/>
  <c r="V24" i="1" s="1"/>
  <c r="Y24" i="1" s="1"/>
  <c r="AA24" i="1" s="1"/>
  <c r="AD24" i="1" s="1"/>
  <c r="AF24" i="1" s="1"/>
  <c r="AH24" i="1" s="1"/>
  <c r="AK24" i="1" s="1"/>
  <c r="AN24" i="1" s="1"/>
  <c r="AQ24" i="1" s="1"/>
  <c r="AT24" i="1" s="1"/>
  <c r="AW24" i="1" s="1"/>
  <c r="AZ24" i="1" s="1"/>
  <c r="BC24" i="1" s="1"/>
  <c r="BF24" i="1" s="1"/>
  <c r="BI24" i="1" s="1"/>
  <c r="BL24" i="1" s="1"/>
  <c r="BO24" i="1" s="1"/>
  <c r="BR24" i="1" s="1"/>
  <c r="BU24" i="1" s="1"/>
  <c r="BX24" i="1" s="1"/>
  <c r="E24" i="1"/>
  <c r="E23" i="1"/>
  <c r="H23" i="1" s="1"/>
  <c r="K23" i="1" s="1"/>
  <c r="N23" i="1" s="1"/>
  <c r="Q23" i="1" s="1"/>
  <c r="T23" i="1" s="1"/>
  <c r="V23" i="1" s="1"/>
  <c r="Y23" i="1" s="1"/>
  <c r="AA23" i="1" s="1"/>
  <c r="AD23" i="1" s="1"/>
  <c r="AF23" i="1" s="1"/>
  <c r="AH23" i="1" s="1"/>
  <c r="AK23" i="1" s="1"/>
  <c r="AN23" i="1" s="1"/>
  <c r="AQ23" i="1" s="1"/>
  <c r="AT23" i="1" s="1"/>
  <c r="AW23" i="1" s="1"/>
  <c r="AZ23" i="1" s="1"/>
  <c r="BC23" i="1" s="1"/>
  <c r="BF23" i="1" s="1"/>
  <c r="BI23" i="1" s="1"/>
  <c r="BL23" i="1" s="1"/>
  <c r="BO23" i="1" s="1"/>
  <c r="BR23" i="1" s="1"/>
  <c r="BU23" i="1" s="1"/>
  <c r="BX23" i="1" s="1"/>
  <c r="K22" i="1"/>
  <c r="N22" i="1" s="1"/>
  <c r="Q22" i="1" s="1"/>
  <c r="T22" i="1" s="1"/>
  <c r="V22" i="1" s="1"/>
  <c r="Y22" i="1" s="1"/>
  <c r="AA22" i="1" s="1"/>
  <c r="AD22" i="1" s="1"/>
  <c r="AF22" i="1" s="1"/>
  <c r="AH22" i="1" s="1"/>
  <c r="AK22" i="1" s="1"/>
  <c r="AN22" i="1" s="1"/>
  <c r="AQ22" i="1" s="1"/>
  <c r="AT22" i="1" s="1"/>
  <c r="AW22" i="1" s="1"/>
  <c r="AZ22" i="1" s="1"/>
  <c r="BC22" i="1" s="1"/>
  <c r="BF22" i="1" s="1"/>
  <c r="BI22" i="1" s="1"/>
  <c r="BL22" i="1" s="1"/>
  <c r="BO22" i="1" s="1"/>
  <c r="BR22" i="1" s="1"/>
  <c r="BU22" i="1" s="1"/>
  <c r="BX22" i="1" s="1"/>
  <c r="E22" i="1"/>
  <c r="H22" i="1" s="1"/>
  <c r="Q21" i="1"/>
  <c r="T21" i="1" s="1"/>
  <c r="V21" i="1" s="1"/>
  <c r="Y21" i="1" s="1"/>
  <c r="AA21" i="1" s="1"/>
  <c r="AD21" i="1" s="1"/>
  <c r="AF21" i="1" s="1"/>
  <c r="AH21" i="1" s="1"/>
  <c r="AK21" i="1" s="1"/>
  <c r="AN21" i="1" s="1"/>
  <c r="AQ21" i="1" s="1"/>
  <c r="AT21" i="1" s="1"/>
  <c r="AW21" i="1" s="1"/>
  <c r="AZ21" i="1" s="1"/>
  <c r="BC21" i="1" s="1"/>
  <c r="BF21" i="1" s="1"/>
  <c r="BI21" i="1" s="1"/>
  <c r="BL21" i="1" s="1"/>
  <c r="BO21" i="1" s="1"/>
  <c r="BR21" i="1" s="1"/>
  <c r="BU21" i="1" s="1"/>
  <c r="BX21" i="1" s="1"/>
  <c r="H21" i="1"/>
  <c r="K21" i="1" s="1"/>
  <c r="N21" i="1" s="1"/>
  <c r="E21" i="1"/>
  <c r="H20" i="1"/>
  <c r="K20" i="1" s="1"/>
  <c r="N20" i="1" s="1"/>
  <c r="Q20" i="1" s="1"/>
  <c r="T20" i="1" s="1"/>
  <c r="V20" i="1" s="1"/>
  <c r="Y20" i="1" s="1"/>
  <c r="AA20" i="1" s="1"/>
  <c r="AD20" i="1" s="1"/>
  <c r="AF20" i="1" s="1"/>
  <c r="AH20" i="1" s="1"/>
  <c r="AK20" i="1" s="1"/>
  <c r="AN20" i="1" s="1"/>
  <c r="AQ20" i="1" s="1"/>
  <c r="AT20" i="1" s="1"/>
  <c r="AW20" i="1" s="1"/>
  <c r="AZ20" i="1" s="1"/>
  <c r="BC20" i="1" s="1"/>
  <c r="BF20" i="1" s="1"/>
  <c r="BI20" i="1" s="1"/>
  <c r="BL20" i="1" s="1"/>
  <c r="BO20" i="1" s="1"/>
  <c r="BR20" i="1" s="1"/>
  <c r="BU20" i="1" s="1"/>
  <c r="BX20" i="1" s="1"/>
  <c r="E20" i="1"/>
  <c r="K19" i="1"/>
  <c r="N19" i="1" s="1"/>
  <c r="Q19" i="1" s="1"/>
  <c r="T19" i="1" s="1"/>
  <c r="V19" i="1" s="1"/>
  <c r="Y19" i="1" s="1"/>
  <c r="AA19" i="1" s="1"/>
  <c r="AD19" i="1" s="1"/>
  <c r="AF19" i="1" s="1"/>
  <c r="AH19" i="1" s="1"/>
  <c r="AK19" i="1" s="1"/>
  <c r="AN19" i="1" s="1"/>
  <c r="AQ19" i="1" s="1"/>
  <c r="AT19" i="1" s="1"/>
  <c r="AW19" i="1" s="1"/>
  <c r="AZ19" i="1" s="1"/>
  <c r="BC19" i="1" s="1"/>
  <c r="BF19" i="1" s="1"/>
  <c r="BI19" i="1" s="1"/>
  <c r="BL19" i="1" s="1"/>
  <c r="BO19" i="1" s="1"/>
  <c r="BR19" i="1" s="1"/>
  <c r="BU19" i="1" s="1"/>
  <c r="BX19" i="1" s="1"/>
  <c r="H19" i="1"/>
  <c r="E19" i="1"/>
  <c r="E18" i="1"/>
  <c r="H18" i="1" s="1"/>
  <c r="K18" i="1" s="1"/>
  <c r="N18" i="1" s="1"/>
  <c r="Q18" i="1" s="1"/>
  <c r="T18" i="1" s="1"/>
  <c r="V18" i="1" s="1"/>
  <c r="Y18" i="1" s="1"/>
  <c r="AA18" i="1" s="1"/>
  <c r="AD18" i="1" s="1"/>
  <c r="AF18" i="1" s="1"/>
  <c r="AH18" i="1" s="1"/>
  <c r="AK18" i="1" s="1"/>
  <c r="AN18" i="1" s="1"/>
  <c r="AQ18" i="1" s="1"/>
  <c r="AT18" i="1" s="1"/>
  <c r="AW18" i="1" s="1"/>
  <c r="AZ18" i="1" s="1"/>
  <c r="BC18" i="1" s="1"/>
  <c r="BF18" i="1" s="1"/>
  <c r="BI18" i="1" s="1"/>
  <c r="BL18" i="1" s="1"/>
  <c r="BO18" i="1" s="1"/>
  <c r="BR18" i="1" s="1"/>
  <c r="BU18" i="1" s="1"/>
  <c r="BX18" i="1" s="1"/>
  <c r="H17" i="1"/>
  <c r="K17" i="1" s="1"/>
  <c r="N17" i="1" s="1"/>
  <c r="Q17" i="1" s="1"/>
  <c r="T17" i="1" s="1"/>
  <c r="V17" i="1" s="1"/>
  <c r="Y17" i="1" s="1"/>
  <c r="AA17" i="1" s="1"/>
  <c r="AD17" i="1" s="1"/>
  <c r="AF17" i="1" s="1"/>
  <c r="AH17" i="1" s="1"/>
  <c r="AK17" i="1" s="1"/>
  <c r="AN17" i="1" s="1"/>
  <c r="AQ17" i="1" s="1"/>
  <c r="AT17" i="1" s="1"/>
  <c r="AW17" i="1" s="1"/>
  <c r="AZ17" i="1" s="1"/>
  <c r="BC17" i="1" s="1"/>
  <c r="BF17" i="1" s="1"/>
  <c r="BI17" i="1" s="1"/>
  <c r="BL17" i="1" s="1"/>
  <c r="BO17" i="1" s="1"/>
  <c r="BR17" i="1" s="1"/>
  <c r="BU17" i="1" s="1"/>
  <c r="BX17" i="1" s="1"/>
  <c r="E17" i="1"/>
  <c r="E16" i="1"/>
  <c r="H16" i="1" s="1"/>
  <c r="K16" i="1" s="1"/>
  <c r="N16" i="1" s="1"/>
  <c r="Q16" i="1" s="1"/>
  <c r="T16" i="1" s="1"/>
  <c r="V16" i="1" s="1"/>
  <c r="Y16" i="1" s="1"/>
  <c r="AA16" i="1" s="1"/>
  <c r="AD16" i="1" s="1"/>
  <c r="AF16" i="1" s="1"/>
  <c r="AH16" i="1" s="1"/>
  <c r="AK16" i="1" s="1"/>
  <c r="AN16" i="1" s="1"/>
  <c r="AQ16" i="1" s="1"/>
  <c r="AT16" i="1" s="1"/>
  <c r="AW16" i="1" s="1"/>
  <c r="AZ16" i="1" s="1"/>
  <c r="BC16" i="1" s="1"/>
  <c r="BF16" i="1" s="1"/>
  <c r="BI16" i="1" s="1"/>
  <c r="BL16" i="1" s="1"/>
  <c r="BO16" i="1" s="1"/>
  <c r="BR16" i="1" s="1"/>
  <c r="BU16" i="1" s="1"/>
  <c r="BX16" i="1" s="1"/>
  <c r="H15" i="1"/>
  <c r="K15" i="1" s="1"/>
  <c r="N15" i="1" s="1"/>
  <c r="Q15" i="1" s="1"/>
  <c r="T15" i="1" s="1"/>
  <c r="V15" i="1" s="1"/>
  <c r="Y15" i="1" s="1"/>
  <c r="AA15" i="1" s="1"/>
  <c r="AD15" i="1" s="1"/>
  <c r="AF15" i="1" s="1"/>
  <c r="AH15" i="1" s="1"/>
  <c r="AK15" i="1" s="1"/>
  <c r="AN15" i="1" s="1"/>
  <c r="AQ15" i="1" s="1"/>
  <c r="AT15" i="1" s="1"/>
  <c r="AW15" i="1" s="1"/>
  <c r="AZ15" i="1" s="1"/>
  <c r="BC15" i="1" s="1"/>
  <c r="BF15" i="1" s="1"/>
  <c r="BI15" i="1" s="1"/>
  <c r="BL15" i="1" s="1"/>
  <c r="BO15" i="1" s="1"/>
  <c r="BR15" i="1" s="1"/>
  <c r="BU15" i="1" s="1"/>
  <c r="BX15" i="1" s="1"/>
  <c r="E15" i="1"/>
  <c r="E14" i="1"/>
  <c r="H14" i="1" s="1"/>
  <c r="K14" i="1" s="1"/>
  <c r="N14" i="1" s="1"/>
  <c r="Q14" i="1" s="1"/>
  <c r="T14" i="1" s="1"/>
  <c r="V14" i="1" s="1"/>
  <c r="Y14" i="1" s="1"/>
  <c r="AA14" i="1" s="1"/>
  <c r="AD14" i="1" s="1"/>
  <c r="AF14" i="1" s="1"/>
  <c r="AH14" i="1" s="1"/>
  <c r="AK14" i="1" s="1"/>
  <c r="AN14" i="1" s="1"/>
  <c r="AQ14" i="1" s="1"/>
  <c r="AT14" i="1" s="1"/>
  <c r="AW14" i="1" s="1"/>
  <c r="AZ14" i="1" s="1"/>
  <c r="BC14" i="1" s="1"/>
  <c r="BF14" i="1" s="1"/>
  <c r="BI14" i="1" s="1"/>
  <c r="BL14" i="1" s="1"/>
  <c r="BO14" i="1" s="1"/>
  <c r="BR14" i="1" s="1"/>
  <c r="BU14" i="1" s="1"/>
  <c r="BX14" i="1" s="1"/>
  <c r="E13" i="1"/>
  <c r="H13" i="1" s="1"/>
  <c r="K13" i="1" s="1"/>
  <c r="N13" i="1" s="1"/>
  <c r="Q13" i="1" s="1"/>
  <c r="T13" i="1" s="1"/>
  <c r="V13" i="1" s="1"/>
  <c r="Y13" i="1" s="1"/>
  <c r="AA13" i="1" s="1"/>
  <c r="AD13" i="1" s="1"/>
  <c r="AF13" i="1" s="1"/>
  <c r="AH13" i="1" s="1"/>
  <c r="AK13" i="1" s="1"/>
  <c r="AN13" i="1" s="1"/>
  <c r="AQ13" i="1" s="1"/>
  <c r="AT13" i="1" s="1"/>
  <c r="AW13" i="1" s="1"/>
  <c r="AZ13" i="1" s="1"/>
  <c r="BC13" i="1" s="1"/>
  <c r="BF13" i="1" s="1"/>
  <c r="BI13" i="1" s="1"/>
  <c r="BL13" i="1" s="1"/>
  <c r="BO13" i="1" s="1"/>
  <c r="BR13" i="1" s="1"/>
  <c r="BU13" i="1" s="1"/>
  <c r="BX13" i="1" s="1"/>
  <c r="E12" i="1"/>
  <c r="H12" i="1" s="1"/>
  <c r="K12" i="1" s="1"/>
  <c r="N12" i="1" s="1"/>
  <c r="Q12" i="1" s="1"/>
  <c r="T12" i="1" s="1"/>
  <c r="V12" i="1" s="1"/>
  <c r="Y12" i="1" s="1"/>
  <c r="AA12" i="1" s="1"/>
  <c r="AD12" i="1" s="1"/>
  <c r="AF12" i="1" s="1"/>
  <c r="AH12" i="1" s="1"/>
  <c r="AK12" i="1" s="1"/>
  <c r="AN12" i="1" s="1"/>
  <c r="AQ12" i="1" s="1"/>
  <c r="AT12" i="1" s="1"/>
  <c r="AW12" i="1" s="1"/>
  <c r="AZ12" i="1" s="1"/>
  <c r="BC12" i="1" s="1"/>
  <c r="BF12" i="1" s="1"/>
  <c r="BI12" i="1" s="1"/>
  <c r="BL12" i="1" s="1"/>
  <c r="BO12" i="1" s="1"/>
  <c r="BR12" i="1" s="1"/>
  <c r="BU12" i="1" s="1"/>
  <c r="BX12" i="1" s="1"/>
  <c r="E11" i="1"/>
  <c r="H11" i="1" s="1"/>
  <c r="K11" i="1" s="1"/>
  <c r="N11" i="1" s="1"/>
  <c r="Q11" i="1" s="1"/>
  <c r="T11" i="1" s="1"/>
  <c r="V11" i="1" s="1"/>
  <c r="Y11" i="1" s="1"/>
  <c r="AA11" i="1" s="1"/>
  <c r="AD11" i="1" s="1"/>
  <c r="AF11" i="1" s="1"/>
  <c r="AH11" i="1" s="1"/>
  <c r="AK11" i="1" s="1"/>
  <c r="AN11" i="1" s="1"/>
  <c r="AQ11" i="1" s="1"/>
  <c r="AT11" i="1" s="1"/>
  <c r="AW11" i="1" s="1"/>
  <c r="AZ11" i="1" s="1"/>
  <c r="BC11" i="1" s="1"/>
  <c r="BF11" i="1" s="1"/>
  <c r="BI11" i="1" s="1"/>
  <c r="BL11" i="1" s="1"/>
  <c r="BO11" i="1" s="1"/>
  <c r="BR11" i="1" s="1"/>
  <c r="BU11" i="1" s="1"/>
  <c r="BX11" i="1" s="1"/>
  <c r="Y10" i="1"/>
  <c r="AA10" i="1" s="1"/>
  <c r="AD10" i="1" s="1"/>
  <c r="AF10" i="1" s="1"/>
  <c r="AH10" i="1" s="1"/>
  <c r="AK10" i="1" s="1"/>
  <c r="AN10" i="1" s="1"/>
  <c r="AQ10" i="1" s="1"/>
  <c r="AT10" i="1" s="1"/>
  <c r="AW10" i="1" s="1"/>
  <c r="AZ10" i="1" s="1"/>
  <c r="BC10" i="1" s="1"/>
  <c r="BF10" i="1" s="1"/>
  <c r="BI10" i="1" s="1"/>
  <c r="BL10" i="1" s="1"/>
  <c r="BO10" i="1" s="1"/>
  <c r="BR10" i="1" s="1"/>
  <c r="BU10" i="1" s="1"/>
  <c r="BX10" i="1" s="1"/>
  <c r="E10" i="1"/>
  <c r="H10" i="1" s="1"/>
  <c r="K10" i="1" s="1"/>
  <c r="N10" i="1" s="1"/>
  <c r="Q10" i="1" s="1"/>
  <c r="T10" i="1" s="1"/>
  <c r="V10" i="1" s="1"/>
  <c r="AQ9" i="1"/>
  <c r="AT9" i="1" s="1"/>
  <c r="AW9" i="1" s="1"/>
  <c r="AZ9" i="1" s="1"/>
  <c r="BC9" i="1" s="1"/>
  <c r="BF9" i="1" s="1"/>
  <c r="BI9" i="1" s="1"/>
  <c r="BL9" i="1" s="1"/>
  <c r="BO9" i="1" s="1"/>
  <c r="BR9" i="1" s="1"/>
  <c r="BU9" i="1" s="1"/>
  <c r="BX9" i="1" s="1"/>
  <c r="Q9" i="1"/>
  <c r="T9" i="1" s="1"/>
  <c r="V9" i="1" s="1"/>
  <c r="Y9" i="1" s="1"/>
  <c r="AA9" i="1" s="1"/>
  <c r="AD9" i="1" s="1"/>
  <c r="AF9" i="1" s="1"/>
  <c r="AH9" i="1" s="1"/>
  <c r="AK9" i="1" s="1"/>
  <c r="AN9" i="1" s="1"/>
  <c r="H9" i="1"/>
  <c r="K9" i="1" s="1"/>
  <c r="N9" i="1" s="1"/>
  <c r="E9" i="1"/>
  <c r="AA8" i="1"/>
  <c r="AD8" i="1" s="1"/>
  <c r="AF8" i="1" s="1"/>
  <c r="AH8" i="1" s="1"/>
  <c r="AK8" i="1" s="1"/>
  <c r="AN8" i="1" s="1"/>
  <c r="AQ8" i="1" s="1"/>
  <c r="AT8" i="1" s="1"/>
  <c r="AW8" i="1" s="1"/>
  <c r="AZ8" i="1" s="1"/>
  <c r="BC8" i="1" s="1"/>
  <c r="BF8" i="1" s="1"/>
  <c r="BI8" i="1" s="1"/>
  <c r="BL8" i="1" s="1"/>
  <c r="BO8" i="1" s="1"/>
  <c r="BR8" i="1" s="1"/>
  <c r="BU8" i="1" s="1"/>
  <c r="BX8" i="1" s="1"/>
  <c r="E8" i="1"/>
  <c r="H8" i="1" s="1"/>
  <c r="K8" i="1" s="1"/>
  <c r="N8" i="1" s="1"/>
  <c r="Q8" i="1" s="1"/>
  <c r="T8" i="1" s="1"/>
  <c r="V8" i="1" s="1"/>
  <c r="Y8" i="1" s="1"/>
  <c r="AK7" i="1"/>
  <c r="AN7" i="1" s="1"/>
  <c r="AQ7" i="1" s="1"/>
  <c r="AT7" i="1" s="1"/>
  <c r="AW7" i="1" s="1"/>
  <c r="AZ7" i="1" s="1"/>
  <c r="BC7" i="1" s="1"/>
  <c r="BF7" i="1" s="1"/>
  <c r="BI7" i="1" s="1"/>
  <c r="BL7" i="1" s="1"/>
  <c r="BO7" i="1" s="1"/>
  <c r="BR7" i="1" s="1"/>
  <c r="BU7" i="1" s="1"/>
  <c r="BX7" i="1" s="1"/>
  <c r="K7" i="1"/>
  <c r="N7" i="1" s="1"/>
  <c r="Q7" i="1" s="1"/>
  <c r="T7" i="1" s="1"/>
  <c r="V7" i="1" s="1"/>
  <c r="Y7" i="1" s="1"/>
  <c r="AA7" i="1" s="1"/>
  <c r="AD7" i="1" s="1"/>
  <c r="AF7" i="1" s="1"/>
  <c r="AH7" i="1" s="1"/>
  <c r="H7" i="1"/>
  <c r="E7" i="1"/>
  <c r="V6" i="1"/>
  <c r="Y6" i="1" s="1"/>
  <c r="AA6" i="1" s="1"/>
  <c r="AD6" i="1" s="1"/>
  <c r="AF6" i="1" s="1"/>
  <c r="AH6" i="1" s="1"/>
  <c r="AK6" i="1" s="1"/>
  <c r="AN6" i="1" s="1"/>
  <c r="AQ6" i="1" s="1"/>
  <c r="AT6" i="1" s="1"/>
  <c r="AW6" i="1" s="1"/>
  <c r="AZ6" i="1" s="1"/>
  <c r="BC6" i="1" s="1"/>
  <c r="BF6" i="1" s="1"/>
  <c r="BI6" i="1" s="1"/>
  <c r="BL6" i="1" s="1"/>
  <c r="BO6" i="1" s="1"/>
  <c r="BR6" i="1" s="1"/>
  <c r="BU6" i="1" s="1"/>
  <c r="BX6" i="1" s="1"/>
  <c r="N6" i="1"/>
  <c r="Q6" i="1" s="1"/>
  <c r="T6" i="1" s="1"/>
  <c r="K6" i="1"/>
  <c r="E6" i="1"/>
  <c r="H6" i="1" s="1"/>
  <c r="H5" i="1"/>
  <c r="K5" i="1" s="1"/>
  <c r="N5" i="1" s="1"/>
  <c r="Q5" i="1" s="1"/>
  <c r="T5" i="1" s="1"/>
  <c r="V5" i="1" s="1"/>
  <c r="Y5" i="1" s="1"/>
  <c r="AA5" i="1" s="1"/>
  <c r="AD5" i="1" s="1"/>
  <c r="AF5" i="1" s="1"/>
  <c r="AH5" i="1" s="1"/>
  <c r="AK5" i="1" s="1"/>
  <c r="AN5" i="1" s="1"/>
  <c r="AQ5" i="1" s="1"/>
  <c r="AT5" i="1" s="1"/>
  <c r="AW5" i="1" s="1"/>
  <c r="AZ5" i="1" s="1"/>
  <c r="BC5" i="1" s="1"/>
  <c r="BF5" i="1" s="1"/>
  <c r="BI5" i="1" s="1"/>
  <c r="BL5" i="1" s="1"/>
  <c r="BO5" i="1" s="1"/>
  <c r="BR5" i="1" s="1"/>
  <c r="BU5" i="1" s="1"/>
  <c r="BX5" i="1" s="1"/>
  <c r="E5" i="1"/>
  <c r="K4" i="1"/>
  <c r="N4" i="1" s="1"/>
  <c r="Q4" i="1" s="1"/>
  <c r="T4" i="1" s="1"/>
  <c r="V4" i="1" s="1"/>
  <c r="Y4" i="1" s="1"/>
  <c r="AA4" i="1" s="1"/>
  <c r="AD4" i="1" s="1"/>
  <c r="AF4" i="1" s="1"/>
  <c r="AH4" i="1" s="1"/>
  <c r="AK4" i="1" s="1"/>
  <c r="AN4" i="1" s="1"/>
  <c r="AQ4" i="1" s="1"/>
  <c r="AT4" i="1" s="1"/>
  <c r="AW4" i="1" s="1"/>
  <c r="AZ4" i="1" s="1"/>
  <c r="BC4" i="1" s="1"/>
  <c r="BF4" i="1" s="1"/>
  <c r="BI4" i="1" s="1"/>
  <c r="BL4" i="1" s="1"/>
  <c r="BO4" i="1" s="1"/>
  <c r="BR4" i="1" s="1"/>
  <c r="BU4" i="1" s="1"/>
  <c r="BX4" i="1" s="1"/>
  <c r="H4" i="1"/>
  <c r="E4" i="1"/>
  <c r="AK3" i="1"/>
  <c r="AN3" i="1" s="1"/>
  <c r="AQ3" i="1" s="1"/>
  <c r="AT3" i="1" s="1"/>
  <c r="AW3" i="1" s="1"/>
  <c r="AZ3" i="1" s="1"/>
  <c r="BC3" i="1" s="1"/>
  <c r="BF3" i="1" s="1"/>
  <c r="BI3" i="1" s="1"/>
  <c r="BL3" i="1" s="1"/>
  <c r="BO3" i="1" s="1"/>
  <c r="BR3" i="1" s="1"/>
  <c r="BU3" i="1" s="1"/>
  <c r="BX3" i="1" s="1"/>
  <c r="E3" i="1"/>
  <c r="H3" i="1" s="1"/>
  <c r="K3" i="1" s="1"/>
  <c r="N3" i="1" s="1"/>
  <c r="Q3" i="1" s="1"/>
  <c r="T3" i="1" s="1"/>
  <c r="V3" i="1" s="1"/>
  <c r="Y3" i="1" s="1"/>
  <c r="AA3" i="1" s="1"/>
  <c r="AD3" i="1" s="1"/>
  <c r="AF3" i="1" s="1"/>
  <c r="CE15" i="9" l="1"/>
  <c r="CG15" i="9"/>
  <c r="CE37" i="9"/>
  <c r="CG37" i="9"/>
  <c r="CE55" i="9"/>
  <c r="CG55" i="9"/>
  <c r="AA58" i="9"/>
  <c r="CG58" i="9"/>
  <c r="CE32" i="9"/>
  <c r="CG32" i="9"/>
  <c r="AW5" i="9"/>
  <c r="CG5" i="9"/>
  <c r="CG62" i="9" s="1"/>
  <c r="S17" i="9"/>
  <c r="CE34" i="9"/>
  <c r="CG34" i="9"/>
  <c r="O39" i="9"/>
  <c r="CE47" i="9"/>
  <c r="CG47" i="9"/>
  <c r="CE51" i="9"/>
  <c r="CG51" i="9"/>
  <c r="CE59" i="9"/>
  <c r="CG59" i="9"/>
  <c r="CE6" i="9"/>
  <c r="CG6" i="9"/>
  <c r="BK39" i="9"/>
  <c r="CE19" i="9"/>
  <c r="CG19" i="9"/>
  <c r="AU22" i="9"/>
  <c r="BG28" i="9"/>
  <c r="CG28" i="9"/>
  <c r="CE40" i="9"/>
  <c r="CG40" i="9"/>
  <c r="AA48" i="9"/>
  <c r="AC51" i="9"/>
  <c r="CE9" i="9"/>
  <c r="CG9" i="9"/>
  <c r="CE46" i="9"/>
  <c r="CG46" i="9"/>
  <c r="AG23" i="9"/>
  <c r="CG23" i="9"/>
  <c r="CE29" i="9"/>
  <c r="CG29" i="9"/>
  <c r="W36" i="9"/>
  <c r="AQ48" i="9"/>
  <c r="M8" i="9"/>
  <c r="CE14" i="9"/>
  <c r="CG14" i="9"/>
  <c r="BC36" i="9"/>
  <c r="AS48" i="9"/>
  <c r="CE54" i="9"/>
  <c r="CG54" i="9"/>
  <c r="BC4" i="9"/>
  <c r="CE4" i="9"/>
  <c r="AA13" i="9"/>
  <c r="CE13" i="9"/>
  <c r="W26" i="9"/>
  <c r="CE26" i="9"/>
  <c r="BE28" i="9"/>
  <c r="AS35" i="9"/>
  <c r="CE35" i="9"/>
  <c r="BK42" i="9"/>
  <c r="CE42" i="9"/>
  <c r="BK46" i="9"/>
  <c r="W52" i="9"/>
  <c r="CE52" i="9"/>
  <c r="AS12" i="9"/>
  <c r="CE12" i="9"/>
  <c r="AU12" i="9"/>
  <c r="Y28" i="9"/>
  <c r="BA20" i="9"/>
  <c r="CE20" i="9"/>
  <c r="BE20" i="9"/>
  <c r="BE24" i="9"/>
  <c r="CE24" i="9"/>
  <c r="G26" i="9"/>
  <c r="I35" i="9"/>
  <c r="BA37" i="9"/>
  <c r="AY42" i="9"/>
  <c r="BG25" i="9"/>
  <c r="CE25" i="9"/>
  <c r="AY7" i="9"/>
  <c r="CE7" i="9"/>
  <c r="AK10" i="9"/>
  <c r="CE10" i="9"/>
  <c r="AQ21" i="9"/>
  <c r="CE21" i="9"/>
  <c r="AU26" i="9"/>
  <c r="M35" i="9"/>
  <c r="BI38" i="9"/>
  <c r="CE38" i="9"/>
  <c r="BI43" i="9"/>
  <c r="CE43" i="9"/>
  <c r="AC47" i="9"/>
  <c r="BA49" i="9"/>
  <c r="CE49" i="9"/>
  <c r="BA60" i="9"/>
  <c r="CE60" i="9"/>
  <c r="I33" i="9"/>
  <c r="CE33" i="9"/>
  <c r="AU58" i="9"/>
  <c r="CE58" i="9"/>
  <c r="AM8" i="9"/>
  <c r="CE8" i="9"/>
  <c r="G10" i="9"/>
  <c r="BK16" i="9"/>
  <c r="CE16" i="9"/>
  <c r="I20" i="9"/>
  <c r="AW22" i="9"/>
  <c r="CE22" i="9"/>
  <c r="Q24" i="9"/>
  <c r="AW26" i="9"/>
  <c r="AI31" i="9"/>
  <c r="CE31" i="9"/>
  <c r="AC35" i="9"/>
  <c r="Q39" i="9"/>
  <c r="CE39" i="9"/>
  <c r="K43" i="9"/>
  <c r="Y48" i="9"/>
  <c r="CE48" i="9"/>
  <c r="BK50" i="9"/>
  <c r="CE50" i="9"/>
  <c r="G55" i="9"/>
  <c r="BK18" i="9"/>
  <c r="CE18" i="9"/>
  <c r="U2" i="9"/>
  <c r="CE2" i="9"/>
  <c r="G8" i="9"/>
  <c r="BK10" i="9"/>
  <c r="AY17" i="9"/>
  <c r="CE17" i="9"/>
  <c r="U20" i="9"/>
  <c r="I22" i="9"/>
  <c r="W24" i="9"/>
  <c r="W27" i="9"/>
  <c r="CE27" i="9"/>
  <c r="AE35" i="9"/>
  <c r="AY43" i="9"/>
  <c r="G48" i="9"/>
  <c r="BE50" i="9"/>
  <c r="I55" i="9"/>
  <c r="AK28" i="9"/>
  <c r="CE28" i="9"/>
  <c r="AY45" i="9"/>
  <c r="CE45" i="9"/>
  <c r="BG5" i="9"/>
  <c r="CE5" i="9"/>
  <c r="AY23" i="9"/>
  <c r="CE23" i="9"/>
  <c r="I58" i="9"/>
  <c r="AO3" i="9"/>
  <c r="CE3" i="9"/>
  <c r="I8" i="9"/>
  <c r="W11" i="9"/>
  <c r="CE11" i="9"/>
  <c r="M17" i="9"/>
  <c r="W20" i="9"/>
  <c r="AE22" i="9"/>
  <c r="AW24" i="9"/>
  <c r="U27" i="9"/>
  <c r="AM36" i="9"/>
  <c r="CE36" i="9"/>
  <c r="W39" i="9"/>
  <c r="BK44" i="9"/>
  <c r="CE44" i="9"/>
  <c r="W48" i="9"/>
  <c r="K56" i="9"/>
  <c r="CE56" i="9"/>
  <c r="Q16" i="9"/>
  <c r="I3" i="9"/>
  <c r="Y7" i="9"/>
  <c r="AA8" i="9"/>
  <c r="AO13" i="9"/>
  <c r="U16" i="9"/>
  <c r="AK17" i="9"/>
  <c r="AM20" i="9"/>
  <c r="AE21" i="9"/>
  <c r="AI23" i="9"/>
  <c r="Y24" i="9"/>
  <c r="G31" i="9"/>
  <c r="AO31" i="9"/>
  <c r="BG33" i="9"/>
  <c r="AG35" i="9"/>
  <c r="AM39" i="9"/>
  <c r="I42" i="9"/>
  <c r="M43" i="9"/>
  <c r="M44" i="9"/>
  <c r="S45" i="9"/>
  <c r="AC58" i="9"/>
  <c r="AI3" i="9"/>
  <c r="AA7" i="9"/>
  <c r="AQ13" i="9"/>
  <c r="BA16" i="9"/>
  <c r="AO17" i="9"/>
  <c r="AQ20" i="9"/>
  <c r="AK24" i="9"/>
  <c r="I31" i="9"/>
  <c r="AS31" i="9"/>
  <c r="AW35" i="9"/>
  <c r="AO39" i="9"/>
  <c r="O42" i="9"/>
  <c r="S43" i="9"/>
  <c r="AC44" i="9"/>
  <c r="U45" i="9"/>
  <c r="AS58" i="9"/>
  <c r="AW33" i="9"/>
  <c r="K44" i="9"/>
  <c r="BK13" i="9"/>
  <c r="BC16" i="9"/>
  <c r="AQ17" i="9"/>
  <c r="AM24" i="9"/>
  <c r="O31" i="9"/>
  <c r="BI31" i="9"/>
  <c r="AY35" i="9"/>
  <c r="AQ39" i="9"/>
  <c r="S42" i="9"/>
  <c r="AQ43" i="9"/>
  <c r="AE44" i="9"/>
  <c r="AA45" i="9"/>
  <c r="Y13" i="9"/>
  <c r="AC21" i="9"/>
  <c r="AM31" i="9"/>
  <c r="AA12" i="9"/>
  <c r="BE16" i="9"/>
  <c r="BI17" i="9"/>
  <c r="Q20" i="9"/>
  <c r="Y22" i="9"/>
  <c r="G24" i="9"/>
  <c r="AQ24" i="9"/>
  <c r="AG28" i="9"/>
  <c r="Q31" i="9"/>
  <c r="BK31" i="9"/>
  <c r="G35" i="9"/>
  <c r="BC35" i="9"/>
  <c r="BC38" i="9"/>
  <c r="BG39" i="9"/>
  <c r="AO42" i="9"/>
  <c r="AS43" i="9"/>
  <c r="AG44" i="9"/>
  <c r="BK45" i="9"/>
  <c r="BK17" i="9"/>
  <c r="S31" i="9"/>
  <c r="BI39" i="9"/>
  <c r="AU42" i="9"/>
  <c r="AW44" i="9"/>
  <c r="BC44" i="9"/>
  <c r="W13" i="9"/>
  <c r="O16" i="9"/>
  <c r="O17" i="9"/>
  <c r="AS18" i="9"/>
  <c r="O21" i="9"/>
  <c r="U24" i="9"/>
  <c r="I44" i="9"/>
  <c r="BE44" i="9"/>
  <c r="Y58" i="9"/>
  <c r="BA9" i="9"/>
  <c r="BY9" i="9"/>
  <c r="BO9" i="9"/>
  <c r="CC9" i="9"/>
  <c r="CA9" i="9"/>
  <c r="BU9" i="9"/>
  <c r="BQ9" i="9"/>
  <c r="BM9" i="9"/>
  <c r="BW9" i="9"/>
  <c r="BS9" i="9"/>
  <c r="BE9" i="9"/>
  <c r="AM9" i="9"/>
  <c r="S9" i="9"/>
  <c r="BC9" i="9"/>
  <c r="AI9" i="9"/>
  <c r="Q9" i="9"/>
  <c r="AY9" i="9"/>
  <c r="AG9" i="9"/>
  <c r="AW9" i="9"/>
  <c r="AE9" i="9"/>
  <c r="M9" i="9"/>
  <c r="AU9" i="9"/>
  <c r="AC9" i="9"/>
  <c r="K9" i="9"/>
  <c r="S2" i="9"/>
  <c r="BA3" i="9"/>
  <c r="CC3" i="9"/>
  <c r="CA3" i="9"/>
  <c r="BW3" i="9"/>
  <c r="BY3" i="9"/>
  <c r="BU3" i="9"/>
  <c r="BM3" i="9"/>
  <c r="AK3" i="9"/>
  <c r="G4" i="9"/>
  <c r="AA4" i="9"/>
  <c r="AU4" i="9"/>
  <c r="G5" i="9"/>
  <c r="AC5" i="9"/>
  <c r="AY5" i="9"/>
  <c r="G9" i="9"/>
  <c r="AS9" i="9"/>
  <c r="CC11" i="9"/>
  <c r="CA11" i="9"/>
  <c r="BQ11" i="9"/>
  <c r="BY11" i="9"/>
  <c r="BW11" i="9"/>
  <c r="BS11" i="9"/>
  <c r="BM11" i="9"/>
  <c r="BU11" i="9"/>
  <c r="BO11" i="9"/>
  <c r="BE11" i="9"/>
  <c r="BA11" i="9"/>
  <c r="AY11" i="9"/>
  <c r="AI11" i="9"/>
  <c r="AA11" i="9"/>
  <c r="AC12" i="9"/>
  <c r="AU18" i="9"/>
  <c r="BE38" i="9"/>
  <c r="BE47" i="9"/>
  <c r="BW47" i="9"/>
  <c r="BM47" i="9"/>
  <c r="BU47" i="9"/>
  <c r="BS47" i="9"/>
  <c r="BQ47" i="9"/>
  <c r="CC47" i="9"/>
  <c r="CA47" i="9"/>
  <c r="BY47" i="9"/>
  <c r="BO47" i="9"/>
  <c r="BG47" i="9"/>
  <c r="AA47" i="9"/>
  <c r="BC47" i="9"/>
  <c r="W47" i="9"/>
  <c r="AY47" i="9"/>
  <c r="S47" i="9"/>
  <c r="AS47" i="9"/>
  <c r="M47" i="9"/>
  <c r="AQ47" i="9"/>
  <c r="K47" i="9"/>
  <c r="K49" i="9"/>
  <c r="Q52" i="9"/>
  <c r="AY54" i="9"/>
  <c r="CC54" i="9"/>
  <c r="CA54" i="9"/>
  <c r="BQ54" i="9"/>
  <c r="BW54" i="9"/>
  <c r="BO54" i="9"/>
  <c r="BU54" i="9"/>
  <c r="BM54" i="9"/>
  <c r="BY54" i="9"/>
  <c r="BS54" i="9"/>
  <c r="BA54" i="9"/>
  <c r="AK54" i="9"/>
  <c r="AI54" i="9"/>
  <c r="U54" i="9"/>
  <c r="S54" i="9"/>
  <c r="G56" i="9"/>
  <c r="U60" i="9"/>
  <c r="Y4" i="9"/>
  <c r="G3" i="9"/>
  <c r="AM3" i="9"/>
  <c r="I4" i="9"/>
  <c r="AC4" i="9"/>
  <c r="AY4" i="9"/>
  <c r="K5" i="9"/>
  <c r="AE5" i="9"/>
  <c r="BA8" i="9"/>
  <c r="BW8" i="9"/>
  <c r="BM8" i="9"/>
  <c r="CC8" i="9"/>
  <c r="CA8" i="9"/>
  <c r="BY8" i="9"/>
  <c r="BS8" i="9"/>
  <c r="BU8" i="9"/>
  <c r="BO8" i="9"/>
  <c r="BQ8" i="9"/>
  <c r="BK8" i="9"/>
  <c r="AQ8" i="9"/>
  <c r="BI8" i="9"/>
  <c r="AO8" i="9"/>
  <c r="S8" i="9"/>
  <c r="BE8" i="9"/>
  <c r="AI8" i="9"/>
  <c r="BC8" i="9"/>
  <c r="AE8" i="9"/>
  <c r="K8" i="9"/>
  <c r="AC8" i="9"/>
  <c r="I9" i="9"/>
  <c r="BG9" i="9"/>
  <c r="G11" i="9"/>
  <c r="AC22" i="9"/>
  <c r="BG26" i="9"/>
  <c r="CA26" i="9"/>
  <c r="BY26" i="9"/>
  <c r="CC26" i="9"/>
  <c r="BU26" i="9"/>
  <c r="BS26" i="9"/>
  <c r="BO26" i="9"/>
  <c r="BQ26" i="9"/>
  <c r="BW26" i="9"/>
  <c r="BM26" i="9"/>
  <c r="BK26" i="9"/>
  <c r="AO26" i="9"/>
  <c r="S26" i="9"/>
  <c r="BI26" i="9"/>
  <c r="AM26" i="9"/>
  <c r="Q26" i="9"/>
  <c r="BE26" i="9"/>
  <c r="AI26" i="9"/>
  <c r="O26" i="9"/>
  <c r="BC26" i="9"/>
  <c r="AG26" i="9"/>
  <c r="M26" i="9"/>
  <c r="AY26" i="9"/>
  <c r="AE26" i="9"/>
  <c r="I26" i="9"/>
  <c r="CC27" i="9"/>
  <c r="CA27" i="9"/>
  <c r="BQ27" i="9"/>
  <c r="BU27" i="9"/>
  <c r="BW27" i="9"/>
  <c r="BM27" i="9"/>
  <c r="BS27" i="9"/>
  <c r="BO27" i="9"/>
  <c r="BY27" i="9"/>
  <c r="BC27" i="9"/>
  <c r="AW27" i="9"/>
  <c r="AI27" i="9"/>
  <c r="AG27" i="9"/>
  <c r="AC27" i="9"/>
  <c r="BI34" i="9"/>
  <c r="BY34" i="9"/>
  <c r="BO34" i="9"/>
  <c r="CC34" i="9"/>
  <c r="CA34" i="9"/>
  <c r="BQ34" i="9"/>
  <c r="BM34" i="9"/>
  <c r="BW34" i="9"/>
  <c r="BS34" i="9"/>
  <c r="BU34" i="9"/>
  <c r="BK34" i="9"/>
  <c r="AU34" i="9"/>
  <c r="AE34" i="9"/>
  <c r="O34" i="9"/>
  <c r="G47" i="9"/>
  <c r="BE51" i="9"/>
  <c r="BY51" i="9"/>
  <c r="BO51" i="9"/>
  <c r="CC51" i="9"/>
  <c r="CA51" i="9"/>
  <c r="BS51" i="9"/>
  <c r="BM51" i="9"/>
  <c r="BU51" i="9"/>
  <c r="BW51" i="9"/>
  <c r="BQ51" i="9"/>
  <c r="BC51" i="9"/>
  <c r="W51" i="9"/>
  <c r="AY51" i="9"/>
  <c r="S51" i="9"/>
  <c r="AS51" i="9"/>
  <c r="M51" i="9"/>
  <c r="AQ51" i="9"/>
  <c r="K51" i="9"/>
  <c r="AM51" i="9"/>
  <c r="G51" i="9"/>
  <c r="BA55" i="9"/>
  <c r="BO55" i="9"/>
  <c r="CC55" i="9"/>
  <c r="BU55" i="9"/>
  <c r="BS55" i="9"/>
  <c r="BM55" i="9"/>
  <c r="BW55" i="9"/>
  <c r="CA55" i="9"/>
  <c r="BQ55" i="9"/>
  <c r="BY55" i="9"/>
  <c r="BK55" i="9"/>
  <c r="AE55" i="9"/>
  <c r="BE55" i="9"/>
  <c r="Y55" i="9"/>
  <c r="BC55" i="9"/>
  <c r="W55" i="9"/>
  <c r="AY55" i="9"/>
  <c r="S55" i="9"/>
  <c r="AU55" i="9"/>
  <c r="O55" i="9"/>
  <c r="AS60" i="9"/>
  <c r="CA2" i="9"/>
  <c r="BK2" i="9"/>
  <c r="CC2" i="9"/>
  <c r="BS2" i="9"/>
  <c r="BM2" i="9"/>
  <c r="BI2" i="9"/>
  <c r="BG2" i="9"/>
  <c r="BY2" i="9"/>
  <c r="BU2" i="9"/>
  <c r="BQ2" i="9"/>
  <c r="BO2" i="9"/>
  <c r="BW2" i="9"/>
  <c r="BE5" i="9"/>
  <c r="BY5" i="9"/>
  <c r="BW5" i="9"/>
  <c r="BM5" i="9"/>
  <c r="BU5" i="9"/>
  <c r="BS5" i="9"/>
  <c r="CC5" i="9"/>
  <c r="CA5" i="9"/>
  <c r="BO5" i="9"/>
  <c r="BQ5" i="9"/>
  <c r="BC5" i="9"/>
  <c r="AU5" i="9"/>
  <c r="BU49" i="9"/>
  <c r="BS49" i="9"/>
  <c r="CC49" i="9"/>
  <c r="CA49" i="9"/>
  <c r="BY49" i="9"/>
  <c r="BW49" i="9"/>
  <c r="BQ49" i="9"/>
  <c r="BM49" i="9"/>
  <c r="BO49" i="9"/>
  <c r="AQ49" i="9"/>
  <c r="AK49" i="9"/>
  <c r="AI49" i="9"/>
  <c r="AA49" i="9"/>
  <c r="S49" i="9"/>
  <c r="BA52" i="9"/>
  <c r="CA52" i="9"/>
  <c r="BY52" i="9"/>
  <c r="CC52" i="9"/>
  <c r="BW52" i="9"/>
  <c r="BO52" i="9"/>
  <c r="BQ52" i="9"/>
  <c r="BS52" i="9"/>
  <c r="BU52" i="9"/>
  <c r="BM52" i="9"/>
  <c r="BG52" i="9"/>
  <c r="AM52" i="9"/>
  <c r="O52" i="9"/>
  <c r="BE52" i="9"/>
  <c r="AG52" i="9"/>
  <c r="M52" i="9"/>
  <c r="BC52" i="9"/>
  <c r="AE52" i="9"/>
  <c r="K52" i="9"/>
  <c r="AW52" i="9"/>
  <c r="AC52" i="9"/>
  <c r="I52" i="9"/>
  <c r="AU52" i="9"/>
  <c r="AA52" i="9"/>
  <c r="G52" i="9"/>
  <c r="BE56" i="9"/>
  <c r="BW56" i="9"/>
  <c r="BM56" i="9"/>
  <c r="BU56" i="9"/>
  <c r="BO56" i="9"/>
  <c r="BY56" i="9"/>
  <c r="BQ56" i="9"/>
  <c r="CC56" i="9"/>
  <c r="CA56" i="9"/>
  <c r="BS56" i="9"/>
  <c r="BI56" i="9"/>
  <c r="AC56" i="9"/>
  <c r="BG56" i="9"/>
  <c r="AA56" i="9"/>
  <c r="BC56" i="9"/>
  <c r="W56" i="9"/>
  <c r="AY56" i="9"/>
  <c r="S56" i="9"/>
  <c r="AS56" i="9"/>
  <c r="M56" i="9"/>
  <c r="W2" i="9"/>
  <c r="K4" i="9"/>
  <c r="AE4" i="9"/>
  <c r="M5" i="9"/>
  <c r="AG5" i="9"/>
  <c r="BI5" i="9"/>
  <c r="O9" i="9"/>
  <c r="BI9" i="9"/>
  <c r="BG18" i="9"/>
  <c r="CA18" i="9"/>
  <c r="BY18" i="9"/>
  <c r="CC18" i="9"/>
  <c r="BW18" i="9"/>
  <c r="BO18" i="9"/>
  <c r="BU18" i="9"/>
  <c r="BS18" i="9"/>
  <c r="BM18" i="9"/>
  <c r="BQ18" i="9"/>
  <c r="BI18" i="9"/>
  <c r="AM18" i="9"/>
  <c r="Q18" i="9"/>
  <c r="BE18" i="9"/>
  <c r="AI18" i="9"/>
  <c r="O18" i="9"/>
  <c r="BC18" i="9"/>
  <c r="AG18" i="9"/>
  <c r="M18" i="9"/>
  <c r="AY18" i="9"/>
  <c r="AE18" i="9"/>
  <c r="I18" i="9"/>
  <c r="AW18" i="9"/>
  <c r="AC18" i="9"/>
  <c r="G18" i="9"/>
  <c r="BC19" i="9"/>
  <c r="CC19" i="9"/>
  <c r="CA19" i="9"/>
  <c r="BQ19" i="9"/>
  <c r="BW19" i="9"/>
  <c r="BO19" i="9"/>
  <c r="BY19" i="9"/>
  <c r="BM19" i="9"/>
  <c r="BU19" i="9"/>
  <c r="BS19" i="9"/>
  <c r="BA32" i="9"/>
  <c r="BU32" i="9"/>
  <c r="BS32" i="9"/>
  <c r="CC32" i="9"/>
  <c r="CA32" i="9"/>
  <c r="BY32" i="9"/>
  <c r="BW32" i="9"/>
  <c r="BM32" i="9"/>
  <c r="BO32" i="9"/>
  <c r="BQ32" i="9"/>
  <c r="AS32" i="9"/>
  <c r="AM32" i="9"/>
  <c r="AK32" i="9"/>
  <c r="AC32" i="9"/>
  <c r="M32" i="9"/>
  <c r="BG38" i="9"/>
  <c r="BY38" i="9"/>
  <c r="BW38" i="9"/>
  <c r="BM38" i="9"/>
  <c r="BU38" i="9"/>
  <c r="CC38" i="9"/>
  <c r="CA38" i="9"/>
  <c r="BS38" i="9"/>
  <c r="BQ38" i="9"/>
  <c r="BO38" i="9"/>
  <c r="BA38" i="9"/>
  <c r="W38" i="9"/>
  <c r="AY38" i="9"/>
  <c r="U38" i="9"/>
  <c r="AQ38" i="9"/>
  <c r="M38" i="9"/>
  <c r="AO38" i="9"/>
  <c r="K38" i="9"/>
  <c r="AK38" i="9"/>
  <c r="I38" i="9"/>
  <c r="BA46" i="9"/>
  <c r="BO46" i="9"/>
  <c r="CC46" i="9"/>
  <c r="BU46" i="9"/>
  <c r="BS46" i="9"/>
  <c r="BQ46" i="9"/>
  <c r="BM46" i="9"/>
  <c r="CA46" i="9"/>
  <c r="BY46" i="9"/>
  <c r="BW46" i="9"/>
  <c r="BE46" i="9"/>
  <c r="Y46" i="9"/>
  <c r="BC46" i="9"/>
  <c r="W46" i="9"/>
  <c r="AY46" i="9"/>
  <c r="S46" i="9"/>
  <c r="AU46" i="9"/>
  <c r="O46" i="9"/>
  <c r="AO46" i="9"/>
  <c r="I46" i="9"/>
  <c r="BG49" i="9"/>
  <c r="Y52" i="9"/>
  <c r="AI56" i="9"/>
  <c r="AW60" i="9"/>
  <c r="BA4" i="9"/>
  <c r="BO4" i="9"/>
  <c r="CC4" i="9"/>
  <c r="BU4" i="9"/>
  <c r="BS4" i="9"/>
  <c r="BY4" i="9"/>
  <c r="BW4" i="9"/>
  <c r="BQ4" i="9"/>
  <c r="CA4" i="9"/>
  <c r="BM4" i="9"/>
  <c r="AQ9" i="9"/>
  <c r="AE2" i="9"/>
  <c r="K3" i="9"/>
  <c r="AQ3" i="9"/>
  <c r="M4" i="9"/>
  <c r="AI4" i="9"/>
  <c r="BE4" i="9"/>
  <c r="O5" i="9"/>
  <c r="AI5" i="9"/>
  <c r="BK5" i="9"/>
  <c r="W9" i="9"/>
  <c r="BK9" i="9"/>
  <c r="BA12" i="9"/>
  <c r="BO12" i="9"/>
  <c r="CC12" i="9"/>
  <c r="BU12" i="9"/>
  <c r="BS12" i="9"/>
  <c r="BQ12" i="9"/>
  <c r="CA12" i="9"/>
  <c r="BY12" i="9"/>
  <c r="BM12" i="9"/>
  <c r="BW12" i="9"/>
  <c r="BK12" i="9"/>
  <c r="AQ12" i="9"/>
  <c r="W12" i="9"/>
  <c r="BI12" i="9"/>
  <c r="AO12" i="9"/>
  <c r="S12" i="9"/>
  <c r="BG12" i="9"/>
  <c r="AM12" i="9"/>
  <c r="O12" i="9"/>
  <c r="BE12" i="9"/>
  <c r="AI12" i="9"/>
  <c r="M12" i="9"/>
  <c r="BC12" i="9"/>
  <c r="AE12" i="9"/>
  <c r="K12" i="9"/>
  <c r="AY12" i="9"/>
  <c r="S18" i="9"/>
  <c r="U19" i="9"/>
  <c r="G32" i="9"/>
  <c r="G38" i="9"/>
  <c r="G46" i="9"/>
  <c r="AI47" i="9"/>
  <c r="BA50" i="9"/>
  <c r="BW50" i="9"/>
  <c r="BM50" i="9"/>
  <c r="CC50" i="9"/>
  <c r="CA50" i="9"/>
  <c r="BY50" i="9"/>
  <c r="BS50" i="9"/>
  <c r="BO50" i="9"/>
  <c r="BQ50" i="9"/>
  <c r="BU50" i="9"/>
  <c r="BC50" i="9"/>
  <c r="W50" i="9"/>
  <c r="AY50" i="9"/>
  <c r="S50" i="9"/>
  <c r="AU50" i="9"/>
  <c r="O50" i="9"/>
  <c r="AO50" i="9"/>
  <c r="I50" i="9"/>
  <c r="AM50" i="9"/>
  <c r="G50" i="9"/>
  <c r="AO52" i="9"/>
  <c r="AM56" i="9"/>
  <c r="AS4" i="9"/>
  <c r="AU2" i="9"/>
  <c r="S3" i="9"/>
  <c r="AY3" i="9"/>
  <c r="O4" i="9"/>
  <c r="AM4" i="9"/>
  <c r="BG4" i="9"/>
  <c r="Q5" i="9"/>
  <c r="AM5" i="9"/>
  <c r="BQ6" i="9"/>
  <c r="CA6" i="9"/>
  <c r="BY6" i="9"/>
  <c r="BW6" i="9"/>
  <c r="BU6" i="9"/>
  <c r="BO6" i="9"/>
  <c r="CC6" i="9"/>
  <c r="BM6" i="9"/>
  <c r="BS6" i="9"/>
  <c r="AU8" i="9"/>
  <c r="Y9" i="9"/>
  <c r="G12" i="9"/>
  <c r="BA13" i="9"/>
  <c r="BY13" i="9"/>
  <c r="BW13" i="9"/>
  <c r="BM13" i="9"/>
  <c r="BU13" i="9"/>
  <c r="BS13" i="9"/>
  <c r="BQ13" i="9"/>
  <c r="CC13" i="9"/>
  <c r="CA13" i="9"/>
  <c r="BO13" i="9"/>
  <c r="BE13" i="9"/>
  <c r="AM13" i="9"/>
  <c r="S13" i="9"/>
  <c r="BC13" i="9"/>
  <c r="AI13" i="9"/>
  <c r="Q13" i="9"/>
  <c r="AY13" i="9"/>
  <c r="AG13" i="9"/>
  <c r="O13" i="9"/>
  <c r="AW13" i="9"/>
  <c r="AE13" i="9"/>
  <c r="M13" i="9"/>
  <c r="AU13" i="9"/>
  <c r="AC13" i="9"/>
  <c r="K13" i="9"/>
  <c r="AS13" i="9"/>
  <c r="W18" i="9"/>
  <c r="Y26" i="9"/>
  <c r="BI27" i="9"/>
  <c r="BY29" i="9"/>
  <c r="BW29" i="9"/>
  <c r="BM29" i="9"/>
  <c r="BU29" i="9"/>
  <c r="BS29" i="9"/>
  <c r="BO29" i="9"/>
  <c r="CA29" i="9"/>
  <c r="BQ29" i="9"/>
  <c r="CC29" i="9"/>
  <c r="BE33" i="9"/>
  <c r="BW33" i="9"/>
  <c r="BM33" i="9"/>
  <c r="CC33" i="9"/>
  <c r="CA33" i="9"/>
  <c r="BY33" i="9"/>
  <c r="BS33" i="9"/>
  <c r="BQ33" i="9"/>
  <c r="BU33" i="9"/>
  <c r="BO33" i="9"/>
  <c r="AQ33" i="9"/>
  <c r="AG33" i="9"/>
  <c r="AA33" i="9"/>
  <c r="Y33" i="9"/>
  <c r="Q33" i="9"/>
  <c r="AA38" i="9"/>
  <c r="AE46" i="9"/>
  <c r="AM47" i="9"/>
  <c r="Y50" i="9"/>
  <c r="AI51" i="9"/>
  <c r="AQ52" i="9"/>
  <c r="AI55" i="9"/>
  <c r="AQ56" i="9"/>
  <c r="AY60" i="9"/>
  <c r="BW60" i="9"/>
  <c r="BM60" i="9"/>
  <c r="CC60" i="9"/>
  <c r="CA60" i="9"/>
  <c r="BY60" i="9"/>
  <c r="BU60" i="9"/>
  <c r="BQ60" i="9"/>
  <c r="BO60" i="9"/>
  <c r="BS60" i="9"/>
  <c r="AM60" i="9"/>
  <c r="AK60" i="9"/>
  <c r="AG60" i="9"/>
  <c r="BI60" i="9"/>
  <c r="AC60" i="9"/>
  <c r="BC60" i="9"/>
  <c r="W60" i="9"/>
  <c r="AW2" i="9"/>
  <c r="U3" i="9"/>
  <c r="BE3" i="9"/>
  <c r="S4" i="9"/>
  <c r="AO4" i="9"/>
  <c r="BI4" i="9"/>
  <c r="S5" i="9"/>
  <c r="AQ5" i="9"/>
  <c r="O8" i="9"/>
  <c r="AY8" i="9"/>
  <c r="AA9" i="9"/>
  <c r="I12" i="9"/>
  <c r="G13" i="9"/>
  <c r="BG13" i="9"/>
  <c r="Y18" i="9"/>
  <c r="BG22" i="9"/>
  <c r="BQ22" i="9"/>
  <c r="CA22" i="9"/>
  <c r="BY22" i="9"/>
  <c r="BW22" i="9"/>
  <c r="BU22" i="9"/>
  <c r="BS22" i="9"/>
  <c r="BM22" i="9"/>
  <c r="CC22" i="9"/>
  <c r="BO22" i="9"/>
  <c r="AS22" i="9"/>
  <c r="W22" i="9"/>
  <c r="BK22" i="9"/>
  <c r="AO22" i="9"/>
  <c r="S22" i="9"/>
  <c r="BI22" i="9"/>
  <c r="AM22" i="9"/>
  <c r="Q22" i="9"/>
  <c r="BE22" i="9"/>
  <c r="AI22" i="9"/>
  <c r="O22" i="9"/>
  <c r="BC22" i="9"/>
  <c r="AG22" i="9"/>
  <c r="M22" i="9"/>
  <c r="AY22" i="9"/>
  <c r="AC26" i="9"/>
  <c r="BO28" i="9"/>
  <c r="CC28" i="9"/>
  <c r="BU28" i="9"/>
  <c r="BS28" i="9"/>
  <c r="CA28" i="9"/>
  <c r="BW28" i="9"/>
  <c r="BM28" i="9"/>
  <c r="BQ28" i="9"/>
  <c r="BY28" i="9"/>
  <c r="BA28" i="9"/>
  <c r="W28" i="9"/>
  <c r="AW28" i="9"/>
  <c r="U28" i="9"/>
  <c r="AQ28" i="9"/>
  <c r="Q28" i="9"/>
  <c r="AO28" i="9"/>
  <c r="K28" i="9"/>
  <c r="AM28" i="9"/>
  <c r="I28" i="9"/>
  <c r="AC38" i="9"/>
  <c r="AI46" i="9"/>
  <c r="BI47" i="9"/>
  <c r="AE50" i="9"/>
  <c r="BG51" i="9"/>
  <c r="AS52" i="9"/>
  <c r="AM55" i="9"/>
  <c r="BA58" i="9"/>
  <c r="BQ58" i="9"/>
  <c r="CA58" i="9"/>
  <c r="BY58" i="9"/>
  <c r="BW58" i="9"/>
  <c r="BU58" i="9"/>
  <c r="CC58" i="9"/>
  <c r="BS58" i="9"/>
  <c r="BM58" i="9"/>
  <c r="BO58" i="9"/>
  <c r="BK58" i="9"/>
  <c r="AQ58" i="9"/>
  <c r="W58" i="9"/>
  <c r="BI58" i="9"/>
  <c r="AO58" i="9"/>
  <c r="Q58" i="9"/>
  <c r="BG58" i="9"/>
  <c r="AM58" i="9"/>
  <c r="O58" i="9"/>
  <c r="BE58" i="9"/>
  <c r="AG58" i="9"/>
  <c r="M58" i="9"/>
  <c r="BC58" i="9"/>
  <c r="AE58" i="9"/>
  <c r="K58" i="9"/>
  <c r="AW58" i="9"/>
  <c r="BA2" i="9"/>
  <c r="AA5" i="9"/>
  <c r="BK52" i="9"/>
  <c r="AY2" i="9"/>
  <c r="W3" i="9"/>
  <c r="BG3" i="9"/>
  <c r="W4" i="9"/>
  <c r="AQ4" i="9"/>
  <c r="BK4" i="9"/>
  <c r="W5" i="9"/>
  <c r="AS5" i="9"/>
  <c r="W8" i="9"/>
  <c r="BG8" i="9"/>
  <c r="AO9" i="9"/>
  <c r="Y12" i="9"/>
  <c r="I13" i="9"/>
  <c r="BI13" i="9"/>
  <c r="AO18" i="9"/>
  <c r="G22" i="9"/>
  <c r="AS26" i="9"/>
  <c r="G28" i="9"/>
  <c r="K33" i="9"/>
  <c r="AI38" i="9"/>
  <c r="AM46" i="9"/>
  <c r="BA48" i="9"/>
  <c r="BQ48" i="9"/>
  <c r="CA48" i="9"/>
  <c r="BY48" i="9"/>
  <c r="BW48" i="9"/>
  <c r="BO48" i="9"/>
  <c r="CC48" i="9"/>
  <c r="BU48" i="9"/>
  <c r="BM48" i="9"/>
  <c r="BS48" i="9"/>
  <c r="BI48" i="9"/>
  <c r="AO48" i="9"/>
  <c r="Q48" i="9"/>
  <c r="BG48" i="9"/>
  <c r="AM48" i="9"/>
  <c r="O48" i="9"/>
  <c r="BE48" i="9"/>
  <c r="AG48" i="9"/>
  <c r="M48" i="9"/>
  <c r="BC48" i="9"/>
  <c r="AE48" i="9"/>
  <c r="K48" i="9"/>
  <c r="AW48" i="9"/>
  <c r="AC48" i="9"/>
  <c r="I48" i="9"/>
  <c r="BK48" i="9"/>
  <c r="AI50" i="9"/>
  <c r="BI51" i="9"/>
  <c r="BI52" i="9"/>
  <c r="AO55" i="9"/>
  <c r="G58" i="9"/>
  <c r="BA59" i="9"/>
  <c r="BU59" i="9"/>
  <c r="BS59" i="9"/>
  <c r="CC59" i="9"/>
  <c r="CA59" i="9"/>
  <c r="BY59" i="9"/>
  <c r="BW59" i="9"/>
  <c r="BQ59" i="9"/>
  <c r="BM59" i="9"/>
  <c r="BO59" i="9"/>
  <c r="BA7" i="9"/>
  <c r="BU7" i="9"/>
  <c r="BS7" i="9"/>
  <c r="CC7" i="9"/>
  <c r="CA7" i="9"/>
  <c r="BY7" i="9"/>
  <c r="BW7" i="9"/>
  <c r="BO7" i="9"/>
  <c r="BM7" i="9"/>
  <c r="BQ7" i="9"/>
  <c r="AI10" i="9"/>
  <c r="CA10" i="9"/>
  <c r="BY10" i="9"/>
  <c r="CC10" i="9"/>
  <c r="BS10" i="9"/>
  <c r="BM10" i="9"/>
  <c r="BU10" i="9"/>
  <c r="BO10" i="9"/>
  <c r="BQ10" i="9"/>
  <c r="BW10" i="9"/>
  <c r="BQ14" i="9"/>
  <c r="CA14" i="9"/>
  <c r="BY14" i="9"/>
  <c r="BW14" i="9"/>
  <c r="BU14" i="9"/>
  <c r="BS14" i="9"/>
  <c r="CC14" i="9"/>
  <c r="BM14" i="9"/>
  <c r="BO14" i="9"/>
  <c r="BK14" i="9"/>
  <c r="AE16" i="9"/>
  <c r="BG16" i="9"/>
  <c r="U17" i="9"/>
  <c r="AS17" i="9"/>
  <c r="BO20" i="9"/>
  <c r="CC20" i="9"/>
  <c r="BU20" i="9"/>
  <c r="BS20" i="9"/>
  <c r="BM20" i="9"/>
  <c r="BW20" i="9"/>
  <c r="CA20" i="9"/>
  <c r="BY20" i="9"/>
  <c r="BQ20" i="9"/>
  <c r="AG20" i="9"/>
  <c r="BG20" i="9"/>
  <c r="BW24" i="9"/>
  <c r="BM24" i="9"/>
  <c r="CC24" i="9"/>
  <c r="CA24" i="9"/>
  <c r="BY24" i="9"/>
  <c r="BS24" i="9"/>
  <c r="BK24" i="9"/>
  <c r="BQ24" i="9"/>
  <c r="BO24" i="9"/>
  <c r="BU24" i="9"/>
  <c r="AG24" i="9"/>
  <c r="BG24" i="9"/>
  <c r="BG31" i="9"/>
  <c r="BQ31" i="9"/>
  <c r="CA31" i="9"/>
  <c r="BY31" i="9"/>
  <c r="BW31" i="9"/>
  <c r="BU31" i="9"/>
  <c r="BM31" i="9"/>
  <c r="BO31" i="9"/>
  <c r="CC31" i="9"/>
  <c r="BS31" i="9"/>
  <c r="Y31" i="9"/>
  <c r="AU31" i="9"/>
  <c r="O35" i="9"/>
  <c r="AI35" i="9"/>
  <c r="BE35" i="9"/>
  <c r="AO37" i="9"/>
  <c r="BO37" i="9"/>
  <c r="CC37" i="9"/>
  <c r="BU37" i="9"/>
  <c r="BS37" i="9"/>
  <c r="CA37" i="9"/>
  <c r="BW37" i="9"/>
  <c r="BQ37" i="9"/>
  <c r="BM37" i="9"/>
  <c r="BY37" i="9"/>
  <c r="BA39" i="9"/>
  <c r="BQ39" i="9"/>
  <c r="CA39" i="9"/>
  <c r="BY39" i="9"/>
  <c r="BW39" i="9"/>
  <c r="BU39" i="9"/>
  <c r="BM39" i="9"/>
  <c r="CC39" i="9"/>
  <c r="BS39" i="9"/>
  <c r="BO39" i="9"/>
  <c r="Y39" i="9"/>
  <c r="AS39" i="9"/>
  <c r="AI40" i="9"/>
  <c r="BU40" i="9"/>
  <c r="BS40" i="9"/>
  <c r="CC40" i="9"/>
  <c r="CA40" i="9"/>
  <c r="BY40" i="9"/>
  <c r="BW40" i="9"/>
  <c r="BO40" i="9"/>
  <c r="BM40" i="9"/>
  <c r="BQ40" i="9"/>
  <c r="W42" i="9"/>
  <c r="BC42" i="9"/>
  <c r="W43" i="9"/>
  <c r="BC43" i="9"/>
  <c r="O44" i="9"/>
  <c r="AM44" i="9"/>
  <c r="BG44" i="9"/>
  <c r="AE45" i="9"/>
  <c r="BU15" i="9"/>
  <c r="BS15" i="9"/>
  <c r="CC15" i="9"/>
  <c r="CA15" i="9"/>
  <c r="BY15" i="9"/>
  <c r="BW15" i="9"/>
  <c r="BO15" i="9"/>
  <c r="BQ15" i="9"/>
  <c r="BM15" i="9"/>
  <c r="AG16" i="9"/>
  <c r="Y17" i="9"/>
  <c r="AK21" i="9"/>
  <c r="BY21" i="9"/>
  <c r="BW21" i="9"/>
  <c r="BM21" i="9"/>
  <c r="BS21" i="9"/>
  <c r="BU21" i="9"/>
  <c r="BQ21" i="9"/>
  <c r="BO21" i="9"/>
  <c r="CC21" i="9"/>
  <c r="CA21" i="9"/>
  <c r="BE21" i="9"/>
  <c r="AQ25" i="9"/>
  <c r="BY25" i="9"/>
  <c r="BO25" i="9"/>
  <c r="CC25" i="9"/>
  <c r="CA25" i="9"/>
  <c r="BU25" i="9"/>
  <c r="BS25" i="9"/>
  <c r="BQ25" i="9"/>
  <c r="BW25" i="9"/>
  <c r="BM25" i="9"/>
  <c r="AC31" i="9"/>
  <c r="AW31" i="9"/>
  <c r="Q35" i="9"/>
  <c r="AM35" i="9"/>
  <c r="BI35" i="9"/>
  <c r="I37" i="9"/>
  <c r="G39" i="9"/>
  <c r="AA39" i="9"/>
  <c r="AU39" i="9"/>
  <c r="AA40" i="9"/>
  <c r="Y42" i="9"/>
  <c r="BE42" i="9"/>
  <c r="AA43" i="9"/>
  <c r="BG43" i="9"/>
  <c r="Q44" i="9"/>
  <c r="AO44" i="9"/>
  <c r="BI44" i="9"/>
  <c r="AQ45" i="9"/>
  <c r="AQ16" i="9"/>
  <c r="BW16" i="9"/>
  <c r="BM16" i="9"/>
  <c r="CC16" i="9"/>
  <c r="CA16" i="9"/>
  <c r="BY16" i="9"/>
  <c r="BO16" i="9"/>
  <c r="BU16" i="9"/>
  <c r="BS16" i="9"/>
  <c r="BQ16" i="9"/>
  <c r="AK16" i="9"/>
  <c r="BY17" i="9"/>
  <c r="BO17" i="9"/>
  <c r="CC17" i="9"/>
  <c r="CA17" i="9"/>
  <c r="BW17" i="9"/>
  <c r="BU17" i="9"/>
  <c r="BS17" i="9"/>
  <c r="BQ17" i="9"/>
  <c r="BM17" i="9"/>
  <c r="AC17" i="9"/>
  <c r="BA17" i="9"/>
  <c r="I21" i="9"/>
  <c r="BG21" i="9"/>
  <c r="I25" i="9"/>
  <c r="AE31" i="9"/>
  <c r="AY31" i="9"/>
  <c r="S35" i="9"/>
  <c r="AO35" i="9"/>
  <c r="BK35" i="9"/>
  <c r="K37" i="9"/>
  <c r="I39" i="9"/>
  <c r="AC39" i="9"/>
  <c r="AW39" i="9"/>
  <c r="BG40" i="9"/>
  <c r="AE42" i="9"/>
  <c r="AC43" i="9"/>
  <c r="W44" i="9"/>
  <c r="AQ44" i="9"/>
  <c r="AI7" i="9"/>
  <c r="AM10" i="9"/>
  <c r="I16" i="9"/>
  <c r="AM16" i="9"/>
  <c r="I17" i="9"/>
  <c r="AE17" i="9"/>
  <c r="BE17" i="9"/>
  <c r="K20" i="9"/>
  <c r="AO20" i="9"/>
  <c r="K21" i="9"/>
  <c r="BI21" i="9"/>
  <c r="K24" i="9"/>
  <c r="AO24" i="9"/>
  <c r="M25" i="9"/>
  <c r="M31" i="9"/>
  <c r="AG31" i="9"/>
  <c r="BE31" i="9"/>
  <c r="W35" i="9"/>
  <c r="BA36" i="9"/>
  <c r="CC36" i="9"/>
  <c r="CA36" i="9"/>
  <c r="BQ36" i="9"/>
  <c r="BS36" i="9"/>
  <c r="BO36" i="9"/>
  <c r="BW36" i="9"/>
  <c r="BU36" i="9"/>
  <c r="BM36" i="9"/>
  <c r="BY36" i="9"/>
  <c r="S37" i="9"/>
  <c r="K39" i="9"/>
  <c r="AE39" i="9"/>
  <c r="BC39" i="9"/>
  <c r="BA42" i="9"/>
  <c r="BW42" i="9"/>
  <c r="BM42" i="9"/>
  <c r="CC42" i="9"/>
  <c r="CA42" i="9"/>
  <c r="BY42" i="9"/>
  <c r="BQ42" i="9"/>
  <c r="BO42" i="9"/>
  <c r="BU42" i="9"/>
  <c r="BS42" i="9"/>
  <c r="AI42" i="9"/>
  <c r="BE43" i="9"/>
  <c r="BY43" i="9"/>
  <c r="BO43" i="9"/>
  <c r="CC43" i="9"/>
  <c r="CA43" i="9"/>
  <c r="BU43" i="9"/>
  <c r="BW43" i="9"/>
  <c r="BM43" i="9"/>
  <c r="BS43" i="9"/>
  <c r="BQ43" i="9"/>
  <c r="AI43" i="9"/>
  <c r="BA44" i="9"/>
  <c r="CA44" i="9"/>
  <c r="BY44" i="9"/>
  <c r="CC44" i="9"/>
  <c r="BM44" i="9"/>
  <c r="BU44" i="9"/>
  <c r="BS44" i="9"/>
  <c r="BO44" i="9"/>
  <c r="BW44" i="9"/>
  <c r="BQ44" i="9"/>
  <c r="Y44" i="9"/>
  <c r="AS44" i="9"/>
  <c r="AI45" i="9"/>
  <c r="CC45" i="9"/>
  <c r="CA45" i="9"/>
  <c r="BQ45" i="9"/>
  <c r="BY45" i="9"/>
  <c r="BM45" i="9"/>
  <c r="BU45" i="9"/>
  <c r="BS45" i="9"/>
  <c r="BO45" i="9"/>
  <c r="BW45" i="9"/>
  <c r="BA45" i="9"/>
  <c r="K16" i="9"/>
  <c r="AO16" i="9"/>
  <c r="K17" i="9"/>
  <c r="AI17" i="9"/>
  <c r="BG17" i="9"/>
  <c r="M21" i="9"/>
  <c r="BK21" i="9"/>
  <c r="BU23" i="9"/>
  <c r="BS23" i="9"/>
  <c r="CC23" i="9"/>
  <c r="CA23" i="9"/>
  <c r="BY23" i="9"/>
  <c r="BW23" i="9"/>
  <c r="BQ23" i="9"/>
  <c r="BM23" i="9"/>
  <c r="BO23" i="9"/>
  <c r="BE25" i="9"/>
  <c r="BG35" i="9"/>
  <c r="CA35" i="9"/>
  <c r="BY35" i="9"/>
  <c r="CC35" i="9"/>
  <c r="BW35" i="9"/>
  <c r="BQ35" i="9"/>
  <c r="BM35" i="9"/>
  <c r="BU35" i="9"/>
  <c r="BS35" i="9"/>
  <c r="BO35" i="9"/>
  <c r="Y35" i="9"/>
  <c r="AU35" i="9"/>
  <c r="G36" i="9"/>
  <c r="AG37" i="9"/>
  <c r="M39" i="9"/>
  <c r="AG39" i="9"/>
  <c r="BE39" i="9"/>
  <c r="G42" i="9"/>
  <c r="AM42" i="9"/>
  <c r="G43" i="9"/>
  <c r="AM43" i="9"/>
  <c r="G44" i="9"/>
  <c r="AA44" i="9"/>
  <c r="AU44" i="9"/>
  <c r="K45" i="9"/>
  <c r="BG45" i="9"/>
  <c r="AW6" i="3"/>
  <c r="AG6" i="3"/>
  <c r="Q6" i="3"/>
  <c r="AU6" i="3"/>
  <c r="AE6" i="3"/>
  <c r="O6" i="3"/>
  <c r="AC6" i="3"/>
  <c r="I6" i="3"/>
  <c r="AQ6" i="3"/>
  <c r="W6" i="3"/>
  <c r="AA6" i="3"/>
  <c r="Y6" i="3"/>
  <c r="AK6" i="3"/>
  <c r="AI6" i="3"/>
  <c r="U6" i="3"/>
  <c r="S6" i="3"/>
  <c r="AY6" i="3"/>
  <c r="M6" i="3"/>
  <c r="AS6" i="3"/>
  <c r="K6" i="3"/>
  <c r="AI2" i="3"/>
  <c r="AW8" i="3"/>
  <c r="AG8" i="3"/>
  <c r="Q8" i="3"/>
  <c r="AU8" i="3"/>
  <c r="AE8" i="3"/>
  <c r="O8" i="3"/>
  <c r="AQ8" i="3"/>
  <c r="W8" i="3"/>
  <c r="AO8" i="3"/>
  <c r="U8" i="3"/>
  <c r="AI8" i="3"/>
  <c r="K8" i="3"/>
  <c r="AY8" i="3"/>
  <c r="M8" i="3"/>
  <c r="AS8" i="3"/>
  <c r="I8" i="3"/>
  <c r="AW9" i="3"/>
  <c r="AG9" i="3"/>
  <c r="Q9" i="3"/>
  <c r="AU9" i="3"/>
  <c r="AE9" i="3"/>
  <c r="O9" i="3"/>
  <c r="AM9" i="3"/>
  <c r="S9" i="3"/>
  <c r="AK9" i="3"/>
  <c r="M9" i="3"/>
  <c r="AY9" i="3"/>
  <c r="AA9" i="3"/>
  <c r="G9" i="3"/>
  <c r="AI9" i="3"/>
  <c r="AC9" i="3"/>
  <c r="AS9" i="3"/>
  <c r="AW12" i="3"/>
  <c r="AG12" i="3"/>
  <c r="Q12" i="3"/>
  <c r="AU12" i="3"/>
  <c r="AE12" i="3"/>
  <c r="O12" i="3"/>
  <c r="AQ12" i="3"/>
  <c r="W12" i="3"/>
  <c r="AO12" i="3"/>
  <c r="U12" i="3"/>
  <c r="AI12" i="3"/>
  <c r="K12" i="3"/>
  <c r="AS12" i="3"/>
  <c r="I12" i="3"/>
  <c r="AM12" i="3"/>
  <c r="G12" i="3"/>
  <c r="AW13" i="3"/>
  <c r="AG13" i="3"/>
  <c r="Q13" i="3"/>
  <c r="AU13" i="3"/>
  <c r="AE13" i="3"/>
  <c r="O13" i="3"/>
  <c r="AM13" i="3"/>
  <c r="S13" i="3"/>
  <c r="AK13" i="3"/>
  <c r="M13" i="3"/>
  <c r="AY13" i="3"/>
  <c r="AA13" i="3"/>
  <c r="G13" i="3"/>
  <c r="AC13" i="3"/>
  <c r="Y13" i="3"/>
  <c r="AS13" i="3"/>
  <c r="AW17" i="3"/>
  <c r="AG17" i="3"/>
  <c r="Q17" i="3"/>
  <c r="AU17" i="3"/>
  <c r="AE17" i="3"/>
  <c r="O17" i="3"/>
  <c r="AM17" i="3"/>
  <c r="S17" i="3"/>
  <c r="AK17" i="3"/>
  <c r="M17" i="3"/>
  <c r="AY17" i="3"/>
  <c r="AA17" i="3"/>
  <c r="G17" i="3"/>
  <c r="Y17" i="3"/>
  <c r="W17" i="3"/>
  <c r="AS17" i="3"/>
  <c r="AM22" i="3"/>
  <c r="AQ37" i="3"/>
  <c r="AA37" i="3"/>
  <c r="K37" i="3"/>
  <c r="AM37" i="3"/>
  <c r="W37" i="3"/>
  <c r="G37" i="3"/>
  <c r="AG37" i="3"/>
  <c r="M37" i="3"/>
  <c r="AY37" i="3"/>
  <c r="AE37" i="3"/>
  <c r="I37" i="3"/>
  <c r="AU37" i="3"/>
  <c r="S37" i="3"/>
  <c r="AS37" i="3"/>
  <c r="Q37" i="3"/>
  <c r="AO37" i="3"/>
  <c r="O37" i="3"/>
  <c r="AC37" i="3"/>
  <c r="AK37" i="3"/>
  <c r="AI37" i="3"/>
  <c r="Y37" i="3"/>
  <c r="Y5" i="3"/>
  <c r="G8" i="3"/>
  <c r="I9" i="3"/>
  <c r="AW10" i="3"/>
  <c r="AG10" i="3"/>
  <c r="Q10" i="3"/>
  <c r="AU10" i="3"/>
  <c r="AE10" i="3"/>
  <c r="O10" i="3"/>
  <c r="AI10" i="3"/>
  <c r="K10" i="3"/>
  <c r="AC10" i="3"/>
  <c r="I10" i="3"/>
  <c r="AQ10" i="3"/>
  <c r="W10" i="3"/>
  <c r="U10" i="3"/>
  <c r="AY10" i="3"/>
  <c r="S10" i="3"/>
  <c r="AS10" i="3"/>
  <c r="M12" i="3"/>
  <c r="I13" i="3"/>
  <c r="AW14" i="3"/>
  <c r="AG14" i="3"/>
  <c r="Q14" i="3"/>
  <c r="AU14" i="3"/>
  <c r="AE14" i="3"/>
  <c r="O14" i="3"/>
  <c r="AI14" i="3"/>
  <c r="K14" i="3"/>
  <c r="AC14" i="3"/>
  <c r="I14" i="3"/>
  <c r="AQ14" i="3"/>
  <c r="W14" i="3"/>
  <c r="AY14" i="3"/>
  <c r="S14" i="3"/>
  <c r="AS14" i="3"/>
  <c r="M14" i="3"/>
  <c r="I17" i="3"/>
  <c r="AW18" i="3"/>
  <c r="AG18" i="3"/>
  <c r="Q18" i="3"/>
  <c r="AU18" i="3"/>
  <c r="AE18" i="3"/>
  <c r="O18" i="3"/>
  <c r="AI18" i="3"/>
  <c r="K18" i="3"/>
  <c r="AC18" i="3"/>
  <c r="I18" i="3"/>
  <c r="AQ18" i="3"/>
  <c r="W18" i="3"/>
  <c r="AS18" i="3"/>
  <c r="M18" i="3"/>
  <c r="AO18" i="3"/>
  <c r="G18" i="3"/>
  <c r="AW20" i="3"/>
  <c r="AG20" i="3"/>
  <c r="Q20" i="3"/>
  <c r="AU20" i="3"/>
  <c r="AE20" i="3"/>
  <c r="O20" i="3"/>
  <c r="AQ20" i="3"/>
  <c r="W20" i="3"/>
  <c r="AO20" i="3"/>
  <c r="U20" i="3"/>
  <c r="AI20" i="3"/>
  <c r="K20" i="3"/>
  <c r="AA20" i="3"/>
  <c r="Y20" i="3"/>
  <c r="AS20" i="3"/>
  <c r="AQ35" i="3"/>
  <c r="AA35" i="3"/>
  <c r="K35" i="3"/>
  <c r="AM35" i="3"/>
  <c r="W35" i="3"/>
  <c r="G35" i="3"/>
  <c r="AS35" i="3"/>
  <c r="U35" i="3"/>
  <c r="AO35" i="3"/>
  <c r="S35" i="3"/>
  <c r="AE35" i="3"/>
  <c r="AC35" i="3"/>
  <c r="AY35" i="3"/>
  <c r="Y35" i="3"/>
  <c r="AK35" i="3"/>
  <c r="M35" i="3"/>
  <c r="AU35" i="3"/>
  <c r="AI35" i="3"/>
  <c r="AG35" i="3"/>
  <c r="U37" i="3"/>
  <c r="AW2" i="3"/>
  <c r="AG2" i="3"/>
  <c r="Q2" i="3"/>
  <c r="AU2" i="3"/>
  <c r="AE2" i="3"/>
  <c r="O2" i="3"/>
  <c r="AC2" i="3"/>
  <c r="I2" i="3"/>
  <c r="AQ2" i="3"/>
  <c r="W2" i="3"/>
  <c r="Y2" i="3"/>
  <c r="AY2" i="3"/>
  <c r="U2" i="3"/>
  <c r="AM2" i="3"/>
  <c r="AW22" i="3"/>
  <c r="AG22" i="3"/>
  <c r="Q22" i="3"/>
  <c r="AU22" i="3"/>
  <c r="AE22" i="3"/>
  <c r="O22" i="3"/>
  <c r="AI22" i="3"/>
  <c r="K22" i="3"/>
  <c r="AC22" i="3"/>
  <c r="I22" i="3"/>
  <c r="AQ22" i="3"/>
  <c r="W22" i="3"/>
  <c r="AK22" i="3"/>
  <c r="AA22" i="3"/>
  <c r="AS22" i="3"/>
  <c r="G2" i="3"/>
  <c r="AO2" i="3"/>
  <c r="AW4" i="3"/>
  <c r="AG4" i="3"/>
  <c r="Q4" i="3"/>
  <c r="AU4" i="3"/>
  <c r="AE4" i="3"/>
  <c r="O4" i="3"/>
  <c r="AO4" i="3"/>
  <c r="U4" i="3"/>
  <c r="AI4" i="3"/>
  <c r="K4" i="3"/>
  <c r="K56" i="3" s="1"/>
  <c r="AM4" i="3"/>
  <c r="I4" i="3"/>
  <c r="I56" i="3" s="1"/>
  <c r="AK4" i="3"/>
  <c r="AK56" i="3" s="1"/>
  <c r="G4" i="3"/>
  <c r="AS4" i="3"/>
  <c r="AI5" i="3"/>
  <c r="Y8" i="3"/>
  <c r="U9" i="3"/>
  <c r="M10" i="3"/>
  <c r="Y12" i="3"/>
  <c r="U13" i="3"/>
  <c r="U14" i="3"/>
  <c r="U17" i="3"/>
  <c r="U18" i="3"/>
  <c r="I20" i="3"/>
  <c r="AW21" i="3"/>
  <c r="AG21" i="3"/>
  <c r="Q21" i="3"/>
  <c r="AU21" i="3"/>
  <c r="AE21" i="3"/>
  <c r="O21" i="3"/>
  <c r="AM21" i="3"/>
  <c r="S21" i="3"/>
  <c r="AK21" i="3"/>
  <c r="M21" i="3"/>
  <c r="AY21" i="3"/>
  <c r="AA21" i="3"/>
  <c r="G21" i="3"/>
  <c r="AS21" i="3"/>
  <c r="K21" i="3"/>
  <c r="AQ21" i="3"/>
  <c r="I21" i="3"/>
  <c r="G22" i="3"/>
  <c r="AY22" i="3"/>
  <c r="O35" i="3"/>
  <c r="AS46" i="3"/>
  <c r="AC46" i="3"/>
  <c r="M46" i="3"/>
  <c r="AQ46" i="3"/>
  <c r="AA46" i="3"/>
  <c r="K46" i="3"/>
  <c r="AM46" i="3"/>
  <c r="W46" i="3"/>
  <c r="G46" i="3"/>
  <c r="AW46" i="3"/>
  <c r="U46" i="3"/>
  <c r="AU46" i="3"/>
  <c r="S46" i="3"/>
  <c r="AI46" i="3"/>
  <c r="AG46" i="3"/>
  <c r="AE46" i="3"/>
  <c r="AY46" i="3"/>
  <c r="O46" i="3"/>
  <c r="AO46" i="3"/>
  <c r="AK46" i="3"/>
  <c r="AW30" i="5"/>
  <c r="AG30" i="5"/>
  <c r="Q30" i="5"/>
  <c r="AU30" i="5"/>
  <c r="AE30" i="5"/>
  <c r="O30" i="5"/>
  <c r="AS30" i="5"/>
  <c r="AC30" i="5"/>
  <c r="M30" i="5"/>
  <c r="AQ30" i="5"/>
  <c r="U30" i="5"/>
  <c r="AO30" i="5"/>
  <c r="S30" i="5"/>
  <c r="AK30" i="5"/>
  <c r="I30" i="5"/>
  <c r="AM30" i="5"/>
  <c r="AI30" i="5"/>
  <c r="BE30" i="5"/>
  <c r="W30" i="5"/>
  <c r="BC30" i="5"/>
  <c r="BA30" i="5"/>
  <c r="AY30" i="5"/>
  <c r="AA30" i="5"/>
  <c r="G30" i="5"/>
  <c r="Y30" i="5"/>
  <c r="K2" i="3"/>
  <c r="AS2" i="3"/>
  <c r="M4" i="3"/>
  <c r="AY4" i="3"/>
  <c r="AA8" i="3"/>
  <c r="W9" i="3"/>
  <c r="Y10" i="3"/>
  <c r="AA12" i="3"/>
  <c r="W13" i="3"/>
  <c r="Y14" i="3"/>
  <c r="AC17" i="3"/>
  <c r="Y18" i="3"/>
  <c r="M20" i="3"/>
  <c r="M22" i="3"/>
  <c r="AQ25" i="3"/>
  <c r="AA25" i="3"/>
  <c r="K25" i="3"/>
  <c r="AM25" i="3"/>
  <c r="W25" i="3"/>
  <c r="G25" i="3"/>
  <c r="AG25" i="3"/>
  <c r="M25" i="3"/>
  <c r="AY25" i="3"/>
  <c r="AE25" i="3"/>
  <c r="I25" i="3"/>
  <c r="AI25" i="3"/>
  <c r="AC25" i="3"/>
  <c r="AU25" i="3"/>
  <c r="S25" i="3"/>
  <c r="U25" i="3"/>
  <c r="Q25" i="3"/>
  <c r="Q35" i="3"/>
  <c r="AW53" i="3"/>
  <c r="AG53" i="3"/>
  <c r="Q53" i="3"/>
  <c r="AU53" i="3"/>
  <c r="AE53" i="3"/>
  <c r="O53" i="3"/>
  <c r="AQ53" i="3"/>
  <c r="AA53" i="3"/>
  <c r="K53" i="3"/>
  <c r="AY53" i="3"/>
  <c r="W53" i="3"/>
  <c r="AS53" i="3"/>
  <c r="U53" i="3"/>
  <c r="AK53" i="3"/>
  <c r="AI53" i="3"/>
  <c r="AC53" i="3"/>
  <c r="M53" i="3"/>
  <c r="Y53" i="3"/>
  <c r="S53" i="3"/>
  <c r="I53" i="3"/>
  <c r="K30" i="5"/>
  <c r="M2" i="3"/>
  <c r="AW5" i="3"/>
  <c r="AG5" i="3"/>
  <c r="Q5" i="3"/>
  <c r="AU5" i="3"/>
  <c r="AE5" i="3"/>
  <c r="O5" i="3"/>
  <c r="AK5" i="3"/>
  <c r="M5" i="3"/>
  <c r="AY5" i="3"/>
  <c r="AA5" i="3"/>
  <c r="AA56" i="3" s="1"/>
  <c r="G5" i="3"/>
  <c r="AS5" i="3"/>
  <c r="U5" i="3"/>
  <c r="AQ5" i="3"/>
  <c r="S5" i="3"/>
  <c r="AO5" i="3"/>
  <c r="AC8" i="3"/>
  <c r="Y9" i="3"/>
  <c r="AC12" i="3"/>
  <c r="AI13" i="3"/>
  <c r="AI17" i="3"/>
  <c r="S22" i="3"/>
  <c r="AU49" i="5"/>
  <c r="AS49" i="5"/>
  <c r="AC49" i="5"/>
  <c r="BE49" i="5"/>
  <c r="AO49" i="5"/>
  <c r="BC49" i="5"/>
  <c r="AM49" i="5"/>
  <c r="AG49" i="5"/>
  <c r="O49" i="5"/>
  <c r="AE49" i="5"/>
  <c r="M49" i="5"/>
  <c r="BA49" i="5"/>
  <c r="AA49" i="5"/>
  <c r="K49" i="5"/>
  <c r="AY49" i="5"/>
  <c r="Y49" i="5"/>
  <c r="I49" i="5"/>
  <c r="AK49" i="5"/>
  <c r="AI49" i="5"/>
  <c r="W49" i="5"/>
  <c r="U49" i="5"/>
  <c r="S49" i="5"/>
  <c r="AW49" i="5"/>
  <c r="G49" i="5"/>
  <c r="AQ49" i="5"/>
  <c r="Q49" i="5"/>
  <c r="AW16" i="3"/>
  <c r="AG16" i="3"/>
  <c r="Q16" i="3"/>
  <c r="AU16" i="3"/>
  <c r="AE16" i="3"/>
  <c r="O16" i="3"/>
  <c r="AQ16" i="3"/>
  <c r="W16" i="3"/>
  <c r="AO16" i="3"/>
  <c r="U16" i="3"/>
  <c r="AI16" i="3"/>
  <c r="K16" i="3"/>
  <c r="AK16" i="3"/>
  <c r="AQ28" i="3"/>
  <c r="AA28" i="3"/>
  <c r="K28" i="3"/>
  <c r="AM28" i="3"/>
  <c r="W28" i="3"/>
  <c r="G28" i="3"/>
  <c r="AK28" i="3"/>
  <c r="Q28" i="3"/>
  <c r="AI28" i="3"/>
  <c r="O28" i="3"/>
  <c r="AC28" i="3"/>
  <c r="AY28" i="3"/>
  <c r="Y28" i="3"/>
  <c r="AS28" i="3"/>
  <c r="M28" i="3"/>
  <c r="AW28" i="3"/>
  <c r="AQ31" i="3"/>
  <c r="AA31" i="3"/>
  <c r="K31" i="3"/>
  <c r="AM31" i="3"/>
  <c r="W31" i="3"/>
  <c r="G31" i="3"/>
  <c r="AS31" i="3"/>
  <c r="U31" i="3"/>
  <c r="AO31" i="3"/>
  <c r="S31" i="3"/>
  <c r="AY31" i="3"/>
  <c r="Y31" i="3"/>
  <c r="AW31" i="3"/>
  <c r="Q31" i="3"/>
  <c r="AI31" i="3"/>
  <c r="I31" i="3"/>
  <c r="AQ32" i="3"/>
  <c r="AA32" i="3"/>
  <c r="K32" i="3"/>
  <c r="AM32" i="3"/>
  <c r="W32" i="3"/>
  <c r="G32" i="3"/>
  <c r="AK32" i="3"/>
  <c r="Q32" i="3"/>
  <c r="AI32" i="3"/>
  <c r="O32" i="3"/>
  <c r="AE32" i="3"/>
  <c r="AC32" i="3"/>
  <c r="AU32" i="3"/>
  <c r="S32" i="3"/>
  <c r="AW32" i="3"/>
  <c r="AQ15" i="5"/>
  <c r="AA15" i="5"/>
  <c r="K15" i="5"/>
  <c r="BE15" i="5"/>
  <c r="AO15" i="5"/>
  <c r="Y15" i="5"/>
  <c r="I15" i="5"/>
  <c r="BC15" i="5"/>
  <c r="AM15" i="5"/>
  <c r="W15" i="5"/>
  <c r="G15" i="5"/>
  <c r="BA15" i="5"/>
  <c r="AE15" i="5"/>
  <c r="AY15" i="5"/>
  <c r="AC15" i="5"/>
  <c r="AU15" i="5"/>
  <c r="S15" i="5"/>
  <c r="O15" i="5"/>
  <c r="AW15" i="5"/>
  <c r="M15" i="5"/>
  <c r="AI15" i="5"/>
  <c r="AG15" i="5"/>
  <c r="U15" i="5"/>
  <c r="Q15" i="5"/>
  <c r="AS15" i="5"/>
  <c r="AW22" i="5"/>
  <c r="AG22" i="5"/>
  <c r="Q22" i="5"/>
  <c r="AU22" i="5"/>
  <c r="AE22" i="5"/>
  <c r="O22" i="5"/>
  <c r="AS22" i="5"/>
  <c r="AC22" i="5"/>
  <c r="M22" i="5"/>
  <c r="BA22" i="5"/>
  <c r="Y22" i="5"/>
  <c r="AY22" i="5"/>
  <c r="W22" i="5"/>
  <c r="AO22" i="5"/>
  <c r="S22" i="5"/>
  <c r="AI22" i="5"/>
  <c r="AA22" i="5"/>
  <c r="AK22" i="5"/>
  <c r="U22" i="5"/>
  <c r="K22" i="5"/>
  <c r="I22" i="5"/>
  <c r="AQ22" i="5"/>
  <c r="AS28" i="5"/>
  <c r="AC28" i="5"/>
  <c r="M28" i="5"/>
  <c r="AQ28" i="5"/>
  <c r="AA28" i="5"/>
  <c r="K28" i="5"/>
  <c r="BE28" i="5"/>
  <c r="AO28" i="5"/>
  <c r="Y28" i="5"/>
  <c r="I28" i="5"/>
  <c r="BA28" i="5"/>
  <c r="AE28" i="5"/>
  <c r="AY28" i="5"/>
  <c r="W28" i="5"/>
  <c r="AU28" i="5"/>
  <c r="S28" i="5"/>
  <c r="Q28" i="5"/>
  <c r="BC28" i="5"/>
  <c r="O28" i="5"/>
  <c r="AK28" i="5"/>
  <c r="AW28" i="5"/>
  <c r="AM28" i="5"/>
  <c r="AI28" i="5"/>
  <c r="G28" i="5"/>
  <c r="G16" i="3"/>
  <c r="AM16" i="3"/>
  <c r="I28" i="3"/>
  <c r="M31" i="3"/>
  <c r="I32" i="3"/>
  <c r="AY32" i="3"/>
  <c r="AS47" i="3"/>
  <c r="AC47" i="3"/>
  <c r="M47" i="3"/>
  <c r="AQ47" i="3"/>
  <c r="AA47" i="3"/>
  <c r="K47" i="3"/>
  <c r="AM47" i="3"/>
  <c r="W47" i="3"/>
  <c r="G47" i="3"/>
  <c r="AY47" i="3"/>
  <c r="Y47" i="3"/>
  <c r="AW47" i="3"/>
  <c r="U47" i="3"/>
  <c r="S47" i="3"/>
  <c r="Q47" i="3"/>
  <c r="AU47" i="3"/>
  <c r="O47" i="3"/>
  <c r="AI47" i="3"/>
  <c r="AS51" i="3"/>
  <c r="AC51" i="3"/>
  <c r="M51" i="3"/>
  <c r="AQ51" i="3"/>
  <c r="AA51" i="3"/>
  <c r="K51" i="3"/>
  <c r="AM51" i="3"/>
  <c r="W51" i="3"/>
  <c r="G51" i="3"/>
  <c r="AK51" i="3"/>
  <c r="O51" i="3"/>
  <c r="AI51" i="3"/>
  <c r="I51" i="3"/>
  <c r="Y51" i="3"/>
  <c r="U51" i="3"/>
  <c r="AY51" i="3"/>
  <c r="S51" i="3"/>
  <c r="AO51" i="3"/>
  <c r="AK15" i="5"/>
  <c r="G22" i="5"/>
  <c r="U28" i="5"/>
  <c r="S3" i="3"/>
  <c r="S56" i="3" s="1"/>
  <c r="S7" i="3"/>
  <c r="S11" i="3"/>
  <c r="S15" i="3"/>
  <c r="S23" i="3"/>
  <c r="O24" i="3"/>
  <c r="AO24" i="3"/>
  <c r="AQ27" i="3"/>
  <c r="AA27" i="3"/>
  <c r="K27" i="3"/>
  <c r="AM27" i="3"/>
  <c r="W27" i="3"/>
  <c r="G27" i="3"/>
  <c r="AS27" i="3"/>
  <c r="U27" i="3"/>
  <c r="AO27" i="3"/>
  <c r="S27" i="3"/>
  <c r="AG27" i="3"/>
  <c r="U29" i="3"/>
  <c r="AW29" i="3"/>
  <c r="U36" i="3"/>
  <c r="AW36" i="3"/>
  <c r="Q39" i="3"/>
  <c r="AS40" i="3"/>
  <c r="AC40" i="3"/>
  <c r="M40" i="3"/>
  <c r="AQ40" i="3"/>
  <c r="AA40" i="3"/>
  <c r="K40" i="3"/>
  <c r="AM40" i="3"/>
  <c r="W40" i="3"/>
  <c r="G40" i="3"/>
  <c r="AE40" i="3"/>
  <c r="AY40" i="3"/>
  <c r="Y40" i="3"/>
  <c r="AK40" i="3"/>
  <c r="U43" i="3"/>
  <c r="AS44" i="3"/>
  <c r="AC44" i="3"/>
  <c r="M44" i="3"/>
  <c r="AQ44" i="3"/>
  <c r="AA44" i="3"/>
  <c r="K44" i="3"/>
  <c r="AM44" i="3"/>
  <c r="W44" i="3"/>
  <c r="G44" i="3"/>
  <c r="AO44" i="3"/>
  <c r="Q44" i="3"/>
  <c r="AK44" i="3"/>
  <c r="O44" i="3"/>
  <c r="AU44" i="3"/>
  <c r="S48" i="3"/>
  <c r="AA52" i="3"/>
  <c r="AY54" i="3"/>
  <c r="AI54" i="3"/>
  <c r="S54" i="3"/>
  <c r="AW54" i="3"/>
  <c r="AG54" i="3"/>
  <c r="Q54" i="3"/>
  <c r="AS54" i="3"/>
  <c r="AC54" i="3"/>
  <c r="M54" i="3"/>
  <c r="AA54" i="3"/>
  <c r="Y54" i="3"/>
  <c r="AM54" i="3"/>
  <c r="W3" i="5"/>
  <c r="BC3" i="5"/>
  <c r="S6" i="5"/>
  <c r="AY6" i="5"/>
  <c r="AY56" i="5" s="1"/>
  <c r="AI9" i="5"/>
  <c r="W38" i="5"/>
  <c r="AU41" i="5"/>
  <c r="AE41" i="5"/>
  <c r="O41" i="5"/>
  <c r="AS41" i="5"/>
  <c r="AC41" i="5"/>
  <c r="M41" i="5"/>
  <c r="AQ41" i="5"/>
  <c r="AA41" i="5"/>
  <c r="K41" i="5"/>
  <c r="BE41" i="5"/>
  <c r="AO41" i="5"/>
  <c r="Y41" i="5"/>
  <c r="I41" i="5"/>
  <c r="AI41" i="5"/>
  <c r="AG41" i="5"/>
  <c r="BA41" i="5"/>
  <c r="U41" i="5"/>
  <c r="AW41" i="5"/>
  <c r="AM41" i="5"/>
  <c r="S41" i="5"/>
  <c r="AW3" i="3"/>
  <c r="AG3" i="3"/>
  <c r="Q3" i="3"/>
  <c r="AU3" i="3"/>
  <c r="AE3" i="3"/>
  <c r="O3" i="3"/>
  <c r="Y3" i="3"/>
  <c r="AS3" i="3"/>
  <c r="AW7" i="3"/>
  <c r="AG7" i="3"/>
  <c r="Q7" i="3"/>
  <c r="AU7" i="3"/>
  <c r="AE7" i="3"/>
  <c r="O7" i="3"/>
  <c r="Y7" i="3"/>
  <c r="AS7" i="3"/>
  <c r="AW11" i="3"/>
  <c r="AG11" i="3"/>
  <c r="Q11" i="3"/>
  <c r="AU11" i="3"/>
  <c r="AE11" i="3"/>
  <c r="O11" i="3"/>
  <c r="Y11" i="3"/>
  <c r="AS11" i="3"/>
  <c r="AW15" i="3"/>
  <c r="AG15" i="3"/>
  <c r="Q15" i="3"/>
  <c r="AU15" i="3"/>
  <c r="AE15" i="3"/>
  <c r="O15" i="3"/>
  <c r="Y15" i="3"/>
  <c r="AS15" i="3"/>
  <c r="AW19" i="3"/>
  <c r="AG19" i="3"/>
  <c r="Q19" i="3"/>
  <c r="AU19" i="3"/>
  <c r="AE19" i="3"/>
  <c r="O19" i="3"/>
  <c r="Y19" i="3"/>
  <c r="AS19" i="3"/>
  <c r="AQ23" i="3"/>
  <c r="AY23" i="3"/>
  <c r="AG23" i="3"/>
  <c r="Q23" i="3"/>
  <c r="AW23" i="3"/>
  <c r="AE23" i="3"/>
  <c r="O23" i="3"/>
  <c r="Y23" i="3"/>
  <c r="AU23" i="3"/>
  <c r="Y24" i="3"/>
  <c r="O27" i="3"/>
  <c r="AU27" i="3"/>
  <c r="AQ33" i="3"/>
  <c r="AA33" i="3"/>
  <c r="K33" i="3"/>
  <c r="AM33" i="3"/>
  <c r="W33" i="3"/>
  <c r="G33" i="3"/>
  <c r="AG33" i="3"/>
  <c r="M33" i="3"/>
  <c r="AY33" i="3"/>
  <c r="AE33" i="3"/>
  <c r="I33" i="3"/>
  <c r="AK33" i="3"/>
  <c r="AG39" i="3"/>
  <c r="Q40" i="3"/>
  <c r="AW40" i="3"/>
  <c r="AG43" i="3"/>
  <c r="U44" i="3"/>
  <c r="AS45" i="3"/>
  <c r="AC45" i="3"/>
  <c r="M45" i="3"/>
  <c r="AQ45" i="3"/>
  <c r="AA45" i="3"/>
  <c r="K45" i="3"/>
  <c r="AM45" i="3"/>
  <c r="W45" i="3"/>
  <c r="G45" i="3"/>
  <c r="AU45" i="3"/>
  <c r="S45" i="3"/>
  <c r="AO45" i="3"/>
  <c r="Q45" i="3"/>
  <c r="AK45" i="3"/>
  <c r="O54" i="3"/>
  <c r="AU54" i="3"/>
  <c r="AA6" i="5"/>
  <c r="AQ7" i="5"/>
  <c r="AA7" i="5"/>
  <c r="BE7" i="5"/>
  <c r="AO7" i="5"/>
  <c r="Y7" i="5"/>
  <c r="I7" i="5"/>
  <c r="BC7" i="5"/>
  <c r="AM7" i="5"/>
  <c r="W7" i="5"/>
  <c r="G7" i="5"/>
  <c r="AI7" i="5"/>
  <c r="M7" i="5"/>
  <c r="M56" i="5" s="1"/>
  <c r="M58" i="5" s="1"/>
  <c r="AG7" i="5"/>
  <c r="K7" i="5"/>
  <c r="AY7" i="5"/>
  <c r="AC7" i="5"/>
  <c r="BA7" i="5"/>
  <c r="Q7" i="5"/>
  <c r="AW7" i="5"/>
  <c r="O7" i="5"/>
  <c r="AU17" i="5"/>
  <c r="AE17" i="5"/>
  <c r="O17" i="5"/>
  <c r="AS17" i="5"/>
  <c r="AC17" i="5"/>
  <c r="M17" i="5"/>
  <c r="AQ17" i="5"/>
  <c r="AA17" i="5"/>
  <c r="K17" i="5"/>
  <c r="AW17" i="5"/>
  <c r="U17" i="5"/>
  <c r="AO17" i="5"/>
  <c r="S17" i="5"/>
  <c r="AK17" i="5"/>
  <c r="I17" i="5"/>
  <c r="AI17" i="5"/>
  <c r="AG17" i="5"/>
  <c r="BC17" i="5"/>
  <c r="AQ23" i="5"/>
  <c r="AA23" i="5"/>
  <c r="K23" i="5"/>
  <c r="BE23" i="5"/>
  <c r="AO23" i="5"/>
  <c r="Y23" i="5"/>
  <c r="I23" i="5"/>
  <c r="BC23" i="5"/>
  <c r="AM23" i="5"/>
  <c r="W23" i="5"/>
  <c r="G23" i="5"/>
  <c r="AW23" i="5"/>
  <c r="U23" i="5"/>
  <c r="AU23" i="5"/>
  <c r="S23" i="5"/>
  <c r="AK23" i="5"/>
  <c r="O23" i="5"/>
  <c r="Q23" i="5"/>
  <c r="BA23" i="5"/>
  <c r="M23" i="5"/>
  <c r="AY35" i="5"/>
  <c r="AI35" i="5"/>
  <c r="S35" i="5"/>
  <c r="AW35" i="5"/>
  <c r="AG35" i="5"/>
  <c r="Q35" i="5"/>
  <c r="AU35" i="5"/>
  <c r="AE35" i="5"/>
  <c r="O35" i="5"/>
  <c r="BA35" i="5"/>
  <c r="Y35" i="5"/>
  <c r="AS35" i="5"/>
  <c r="W35" i="5"/>
  <c r="AO35" i="5"/>
  <c r="M35" i="5"/>
  <c r="AK35" i="5"/>
  <c r="AC35" i="5"/>
  <c r="BE35" i="5"/>
  <c r="K35" i="5"/>
  <c r="AS36" i="5"/>
  <c r="AC36" i="5"/>
  <c r="M36" i="5"/>
  <c r="AQ36" i="5"/>
  <c r="AA36" i="5"/>
  <c r="K36" i="5"/>
  <c r="BE36" i="5"/>
  <c r="AO36" i="5"/>
  <c r="Y36" i="5"/>
  <c r="I36" i="5"/>
  <c r="BC36" i="5"/>
  <c r="AM36" i="5"/>
  <c r="W36" i="5"/>
  <c r="G36" i="5"/>
  <c r="AE36" i="5"/>
  <c r="BA36" i="5"/>
  <c r="U36" i="5"/>
  <c r="AW36" i="5"/>
  <c r="Q36" i="5"/>
  <c r="AG36" i="5"/>
  <c r="S36" i="5"/>
  <c r="AY36" i="5"/>
  <c r="AS44" i="5"/>
  <c r="AC44" i="5"/>
  <c r="M44" i="5"/>
  <c r="AQ44" i="5"/>
  <c r="AA44" i="5"/>
  <c r="K44" i="5"/>
  <c r="BE44" i="5"/>
  <c r="AO44" i="5"/>
  <c r="Y44" i="5"/>
  <c r="I44" i="5"/>
  <c r="BC44" i="5"/>
  <c r="AM44" i="5"/>
  <c r="W44" i="5"/>
  <c r="G44" i="5"/>
  <c r="AE44" i="5"/>
  <c r="BA44" i="5"/>
  <c r="U44" i="5"/>
  <c r="AW44" i="5"/>
  <c r="Q44" i="5"/>
  <c r="AY44" i="5"/>
  <c r="AU44" i="5"/>
  <c r="AG44" i="5"/>
  <c r="AQ24" i="3"/>
  <c r="AA24" i="3"/>
  <c r="K24" i="3"/>
  <c r="AM24" i="3"/>
  <c r="U24" i="3"/>
  <c r="AK24" i="3"/>
  <c r="S24" i="3"/>
  <c r="AC24" i="3"/>
  <c r="AY24" i="3"/>
  <c r="AQ29" i="3"/>
  <c r="AA29" i="3"/>
  <c r="K29" i="3"/>
  <c r="AM29" i="3"/>
  <c r="W29" i="3"/>
  <c r="G29" i="3"/>
  <c r="AG29" i="3"/>
  <c r="M29" i="3"/>
  <c r="AY29" i="3"/>
  <c r="AE29" i="3"/>
  <c r="I29" i="3"/>
  <c r="AK29" i="3"/>
  <c r="AQ36" i="3"/>
  <c r="AA36" i="3"/>
  <c r="K36" i="3"/>
  <c r="AM36" i="3"/>
  <c r="W36" i="3"/>
  <c r="G36" i="3"/>
  <c r="AK36" i="3"/>
  <c r="Q36" i="3"/>
  <c r="AI36" i="3"/>
  <c r="O36" i="3"/>
  <c r="AG36" i="3"/>
  <c r="AS48" i="3"/>
  <c r="AC48" i="3"/>
  <c r="M48" i="3"/>
  <c r="AQ48" i="3"/>
  <c r="AA48" i="3"/>
  <c r="K48" i="3"/>
  <c r="AM48" i="3"/>
  <c r="W48" i="3"/>
  <c r="G48" i="3"/>
  <c r="AE48" i="3"/>
  <c r="AY48" i="3"/>
  <c r="Y48" i="3"/>
  <c r="AK48" i="3"/>
  <c r="AU52" i="3"/>
  <c r="AE52" i="3"/>
  <c r="O52" i="3"/>
  <c r="AS52" i="3"/>
  <c r="AC52" i="3"/>
  <c r="M52" i="3"/>
  <c r="AO52" i="3"/>
  <c r="Y52" i="3"/>
  <c r="I52" i="3"/>
  <c r="AQ52" i="3"/>
  <c r="S52" i="3"/>
  <c r="AM52" i="3"/>
  <c r="Q52" i="3"/>
  <c r="AW52" i="3"/>
  <c r="AW3" i="5"/>
  <c r="AG3" i="5"/>
  <c r="Q3" i="5"/>
  <c r="AU3" i="5"/>
  <c r="AU56" i="5" s="1"/>
  <c r="AE3" i="5"/>
  <c r="O3" i="5"/>
  <c r="O56" i="5" s="1"/>
  <c r="AQ3" i="5"/>
  <c r="AQ56" i="5" s="1"/>
  <c r="AQ58" i="5" s="1"/>
  <c r="AA3" i="5"/>
  <c r="AA56" i="5" s="1"/>
  <c r="K3" i="5"/>
  <c r="AK3" i="5"/>
  <c r="I3" i="5"/>
  <c r="I56" i="5" s="1"/>
  <c r="BE3" i="5"/>
  <c r="BE56" i="5" s="1"/>
  <c r="AI3" i="5"/>
  <c r="G3" i="5"/>
  <c r="AO3" i="5"/>
  <c r="AO56" i="5" s="1"/>
  <c r="AG6" i="5"/>
  <c r="AU9" i="5"/>
  <c r="AE9" i="5"/>
  <c r="O9" i="5"/>
  <c r="AS9" i="5"/>
  <c r="AS56" i="5" s="1"/>
  <c r="AC9" i="5"/>
  <c r="M9" i="5"/>
  <c r="AQ9" i="5"/>
  <c r="AA9" i="5"/>
  <c r="K9" i="5"/>
  <c r="BA9" i="5"/>
  <c r="Y9" i="5"/>
  <c r="AY9" i="5"/>
  <c r="W9" i="5"/>
  <c r="AO9" i="5"/>
  <c r="S9" i="5"/>
  <c r="AG9" i="5"/>
  <c r="U9" i="5"/>
  <c r="BC9" i="5"/>
  <c r="AS39" i="3"/>
  <c r="AC39" i="3"/>
  <c r="M39" i="3"/>
  <c r="AQ39" i="3"/>
  <c r="AA39" i="3"/>
  <c r="K39" i="3"/>
  <c r="AM39" i="3"/>
  <c r="W39" i="3"/>
  <c r="G39" i="3"/>
  <c r="AY39" i="3"/>
  <c r="Y39" i="3"/>
  <c r="AW39" i="3"/>
  <c r="U39" i="3"/>
  <c r="AK39" i="3"/>
  <c r="AS43" i="3"/>
  <c r="AC43" i="3"/>
  <c r="M43" i="3"/>
  <c r="AQ43" i="3"/>
  <c r="AA43" i="3"/>
  <c r="K43" i="3"/>
  <c r="AM43" i="3"/>
  <c r="W43" i="3"/>
  <c r="G43" i="3"/>
  <c r="AK43" i="3"/>
  <c r="O43" i="3"/>
  <c r="AI43" i="3"/>
  <c r="I43" i="3"/>
  <c r="AU43" i="3"/>
  <c r="AU6" i="5"/>
  <c r="AE6" i="5"/>
  <c r="O6" i="5"/>
  <c r="AS6" i="5"/>
  <c r="AC6" i="5"/>
  <c r="AC56" i="5" s="1"/>
  <c r="M6" i="5"/>
  <c r="BE6" i="5"/>
  <c r="AO6" i="5"/>
  <c r="Y6" i="5"/>
  <c r="Y56" i="5" s="1"/>
  <c r="I6" i="5"/>
  <c r="AM6" i="5"/>
  <c r="Q6" i="5"/>
  <c r="AK6" i="5"/>
  <c r="K6" i="5"/>
  <c r="AQ6" i="5"/>
  <c r="AW38" i="5"/>
  <c r="AG38" i="5"/>
  <c r="Q38" i="5"/>
  <c r="AU38" i="5"/>
  <c r="AE38" i="5"/>
  <c r="O38" i="5"/>
  <c r="AS38" i="5"/>
  <c r="AC38" i="5"/>
  <c r="M38" i="5"/>
  <c r="AQ38" i="5"/>
  <c r="AA38" i="5"/>
  <c r="K38" i="5"/>
  <c r="AO38" i="5"/>
  <c r="I38" i="5"/>
  <c r="AM38" i="5"/>
  <c r="G38" i="5"/>
  <c r="AI38" i="5"/>
  <c r="AK38" i="5"/>
  <c r="Y38" i="5"/>
  <c r="BE38" i="5"/>
  <c r="S38" i="5"/>
  <c r="Y26" i="3"/>
  <c r="Y30" i="3"/>
  <c r="Y34" i="3"/>
  <c r="Y38" i="3"/>
  <c r="AS42" i="3"/>
  <c r="AC42" i="3"/>
  <c r="M42" i="3"/>
  <c r="AQ42" i="3"/>
  <c r="AA42" i="3"/>
  <c r="K42" i="3"/>
  <c r="AM42" i="3"/>
  <c r="W42" i="3"/>
  <c r="G42" i="3"/>
  <c r="AG42" i="3"/>
  <c r="AS50" i="3"/>
  <c r="AC50" i="3"/>
  <c r="M50" i="3"/>
  <c r="AQ50" i="3"/>
  <c r="AA50" i="3"/>
  <c r="K50" i="3"/>
  <c r="AM50" i="3"/>
  <c r="W50" i="3"/>
  <c r="G50" i="3"/>
  <c r="AG50" i="3"/>
  <c r="AK55" i="3"/>
  <c r="U55" i="3"/>
  <c r="AY55" i="3"/>
  <c r="AI55" i="3"/>
  <c r="S55" i="3"/>
  <c r="AU55" i="3"/>
  <c r="AE55" i="3"/>
  <c r="O55" i="3"/>
  <c r="AC55" i="3"/>
  <c r="AY11" i="5"/>
  <c r="AI11" i="5"/>
  <c r="S11" i="5"/>
  <c r="AW11" i="5"/>
  <c r="AG11" i="5"/>
  <c r="Q11" i="5"/>
  <c r="AU11" i="5"/>
  <c r="AE11" i="5"/>
  <c r="O11" i="5"/>
  <c r="AQ11" i="5"/>
  <c r="U11" i="5"/>
  <c r="AO11" i="5"/>
  <c r="M11" i="5"/>
  <c r="AK11" i="5"/>
  <c r="I11" i="5"/>
  <c r="AS11" i="5"/>
  <c r="AW46" i="5"/>
  <c r="AG46" i="5"/>
  <c r="Q46" i="5"/>
  <c r="AU46" i="5"/>
  <c r="AE46" i="5"/>
  <c r="O46" i="5"/>
  <c r="AS46" i="5"/>
  <c r="AC46" i="5"/>
  <c r="M46" i="5"/>
  <c r="AQ46" i="5"/>
  <c r="AA46" i="5"/>
  <c r="K46" i="5"/>
  <c r="AY46" i="5"/>
  <c r="S46" i="5"/>
  <c r="AO46" i="5"/>
  <c r="I46" i="5"/>
  <c r="AM46" i="5"/>
  <c r="G46" i="5"/>
  <c r="AK46" i="5"/>
  <c r="AI46" i="5"/>
  <c r="AQ26" i="3"/>
  <c r="AA26" i="3"/>
  <c r="K26" i="3"/>
  <c r="AM26" i="3"/>
  <c r="W26" i="3"/>
  <c r="G26" i="3"/>
  <c r="AC26" i="3"/>
  <c r="AW26" i="3"/>
  <c r="AQ30" i="3"/>
  <c r="AA30" i="3"/>
  <c r="K30" i="3"/>
  <c r="AM30" i="3"/>
  <c r="W30" i="3"/>
  <c r="G30" i="3"/>
  <c r="AC30" i="3"/>
  <c r="AW30" i="3"/>
  <c r="AQ34" i="3"/>
  <c r="AA34" i="3"/>
  <c r="K34" i="3"/>
  <c r="AM34" i="3"/>
  <c r="W34" i="3"/>
  <c r="G34" i="3"/>
  <c r="AC34" i="3"/>
  <c r="AW34" i="3"/>
  <c r="AQ38" i="3"/>
  <c r="AA38" i="3"/>
  <c r="K38" i="3"/>
  <c r="AM38" i="3"/>
  <c r="W38" i="3"/>
  <c r="G38" i="3"/>
  <c r="AC38" i="3"/>
  <c r="AW38" i="3"/>
  <c r="AS41" i="3"/>
  <c r="AC41" i="3"/>
  <c r="M41" i="3"/>
  <c r="AQ41" i="3"/>
  <c r="AA41" i="3"/>
  <c r="K41" i="3"/>
  <c r="AM41" i="3"/>
  <c r="W41" i="3"/>
  <c r="G41" i="3"/>
  <c r="AG41" i="3"/>
  <c r="I42" i="3"/>
  <c r="AI42" i="3"/>
  <c r="AS49" i="3"/>
  <c r="AC49" i="3"/>
  <c r="M49" i="3"/>
  <c r="AQ49" i="3"/>
  <c r="AA49" i="3"/>
  <c r="K49" i="3"/>
  <c r="AM49" i="3"/>
  <c r="W49" i="3"/>
  <c r="G49" i="3"/>
  <c r="AG49" i="3"/>
  <c r="I50" i="3"/>
  <c r="AI50" i="3"/>
  <c r="I55" i="3"/>
  <c r="AG55" i="3"/>
  <c r="G11" i="5"/>
  <c r="BA11" i="5"/>
  <c r="AY43" i="5"/>
  <c r="AI43" i="5"/>
  <c r="S43" i="5"/>
  <c r="AW43" i="5"/>
  <c r="AG43" i="5"/>
  <c r="Q43" i="5"/>
  <c r="AU43" i="5"/>
  <c r="AE43" i="5"/>
  <c r="O43" i="5"/>
  <c r="AS43" i="5"/>
  <c r="AC43" i="5"/>
  <c r="M43" i="5"/>
  <c r="BA43" i="5"/>
  <c r="U43" i="5"/>
  <c r="AQ43" i="5"/>
  <c r="K43" i="5"/>
  <c r="AM43" i="5"/>
  <c r="G43" i="5"/>
  <c r="BE43" i="5"/>
  <c r="U46" i="5"/>
  <c r="AY51" i="5"/>
  <c r="AI51" i="5"/>
  <c r="S51" i="5"/>
  <c r="AW51" i="5"/>
  <c r="AG51" i="5"/>
  <c r="Q51" i="5"/>
  <c r="AS51" i="5"/>
  <c r="AC51" i="5"/>
  <c r="M51" i="5"/>
  <c r="AQ51" i="5"/>
  <c r="AA51" i="5"/>
  <c r="K51" i="5"/>
  <c r="BA51" i="5"/>
  <c r="U51" i="5"/>
  <c r="AU51" i="5"/>
  <c r="O51" i="5"/>
  <c r="AO51" i="5"/>
  <c r="I51" i="5"/>
  <c r="AM51" i="5"/>
  <c r="G51" i="5"/>
  <c r="BC51" i="5"/>
  <c r="AK51" i="5"/>
  <c r="AE51" i="5"/>
  <c r="Y51" i="5"/>
  <c r="W51" i="5"/>
  <c r="Q2" i="5"/>
  <c r="AG2" i="5"/>
  <c r="AW2" i="5"/>
  <c r="U4" i="5"/>
  <c r="AK4" i="5"/>
  <c r="O5" i="5"/>
  <c r="AE5" i="5"/>
  <c r="AE56" i="5" s="1"/>
  <c r="AU5" i="5"/>
  <c r="AS12" i="5"/>
  <c r="AC12" i="5"/>
  <c r="M12" i="5"/>
  <c r="AQ12" i="5"/>
  <c r="AA12" i="5"/>
  <c r="K12" i="5"/>
  <c r="BE12" i="5"/>
  <c r="AO12" i="5"/>
  <c r="Y12" i="5"/>
  <c r="I12" i="5"/>
  <c r="AG12" i="5"/>
  <c r="BC12" i="5"/>
  <c r="W14" i="5"/>
  <c r="AY19" i="5"/>
  <c r="AI19" i="5"/>
  <c r="S19" i="5"/>
  <c r="AW19" i="5"/>
  <c r="AG19" i="5"/>
  <c r="Q19" i="5"/>
  <c r="AU19" i="5"/>
  <c r="AE19" i="5"/>
  <c r="O19" i="5"/>
  <c r="AA19" i="5"/>
  <c r="BC19" i="5"/>
  <c r="W20" i="5"/>
  <c r="AU25" i="5"/>
  <c r="AE25" i="5"/>
  <c r="O25" i="5"/>
  <c r="AS25" i="5"/>
  <c r="AC25" i="5"/>
  <c r="M25" i="5"/>
  <c r="AQ25" i="5"/>
  <c r="AA25" i="5"/>
  <c r="K25" i="5"/>
  <c r="AG25" i="5"/>
  <c r="BC25" i="5"/>
  <c r="W27" i="5"/>
  <c r="AQ31" i="5"/>
  <c r="AA31" i="5"/>
  <c r="K31" i="5"/>
  <c r="BE31" i="5"/>
  <c r="AO31" i="5"/>
  <c r="Y31" i="5"/>
  <c r="I31" i="5"/>
  <c r="BC31" i="5"/>
  <c r="AM31" i="5"/>
  <c r="W31" i="5"/>
  <c r="G31" i="5"/>
  <c r="AG31" i="5"/>
  <c r="W33" i="5"/>
  <c r="K33" i="7"/>
  <c r="U2" i="5"/>
  <c r="AK2" i="5"/>
  <c r="BA2" i="5"/>
  <c r="AW14" i="5"/>
  <c r="AG14" i="5"/>
  <c r="Q14" i="5"/>
  <c r="AU14" i="5"/>
  <c r="AE14" i="5"/>
  <c r="O14" i="5"/>
  <c r="AS14" i="5"/>
  <c r="AC14" i="5"/>
  <c r="M14" i="5"/>
  <c r="AA14" i="5"/>
  <c r="BC14" i="5"/>
  <c r="AS20" i="5"/>
  <c r="AC20" i="5"/>
  <c r="M20" i="5"/>
  <c r="AQ20" i="5"/>
  <c r="AA20" i="5"/>
  <c r="K20" i="5"/>
  <c r="K56" i="5" s="1"/>
  <c r="BE20" i="5"/>
  <c r="AO20" i="5"/>
  <c r="Y20" i="5"/>
  <c r="I20" i="5"/>
  <c r="AG20" i="5"/>
  <c r="BC20" i="5"/>
  <c r="AY27" i="5"/>
  <c r="AI27" i="5"/>
  <c r="S27" i="5"/>
  <c r="AW27" i="5"/>
  <c r="AG27" i="5"/>
  <c r="Q27" i="5"/>
  <c r="AU27" i="5"/>
  <c r="AE27" i="5"/>
  <c r="O27" i="5"/>
  <c r="AA27" i="5"/>
  <c r="BC27" i="5"/>
  <c r="AU33" i="5"/>
  <c r="AE33" i="5"/>
  <c r="O33" i="5"/>
  <c r="AS33" i="5"/>
  <c r="AC33" i="5"/>
  <c r="M33" i="5"/>
  <c r="AQ33" i="5"/>
  <c r="AA33" i="5"/>
  <c r="K33" i="5"/>
  <c r="AG33" i="5"/>
  <c r="BC33" i="5"/>
  <c r="J33" i="7"/>
  <c r="K21" i="7"/>
  <c r="G2" i="5"/>
  <c r="W2" i="5"/>
  <c r="AM2" i="5"/>
  <c r="U5" i="5"/>
  <c r="AK5" i="5"/>
  <c r="G14" i="5"/>
  <c r="AI14" i="5"/>
  <c r="BE14" i="5"/>
  <c r="G20" i="5"/>
  <c r="AI20" i="5"/>
  <c r="G27" i="5"/>
  <c r="AC27" i="5"/>
  <c r="BE27" i="5"/>
  <c r="G33" i="5"/>
  <c r="AI33" i="5"/>
  <c r="BE33" i="5"/>
  <c r="Q37" i="5"/>
  <c r="AG37" i="5"/>
  <c r="AW37" i="5"/>
  <c r="U39" i="5"/>
  <c r="AK39" i="5"/>
  <c r="BA39" i="5"/>
  <c r="O40" i="5"/>
  <c r="AE40" i="5"/>
  <c r="AU40" i="5"/>
  <c r="S42" i="5"/>
  <c r="AI42" i="5"/>
  <c r="AY42" i="5"/>
  <c r="Q45" i="5"/>
  <c r="AG45" i="5"/>
  <c r="AW45" i="5"/>
  <c r="U47" i="5"/>
  <c r="AK47" i="5"/>
  <c r="BA47" i="5"/>
  <c r="AC50" i="5"/>
  <c r="Q8" i="5"/>
  <c r="AG8" i="5"/>
  <c r="AW8" i="5"/>
  <c r="U10" i="5"/>
  <c r="AK10" i="5"/>
  <c r="BA10" i="5"/>
  <c r="S13" i="5"/>
  <c r="AI13" i="5"/>
  <c r="AY13" i="5"/>
  <c r="Q16" i="5"/>
  <c r="AG16" i="5"/>
  <c r="AW16" i="5"/>
  <c r="U18" i="5"/>
  <c r="AK18" i="5"/>
  <c r="BA18" i="5"/>
  <c r="S21" i="5"/>
  <c r="AI21" i="5"/>
  <c r="AY21" i="5"/>
  <c r="Q24" i="5"/>
  <c r="AG24" i="5"/>
  <c r="AW24" i="5"/>
  <c r="U26" i="5"/>
  <c r="AK26" i="5"/>
  <c r="BA26" i="5"/>
  <c r="S29" i="5"/>
  <c r="AI29" i="5"/>
  <c r="AY29" i="5"/>
  <c r="Q32" i="5"/>
  <c r="AG32" i="5"/>
  <c r="AW32" i="5"/>
  <c r="U34" i="5"/>
  <c r="AK34" i="5"/>
  <c r="BA34" i="5"/>
  <c r="S37" i="5"/>
  <c r="AI37" i="5"/>
  <c r="AY37" i="5"/>
  <c r="G39" i="5"/>
  <c r="W39" i="5"/>
  <c r="AM39" i="5"/>
  <c r="BC39" i="5"/>
  <c r="Q40" i="5"/>
  <c r="AG40" i="5"/>
  <c r="AW40" i="5"/>
  <c r="U42" i="5"/>
  <c r="AK42" i="5"/>
  <c r="BA42" i="5"/>
  <c r="S45" i="5"/>
  <c r="AI45" i="5"/>
  <c r="AY45" i="5"/>
  <c r="G47" i="5"/>
  <c r="W47" i="5"/>
  <c r="AM47" i="5"/>
  <c r="BC47" i="5"/>
  <c r="S8" i="5"/>
  <c r="AI8" i="5"/>
  <c r="AI56" i="5" s="1"/>
  <c r="AI58" i="5" s="1"/>
  <c r="AY8" i="5"/>
  <c r="G10" i="5"/>
  <c r="W10" i="5"/>
  <c r="AM10" i="5"/>
  <c r="BC10" i="5"/>
  <c r="BC56" i="5" s="1"/>
  <c r="U13" i="5"/>
  <c r="AK13" i="5"/>
  <c r="BA13" i="5"/>
  <c r="S16" i="5"/>
  <c r="AI16" i="5"/>
  <c r="AY16" i="5"/>
  <c r="G18" i="5"/>
  <c r="W18" i="5"/>
  <c r="AM18" i="5"/>
  <c r="BC18" i="5"/>
  <c r="U21" i="5"/>
  <c r="AK21" i="5"/>
  <c r="BA21" i="5"/>
  <c r="S24" i="5"/>
  <c r="S56" i="5" s="1"/>
  <c r="AI24" i="5"/>
  <c r="AY24" i="5"/>
  <c r="G26" i="5"/>
  <c r="W26" i="5"/>
  <c r="AM26" i="5"/>
  <c r="BC26" i="5"/>
  <c r="U29" i="5"/>
  <c r="AK29" i="5"/>
  <c r="BA29" i="5"/>
  <c r="S32" i="5"/>
  <c r="AI32" i="5"/>
  <c r="AY32" i="5"/>
  <c r="G34" i="5"/>
  <c r="W34" i="5"/>
  <c r="AM34" i="5"/>
  <c r="BC34" i="5"/>
  <c r="U37" i="5"/>
  <c r="AK37" i="5"/>
  <c r="BA37" i="5"/>
  <c r="I39" i="5"/>
  <c r="Y39" i="5"/>
  <c r="AO39" i="5"/>
  <c r="BE39" i="5"/>
  <c r="S40" i="5"/>
  <c r="AI40" i="5"/>
  <c r="AY40" i="5"/>
  <c r="G42" i="5"/>
  <c r="W42" i="5"/>
  <c r="AM42" i="5"/>
  <c r="BC42" i="5"/>
  <c r="U45" i="5"/>
  <c r="AK45" i="5"/>
  <c r="BA45" i="5"/>
  <c r="I47" i="5"/>
  <c r="Y47" i="5"/>
  <c r="AO47" i="5"/>
  <c r="BE47" i="5"/>
  <c r="BE50" i="5"/>
  <c r="AO50" i="5"/>
  <c r="Y50" i="5"/>
  <c r="I50" i="5"/>
  <c r="BC50" i="5"/>
  <c r="AM50" i="5"/>
  <c r="W50" i="5"/>
  <c r="G50" i="5"/>
  <c r="AY50" i="5"/>
  <c r="AI50" i="5"/>
  <c r="S50" i="5"/>
  <c r="AW50" i="5"/>
  <c r="AG50" i="5"/>
  <c r="Q50" i="5"/>
  <c r="AK50" i="5"/>
  <c r="AW54" i="5"/>
  <c r="AG54" i="5"/>
  <c r="Q54" i="5"/>
  <c r="AU54" i="5"/>
  <c r="AE54" i="5"/>
  <c r="O54" i="5"/>
  <c r="AS54" i="5"/>
  <c r="AC54" i="5"/>
  <c r="M54" i="5"/>
  <c r="AQ54" i="5"/>
  <c r="AA54" i="5"/>
  <c r="K54" i="5"/>
  <c r="BE54" i="5"/>
  <c r="AO54" i="5"/>
  <c r="Y54" i="5"/>
  <c r="I54" i="5"/>
  <c r="AY54" i="5"/>
  <c r="U8" i="5"/>
  <c r="AK8" i="5"/>
  <c r="I10" i="5"/>
  <c r="Y10" i="5"/>
  <c r="AO10" i="5"/>
  <c r="G13" i="5"/>
  <c r="W13" i="5"/>
  <c r="AM13" i="5"/>
  <c r="U16" i="5"/>
  <c r="AK16" i="5"/>
  <c r="I18" i="5"/>
  <c r="Y18" i="5"/>
  <c r="AO18" i="5"/>
  <c r="G21" i="5"/>
  <c r="W21" i="5"/>
  <c r="AM21" i="5"/>
  <c r="U24" i="5"/>
  <c r="AK24" i="5"/>
  <c r="I26" i="5"/>
  <c r="Y26" i="5"/>
  <c r="AO26" i="5"/>
  <c r="G29" i="5"/>
  <c r="W29" i="5"/>
  <c r="AM29" i="5"/>
  <c r="U32" i="5"/>
  <c r="AK32" i="5"/>
  <c r="I34" i="5"/>
  <c r="Y34" i="5"/>
  <c r="AO34" i="5"/>
  <c r="G37" i="5"/>
  <c r="W37" i="5"/>
  <c r="AM37" i="5"/>
  <c r="K39" i="5"/>
  <c r="AA39" i="5"/>
  <c r="U40" i="5"/>
  <c r="AK40" i="5"/>
  <c r="I42" i="5"/>
  <c r="Y42" i="5"/>
  <c r="AO42" i="5"/>
  <c r="G45" i="5"/>
  <c r="W45" i="5"/>
  <c r="AM45" i="5"/>
  <c r="K47" i="5"/>
  <c r="AA47" i="5"/>
  <c r="U48" i="5"/>
  <c r="AK48" i="5"/>
  <c r="K50" i="5"/>
  <c r="AQ50" i="5"/>
  <c r="G54" i="5"/>
  <c r="BA54" i="5"/>
  <c r="U52" i="5"/>
  <c r="AK52" i="5"/>
  <c r="BA52" i="5"/>
  <c r="O53" i="5"/>
  <c r="AE53" i="5"/>
  <c r="AU53" i="5"/>
  <c r="S55" i="5"/>
  <c r="AI55" i="5"/>
  <c r="AY55" i="5"/>
  <c r="G52" i="5"/>
  <c r="W52" i="5"/>
  <c r="AM52" i="5"/>
  <c r="BC52" i="5"/>
  <c r="Q53" i="5"/>
  <c r="AG53" i="5"/>
  <c r="AW53" i="5"/>
  <c r="U55" i="5"/>
  <c r="AK55" i="5"/>
  <c r="BA55" i="5"/>
  <c r="BI6" i="9"/>
  <c r="AS6" i="9"/>
  <c r="AC6" i="9"/>
  <c r="M6" i="9"/>
  <c r="BG6" i="9"/>
  <c r="AQ6" i="9"/>
  <c r="AA6" i="9"/>
  <c r="K6" i="9"/>
  <c r="BE6" i="9"/>
  <c r="AO6" i="9"/>
  <c r="Y6" i="9"/>
  <c r="I6" i="9"/>
  <c r="BA6" i="9"/>
  <c r="AE6" i="9"/>
  <c r="AY6" i="9"/>
  <c r="W6" i="9"/>
  <c r="AW6" i="9"/>
  <c r="U6" i="9"/>
  <c r="AU6" i="9"/>
  <c r="S6" i="9"/>
  <c r="AM6" i="9"/>
  <c r="AG6" i="9"/>
  <c r="Q6" i="9"/>
  <c r="O6" i="9"/>
  <c r="BK6" i="9"/>
  <c r="G6" i="9"/>
  <c r="BC6" i="9"/>
  <c r="AK6" i="9"/>
  <c r="AI6" i="9"/>
  <c r="K52" i="5"/>
  <c r="AA52" i="5"/>
  <c r="AQ52" i="5"/>
  <c r="U53" i="5"/>
  <c r="AK53" i="5"/>
  <c r="BA53" i="5"/>
  <c r="I55" i="5"/>
  <c r="Y55" i="5"/>
  <c r="AO55" i="5"/>
  <c r="BE55" i="5"/>
  <c r="M52" i="5"/>
  <c r="AC52" i="5"/>
  <c r="G53" i="5"/>
  <c r="W53" i="5"/>
  <c r="AM53" i="5"/>
  <c r="K55" i="5"/>
  <c r="AA55" i="5"/>
  <c r="BI14" i="9"/>
  <c r="AS14" i="9"/>
  <c r="AC14" i="9"/>
  <c r="M14" i="9"/>
  <c r="BG14" i="9"/>
  <c r="AQ14" i="9"/>
  <c r="AA14" i="9"/>
  <c r="K14" i="9"/>
  <c r="BE14" i="9"/>
  <c r="AO14" i="9"/>
  <c r="Y14" i="9"/>
  <c r="I14" i="9"/>
  <c r="BA14" i="9"/>
  <c r="AE14" i="9"/>
  <c r="AY14" i="9"/>
  <c r="W14" i="9"/>
  <c r="AW14" i="9"/>
  <c r="U14" i="9"/>
  <c r="AU14" i="9"/>
  <c r="S14" i="9"/>
  <c r="G14" i="9"/>
  <c r="AK14" i="9"/>
  <c r="AI14" i="9"/>
  <c r="AG14" i="9"/>
  <c r="Q14" i="9"/>
  <c r="BC14" i="9"/>
  <c r="AM14" i="9"/>
  <c r="O14" i="9"/>
  <c r="BE15" i="9"/>
  <c r="AW15" i="9"/>
  <c r="AG15" i="9"/>
  <c r="Q15" i="9"/>
  <c r="AU15" i="9"/>
  <c r="AE15" i="9"/>
  <c r="O15" i="9"/>
  <c r="BK15" i="9"/>
  <c r="AS15" i="9"/>
  <c r="AC15" i="9"/>
  <c r="M15" i="9"/>
  <c r="AQ15" i="9"/>
  <c r="U15" i="9"/>
  <c r="AO15" i="9"/>
  <c r="S15" i="9"/>
  <c r="AM15" i="9"/>
  <c r="K15" i="9"/>
  <c r="BI15" i="9"/>
  <c r="AK15" i="9"/>
  <c r="I15" i="9"/>
  <c r="BA15" i="9"/>
  <c r="AA15" i="9"/>
  <c r="Y15" i="9"/>
  <c r="W15" i="9"/>
  <c r="BG15" i="9"/>
  <c r="G15" i="9"/>
  <c r="BC15" i="9"/>
  <c r="AY15" i="9"/>
  <c r="AI15" i="9"/>
  <c r="BC29" i="9"/>
  <c r="AM29" i="9"/>
  <c r="W29" i="9"/>
  <c r="G29" i="9"/>
  <c r="AY29" i="9"/>
  <c r="AI29" i="9"/>
  <c r="S29" i="9"/>
  <c r="AW29" i="9"/>
  <c r="AG29" i="9"/>
  <c r="Q29" i="9"/>
  <c r="BA29" i="9"/>
  <c r="AA29" i="9"/>
  <c r="AU29" i="9"/>
  <c r="Y29" i="9"/>
  <c r="AS29" i="9"/>
  <c r="U29" i="9"/>
  <c r="BK29" i="9"/>
  <c r="AC29" i="9"/>
  <c r="BI29" i="9"/>
  <c r="O29" i="9"/>
  <c r="BG29" i="9"/>
  <c r="M29" i="9"/>
  <c r="BE29" i="9"/>
  <c r="K29" i="9"/>
  <c r="AQ29" i="9"/>
  <c r="AO29" i="9"/>
  <c r="AK29" i="9"/>
  <c r="AE29" i="9"/>
  <c r="I29" i="9"/>
  <c r="O10" i="9"/>
  <c r="AW11" i="9"/>
  <c r="AG11" i="9"/>
  <c r="Q11" i="9"/>
  <c r="BK11" i="9"/>
  <c r="AU11" i="9"/>
  <c r="AE11" i="9"/>
  <c r="O11" i="9"/>
  <c r="BI11" i="9"/>
  <c r="AS11" i="9"/>
  <c r="AC11" i="9"/>
  <c r="M11" i="9"/>
  <c r="AQ11" i="9"/>
  <c r="U11" i="9"/>
  <c r="AO11" i="9"/>
  <c r="S11" i="9"/>
  <c r="AM11" i="9"/>
  <c r="K11" i="9"/>
  <c r="BG11" i="9"/>
  <c r="AK11" i="9"/>
  <c r="I11" i="9"/>
  <c r="BC11" i="9"/>
  <c r="AW19" i="9"/>
  <c r="BK23" i="9"/>
  <c r="AU23" i="9"/>
  <c r="AE23" i="9"/>
  <c r="O23" i="9"/>
  <c r="BG23" i="9"/>
  <c r="AQ23" i="9"/>
  <c r="AA23" i="9"/>
  <c r="K23" i="9"/>
  <c r="BE23" i="9"/>
  <c r="AO23" i="9"/>
  <c r="Y23" i="9"/>
  <c r="I23" i="9"/>
  <c r="AS23" i="9"/>
  <c r="S23" i="9"/>
  <c r="AM23" i="9"/>
  <c r="Q23" i="9"/>
  <c r="AK23" i="9"/>
  <c r="M23" i="9"/>
  <c r="AC23" i="9"/>
  <c r="BI23" i="9"/>
  <c r="W23" i="9"/>
  <c r="BC23" i="9"/>
  <c r="U23" i="9"/>
  <c r="BA23" i="9"/>
  <c r="G23" i="9"/>
  <c r="K25" i="9"/>
  <c r="AW7" i="9"/>
  <c r="AG7" i="9"/>
  <c r="Q7" i="9"/>
  <c r="BK7" i="9"/>
  <c r="AU7" i="9"/>
  <c r="AE7" i="9"/>
  <c r="O7" i="9"/>
  <c r="BI7" i="9"/>
  <c r="AS7" i="9"/>
  <c r="AC7" i="9"/>
  <c r="M7" i="9"/>
  <c r="AQ7" i="9"/>
  <c r="U7" i="9"/>
  <c r="AO7" i="9"/>
  <c r="S7" i="9"/>
  <c r="AM7" i="9"/>
  <c r="K7" i="9"/>
  <c r="BG7" i="9"/>
  <c r="AK7" i="9"/>
  <c r="I7" i="9"/>
  <c r="BC7" i="9"/>
  <c r="Q10" i="9"/>
  <c r="AY19" i="9"/>
  <c r="G7" i="9"/>
  <c r="BE7" i="9"/>
  <c r="AG10" i="9"/>
  <c r="BA19" i="9"/>
  <c r="AO25" i="9"/>
  <c r="W7" i="9"/>
  <c r="Y11" i="9"/>
  <c r="AW23" i="9"/>
  <c r="BK19" i="9"/>
  <c r="AU19" i="9"/>
  <c r="AE19" i="9"/>
  <c r="O19" i="9"/>
  <c r="BG19" i="9"/>
  <c r="AQ19" i="9"/>
  <c r="AA19" i="9"/>
  <c r="K19" i="9"/>
  <c r="BE19" i="9"/>
  <c r="AO19" i="9"/>
  <c r="Y19" i="9"/>
  <c r="I19" i="9"/>
  <c r="AS19" i="9"/>
  <c r="S19" i="9"/>
  <c r="AM19" i="9"/>
  <c r="Q19" i="9"/>
  <c r="AK19" i="9"/>
  <c r="M19" i="9"/>
  <c r="AI19" i="9"/>
  <c r="AG19" i="9"/>
  <c r="AC19" i="9"/>
  <c r="BI19" i="9"/>
  <c r="W19" i="9"/>
  <c r="BI10" i="9"/>
  <c r="AS10" i="9"/>
  <c r="AC10" i="9"/>
  <c r="M10" i="9"/>
  <c r="BG10" i="9"/>
  <c r="AQ10" i="9"/>
  <c r="AA10" i="9"/>
  <c r="K10" i="9"/>
  <c r="BE10" i="9"/>
  <c r="AO10" i="9"/>
  <c r="Y10" i="9"/>
  <c r="I10" i="9"/>
  <c r="BA10" i="9"/>
  <c r="AE10" i="9"/>
  <c r="AY10" i="9"/>
  <c r="W10" i="9"/>
  <c r="AW10" i="9"/>
  <c r="U10" i="9"/>
  <c r="AU10" i="9"/>
  <c r="S10" i="9"/>
  <c r="BC10" i="9"/>
  <c r="G19" i="9"/>
  <c r="BC25" i="9"/>
  <c r="AM25" i="9"/>
  <c r="W25" i="9"/>
  <c r="G25" i="9"/>
  <c r="AY25" i="9"/>
  <c r="AI25" i="9"/>
  <c r="S25" i="9"/>
  <c r="AW25" i="9"/>
  <c r="AG25" i="9"/>
  <c r="Q25" i="9"/>
  <c r="BA25" i="9"/>
  <c r="AA25" i="9"/>
  <c r="AU25" i="9"/>
  <c r="Y25" i="9"/>
  <c r="AS25" i="9"/>
  <c r="U25" i="9"/>
  <c r="AK25" i="9"/>
  <c r="AE25" i="9"/>
  <c r="BK25" i="9"/>
  <c r="AC25" i="9"/>
  <c r="BI25" i="9"/>
  <c r="O25" i="9"/>
  <c r="AS2" i="9"/>
  <c r="AC2" i="9"/>
  <c r="M2" i="9"/>
  <c r="AQ2" i="9"/>
  <c r="AA2" i="9"/>
  <c r="K2" i="9"/>
  <c r="BE2" i="9"/>
  <c r="AO2" i="9"/>
  <c r="Y2" i="9"/>
  <c r="I2" i="9"/>
  <c r="AG2" i="9"/>
  <c r="BC2" i="9"/>
  <c r="G2" i="9"/>
  <c r="AI2" i="9"/>
  <c r="Y3" i="9"/>
  <c r="BK27" i="9"/>
  <c r="AU27" i="9"/>
  <c r="AE27" i="9"/>
  <c r="O27" i="9"/>
  <c r="BG27" i="9"/>
  <c r="AQ27" i="9"/>
  <c r="AA27" i="9"/>
  <c r="K27" i="9"/>
  <c r="BE27" i="9"/>
  <c r="AO27" i="9"/>
  <c r="Y27" i="9"/>
  <c r="I27" i="9"/>
  <c r="AS27" i="9"/>
  <c r="S27" i="9"/>
  <c r="AM27" i="9"/>
  <c r="Q27" i="9"/>
  <c r="AK27" i="9"/>
  <c r="M27" i="9"/>
  <c r="AY27" i="9"/>
  <c r="O2" i="9"/>
  <c r="AK2" i="9"/>
  <c r="AW3" i="9"/>
  <c r="AG3" i="9"/>
  <c r="Q3" i="9"/>
  <c r="BK3" i="9"/>
  <c r="AU3" i="9"/>
  <c r="AE3" i="9"/>
  <c r="O3" i="9"/>
  <c r="BI3" i="9"/>
  <c r="AS3" i="9"/>
  <c r="AC3" i="9"/>
  <c r="M3" i="9"/>
  <c r="AA3" i="9"/>
  <c r="BC3" i="9"/>
  <c r="BC21" i="9"/>
  <c r="AM21" i="9"/>
  <c r="W21" i="9"/>
  <c r="G21" i="9"/>
  <c r="AY21" i="9"/>
  <c r="AI21" i="9"/>
  <c r="S21" i="9"/>
  <c r="AW21" i="9"/>
  <c r="AG21" i="9"/>
  <c r="Q21" i="9"/>
  <c r="BA21" i="9"/>
  <c r="AA21" i="9"/>
  <c r="AU21" i="9"/>
  <c r="Y21" i="9"/>
  <c r="AS21" i="9"/>
  <c r="U21" i="9"/>
  <c r="AO21" i="9"/>
  <c r="G27" i="9"/>
  <c r="BA27" i="9"/>
  <c r="AY32" i="9"/>
  <c r="AI32" i="9"/>
  <c r="S32" i="9"/>
  <c r="AW32" i="9"/>
  <c r="AG32" i="9"/>
  <c r="BK32" i="9"/>
  <c r="AU32" i="9"/>
  <c r="AE32" i="9"/>
  <c r="O32" i="9"/>
  <c r="BG32" i="9"/>
  <c r="AQ32" i="9"/>
  <c r="AA32" i="9"/>
  <c r="K32" i="9"/>
  <c r="BE32" i="9"/>
  <c r="AO32" i="9"/>
  <c r="Y32" i="9"/>
  <c r="I32" i="9"/>
  <c r="W32" i="9"/>
  <c r="BI32" i="9"/>
  <c r="U32" i="9"/>
  <c r="BC32" i="9"/>
  <c r="Q32" i="9"/>
  <c r="Q2" i="9"/>
  <c r="AM2" i="9"/>
  <c r="Q4" i="9"/>
  <c r="AG4" i="9"/>
  <c r="AW4" i="9"/>
  <c r="U5" i="9"/>
  <c r="AK5" i="9"/>
  <c r="BA5" i="9"/>
  <c r="Q8" i="9"/>
  <c r="AG8" i="9"/>
  <c r="AW8" i="9"/>
  <c r="U9" i="9"/>
  <c r="AK9" i="9"/>
  <c r="Q12" i="9"/>
  <c r="AG12" i="9"/>
  <c r="AW12" i="9"/>
  <c r="U13" i="9"/>
  <c r="AK13" i="9"/>
  <c r="W16" i="9"/>
  <c r="BC17" i="9"/>
  <c r="AM17" i="9"/>
  <c r="W17" i="9"/>
  <c r="G17" i="9"/>
  <c r="AW17" i="9"/>
  <c r="AG17" i="9"/>
  <c r="Q17" i="9"/>
  <c r="AA17" i="9"/>
  <c r="AU17" i="9"/>
  <c r="AY20" i="9"/>
  <c r="AI20" i="9"/>
  <c r="S20" i="9"/>
  <c r="BK20" i="9"/>
  <c r="AU20" i="9"/>
  <c r="AE20" i="9"/>
  <c r="O20" i="9"/>
  <c r="BI20" i="9"/>
  <c r="AS20" i="9"/>
  <c r="AC20" i="9"/>
  <c r="M20" i="9"/>
  <c r="AA20" i="9"/>
  <c r="BC20" i="9"/>
  <c r="AY24" i="9"/>
  <c r="AI24" i="9"/>
  <c r="S24" i="9"/>
  <c r="AU24" i="9"/>
  <c r="AE24" i="9"/>
  <c r="O24" i="9"/>
  <c r="BI24" i="9"/>
  <c r="AS24" i="9"/>
  <c r="AC24" i="9"/>
  <c r="M24" i="9"/>
  <c r="AA24" i="9"/>
  <c r="BC24" i="9"/>
  <c r="AY28" i="9"/>
  <c r="AI28" i="9"/>
  <c r="S28" i="9"/>
  <c r="BK28" i="9"/>
  <c r="AU28" i="9"/>
  <c r="AE28" i="9"/>
  <c r="O28" i="9"/>
  <c r="BI28" i="9"/>
  <c r="AS28" i="9"/>
  <c r="AC28" i="9"/>
  <c r="M28" i="9"/>
  <c r="AA28" i="9"/>
  <c r="BC28" i="9"/>
  <c r="AY16" i="9"/>
  <c r="AI16" i="9"/>
  <c r="S16" i="9"/>
  <c r="BI16" i="9"/>
  <c r="AS16" i="9"/>
  <c r="AC16" i="9"/>
  <c r="M16" i="9"/>
  <c r="Y16" i="9"/>
  <c r="AU16" i="9"/>
  <c r="U4" i="9"/>
  <c r="AK4" i="9"/>
  <c r="I5" i="9"/>
  <c r="Y5" i="9"/>
  <c r="AO5" i="9"/>
  <c r="U8" i="9"/>
  <c r="AK8" i="9"/>
  <c r="U12" i="9"/>
  <c r="AK12" i="9"/>
  <c r="G16" i="9"/>
  <c r="AA16" i="9"/>
  <c r="AW16" i="9"/>
  <c r="U18" i="9"/>
  <c r="AK18" i="9"/>
  <c r="BA18" i="9"/>
  <c r="U22" i="9"/>
  <c r="AK22" i="9"/>
  <c r="BA22" i="9"/>
  <c r="U26" i="9"/>
  <c r="AK26" i="9"/>
  <c r="BA26" i="9"/>
  <c r="U31" i="9"/>
  <c r="AK31" i="9"/>
  <c r="BA31" i="9"/>
  <c r="M33" i="9"/>
  <c r="AC33" i="9"/>
  <c r="AS33" i="9"/>
  <c r="BI33" i="9"/>
  <c r="Q34" i="9"/>
  <c r="AG34" i="9"/>
  <c r="AW34" i="9"/>
  <c r="U35" i="9"/>
  <c r="AK35" i="9"/>
  <c r="BA35" i="9"/>
  <c r="I36" i="9"/>
  <c r="Y36" i="9"/>
  <c r="AO36" i="9"/>
  <c r="BE36" i="9"/>
  <c r="O37" i="9"/>
  <c r="AI37" i="9"/>
  <c r="BC37" i="9"/>
  <c r="S38" i="9"/>
  <c r="AM38" i="9"/>
  <c r="AE40" i="9"/>
  <c r="BK40" i="9"/>
  <c r="AW49" i="9"/>
  <c r="AG49" i="9"/>
  <c r="Q49" i="9"/>
  <c r="BK49" i="9"/>
  <c r="AU49" i="9"/>
  <c r="AE49" i="9"/>
  <c r="O49" i="9"/>
  <c r="BI49" i="9"/>
  <c r="AS49" i="9"/>
  <c r="AC49" i="9"/>
  <c r="M49" i="9"/>
  <c r="BE49" i="9"/>
  <c r="AO49" i="9"/>
  <c r="Y49" i="9"/>
  <c r="I49" i="9"/>
  <c r="BC49" i="9"/>
  <c r="AM49" i="9"/>
  <c r="W49" i="9"/>
  <c r="G49" i="9"/>
  <c r="AY49" i="9"/>
  <c r="BC31" i="9"/>
  <c r="O33" i="9"/>
  <c r="AE33" i="9"/>
  <c r="AU33" i="9"/>
  <c r="BK33" i="9"/>
  <c r="S34" i="9"/>
  <c r="AI34" i="9"/>
  <c r="AY34" i="9"/>
  <c r="K36" i="9"/>
  <c r="AA36" i="9"/>
  <c r="AQ36" i="9"/>
  <c r="BG36" i="9"/>
  <c r="Q37" i="9"/>
  <c r="AK37" i="9"/>
  <c r="BE37" i="9"/>
  <c r="AW45" i="9"/>
  <c r="AG45" i="9"/>
  <c r="Q45" i="9"/>
  <c r="BI45" i="9"/>
  <c r="AS45" i="9"/>
  <c r="AC45" i="9"/>
  <c r="M45" i="9"/>
  <c r="BE45" i="9"/>
  <c r="AO45" i="9"/>
  <c r="Y45" i="9"/>
  <c r="I45" i="9"/>
  <c r="BC45" i="9"/>
  <c r="AM45" i="9"/>
  <c r="W45" i="9"/>
  <c r="G45" i="9"/>
  <c r="AK45" i="9"/>
  <c r="U34" i="9"/>
  <c r="AK34" i="9"/>
  <c r="BA34" i="9"/>
  <c r="M36" i="9"/>
  <c r="AC36" i="9"/>
  <c r="AS36" i="9"/>
  <c r="BI36" i="9"/>
  <c r="AM37" i="9"/>
  <c r="BK37" i="9"/>
  <c r="AW40" i="9"/>
  <c r="AG40" i="9"/>
  <c r="Q40" i="9"/>
  <c r="BI40" i="9"/>
  <c r="AS40" i="9"/>
  <c r="AC40" i="9"/>
  <c r="M40" i="9"/>
  <c r="BE40" i="9"/>
  <c r="AO40" i="9"/>
  <c r="Y40" i="9"/>
  <c r="I40" i="9"/>
  <c r="BC40" i="9"/>
  <c r="AM40" i="9"/>
  <c r="W40" i="9"/>
  <c r="G40" i="9"/>
  <c r="AK40" i="9"/>
  <c r="K18" i="9"/>
  <c r="AA18" i="9"/>
  <c r="AQ18" i="9"/>
  <c r="K22" i="9"/>
  <c r="AA22" i="9"/>
  <c r="AQ22" i="9"/>
  <c r="K26" i="9"/>
  <c r="AA26" i="9"/>
  <c r="AQ26" i="9"/>
  <c r="K31" i="9"/>
  <c r="AA31" i="9"/>
  <c r="AQ31" i="9"/>
  <c r="S33" i="9"/>
  <c r="AI33" i="9"/>
  <c r="AY33" i="9"/>
  <c r="G34" i="9"/>
  <c r="W34" i="9"/>
  <c r="AM34" i="9"/>
  <c r="BC34" i="9"/>
  <c r="K35" i="9"/>
  <c r="AA35" i="9"/>
  <c r="AQ35" i="9"/>
  <c r="O36" i="9"/>
  <c r="AE36" i="9"/>
  <c r="AU36" i="9"/>
  <c r="BK36" i="9"/>
  <c r="U37" i="9"/>
  <c r="AW38" i="9"/>
  <c r="AG38" i="9"/>
  <c r="Q38" i="9"/>
  <c r="BK38" i="9"/>
  <c r="AU38" i="9"/>
  <c r="AE38" i="9"/>
  <c r="O38" i="9"/>
  <c r="Y38" i="9"/>
  <c r="AS38" i="9"/>
  <c r="K40" i="9"/>
  <c r="AQ40" i="9"/>
  <c r="O45" i="9"/>
  <c r="AU45" i="9"/>
  <c r="U49" i="9"/>
  <c r="AW54" i="9"/>
  <c r="AG54" i="9"/>
  <c r="Q54" i="9"/>
  <c r="BK54" i="9"/>
  <c r="AU54" i="9"/>
  <c r="AE54" i="9"/>
  <c r="O54" i="9"/>
  <c r="BI54" i="9"/>
  <c r="AS54" i="9"/>
  <c r="AC54" i="9"/>
  <c r="M54" i="9"/>
  <c r="BG54" i="9"/>
  <c r="AQ54" i="9"/>
  <c r="AA54" i="9"/>
  <c r="K54" i="9"/>
  <c r="BE54" i="9"/>
  <c r="AO54" i="9"/>
  <c r="Y54" i="9"/>
  <c r="I54" i="9"/>
  <c r="BC54" i="9"/>
  <c r="AM54" i="9"/>
  <c r="W54" i="9"/>
  <c r="G54" i="9"/>
  <c r="U33" i="9"/>
  <c r="AK33" i="9"/>
  <c r="BA33" i="9"/>
  <c r="I34" i="9"/>
  <c r="Y34" i="9"/>
  <c r="AO34" i="9"/>
  <c r="BE34" i="9"/>
  <c r="Q36" i="9"/>
  <c r="AG36" i="9"/>
  <c r="AW36" i="9"/>
  <c r="BI37" i="9"/>
  <c r="AS37" i="9"/>
  <c r="AC37" i="9"/>
  <c r="M37" i="9"/>
  <c r="BG37" i="9"/>
  <c r="AQ37" i="9"/>
  <c r="AA37" i="9"/>
  <c r="W37" i="9"/>
  <c r="AU37" i="9"/>
  <c r="O40" i="9"/>
  <c r="AU40" i="9"/>
  <c r="G33" i="9"/>
  <c r="W33" i="9"/>
  <c r="AM33" i="9"/>
  <c r="BC33" i="9"/>
  <c r="K34" i="9"/>
  <c r="AA34" i="9"/>
  <c r="AQ34" i="9"/>
  <c r="BG34" i="9"/>
  <c r="S36" i="9"/>
  <c r="AI36" i="9"/>
  <c r="AY36" i="9"/>
  <c r="G37" i="9"/>
  <c r="Y37" i="9"/>
  <c r="AW37" i="9"/>
  <c r="S40" i="9"/>
  <c r="AY40" i="9"/>
  <c r="AO33" i="9"/>
  <c r="M34" i="9"/>
  <c r="AC34" i="9"/>
  <c r="AS34" i="9"/>
  <c r="U36" i="9"/>
  <c r="AK36" i="9"/>
  <c r="AE37" i="9"/>
  <c r="AY37" i="9"/>
  <c r="U40" i="9"/>
  <c r="BA40" i="9"/>
  <c r="S39" i="9"/>
  <c r="AI39" i="9"/>
  <c r="AY39" i="9"/>
  <c r="K42" i="9"/>
  <c r="AA42" i="9"/>
  <c r="AQ42" i="9"/>
  <c r="BG42" i="9"/>
  <c r="O43" i="9"/>
  <c r="AE43" i="9"/>
  <c r="AU43" i="9"/>
  <c r="BK43" i="9"/>
  <c r="S44" i="9"/>
  <c r="AI44" i="9"/>
  <c r="AY44" i="9"/>
  <c r="K46" i="9"/>
  <c r="AA46" i="9"/>
  <c r="AQ46" i="9"/>
  <c r="BG46" i="9"/>
  <c r="O47" i="9"/>
  <c r="AE47" i="9"/>
  <c r="AU47" i="9"/>
  <c r="BK47" i="9"/>
  <c r="S48" i="9"/>
  <c r="AI48" i="9"/>
  <c r="AY48" i="9"/>
  <c r="K50" i="9"/>
  <c r="AA50" i="9"/>
  <c r="AQ50" i="9"/>
  <c r="BG50" i="9"/>
  <c r="O51" i="9"/>
  <c r="AE51" i="9"/>
  <c r="AU51" i="9"/>
  <c r="BK51" i="9"/>
  <c r="S52" i="9"/>
  <c r="AI52" i="9"/>
  <c r="AY52" i="9"/>
  <c r="K55" i="9"/>
  <c r="AA55" i="9"/>
  <c r="AQ55" i="9"/>
  <c r="BG55" i="9"/>
  <c r="O56" i="9"/>
  <c r="AE56" i="9"/>
  <c r="AU56" i="9"/>
  <c r="BK56" i="9"/>
  <c r="S58" i="9"/>
  <c r="AI58" i="9"/>
  <c r="AY58" i="9"/>
  <c r="G59" i="9"/>
  <c r="W59" i="9"/>
  <c r="AM59" i="9"/>
  <c r="BC59" i="9"/>
  <c r="Y60" i="9"/>
  <c r="AO60" i="9"/>
  <c r="BE60" i="9"/>
  <c r="U39" i="9"/>
  <c r="AK39" i="9"/>
  <c r="M42" i="9"/>
  <c r="AC42" i="9"/>
  <c r="AS42" i="9"/>
  <c r="BI42" i="9"/>
  <c r="Q43" i="9"/>
  <c r="AG43" i="9"/>
  <c r="AW43" i="9"/>
  <c r="U44" i="9"/>
  <c r="AK44" i="9"/>
  <c r="M46" i="9"/>
  <c r="AC46" i="9"/>
  <c r="AS46" i="9"/>
  <c r="BI46" i="9"/>
  <c r="Q47" i="9"/>
  <c r="AG47" i="9"/>
  <c r="AW47" i="9"/>
  <c r="U48" i="9"/>
  <c r="AK48" i="9"/>
  <c r="M50" i="9"/>
  <c r="AC50" i="9"/>
  <c r="AS50" i="9"/>
  <c r="BI50" i="9"/>
  <c r="Q51" i="9"/>
  <c r="AG51" i="9"/>
  <c r="AW51" i="9"/>
  <c r="U52" i="9"/>
  <c r="AK52" i="9"/>
  <c r="M55" i="9"/>
  <c r="AC55" i="9"/>
  <c r="AS55" i="9"/>
  <c r="BI55" i="9"/>
  <c r="Q56" i="9"/>
  <c r="AG56" i="9"/>
  <c r="AW56" i="9"/>
  <c r="U58" i="9"/>
  <c r="AK58" i="9"/>
  <c r="I59" i="9"/>
  <c r="Y59" i="9"/>
  <c r="AO59" i="9"/>
  <c r="BE59" i="9"/>
  <c r="AA60" i="9"/>
  <c r="AQ60" i="9"/>
  <c r="BG60" i="9"/>
  <c r="K59" i="9"/>
  <c r="AA59" i="9"/>
  <c r="AQ59" i="9"/>
  <c r="BG59" i="9"/>
  <c r="Q42" i="9"/>
  <c r="AG42" i="9"/>
  <c r="AW42" i="9"/>
  <c r="U43" i="9"/>
  <c r="AK43" i="9"/>
  <c r="BA43" i="9"/>
  <c r="Q46" i="9"/>
  <c r="AG46" i="9"/>
  <c r="AW46" i="9"/>
  <c r="U47" i="9"/>
  <c r="AK47" i="9"/>
  <c r="BA47" i="9"/>
  <c r="Q50" i="9"/>
  <c r="AG50" i="9"/>
  <c r="AW50" i="9"/>
  <c r="U51" i="9"/>
  <c r="AK51" i="9"/>
  <c r="BA51" i="9"/>
  <c r="Q55" i="9"/>
  <c r="AG55" i="9"/>
  <c r="AW55" i="9"/>
  <c r="U56" i="9"/>
  <c r="AK56" i="9"/>
  <c r="BA56" i="9"/>
  <c r="M59" i="9"/>
  <c r="AC59" i="9"/>
  <c r="AS59" i="9"/>
  <c r="BI59" i="9"/>
  <c r="AE60" i="9"/>
  <c r="AU60" i="9"/>
  <c r="BK60" i="9"/>
  <c r="O59" i="9"/>
  <c r="AE59" i="9"/>
  <c r="AU59" i="9"/>
  <c r="U42" i="9"/>
  <c r="AK42" i="9"/>
  <c r="I43" i="9"/>
  <c r="Y43" i="9"/>
  <c r="AO43" i="9"/>
  <c r="U46" i="9"/>
  <c r="AK46" i="9"/>
  <c r="I47" i="9"/>
  <c r="Y47" i="9"/>
  <c r="AO47" i="9"/>
  <c r="U50" i="9"/>
  <c r="AK50" i="9"/>
  <c r="I51" i="9"/>
  <c r="Y51" i="9"/>
  <c r="AO51" i="9"/>
  <c r="U55" i="9"/>
  <c r="AK55" i="9"/>
  <c r="I56" i="9"/>
  <c r="Y56" i="9"/>
  <c r="AO56" i="9"/>
  <c r="Q59" i="9"/>
  <c r="AG59" i="9"/>
  <c r="AW59" i="9"/>
  <c r="AI60" i="9"/>
  <c r="S59" i="9"/>
  <c r="AI59" i="9"/>
  <c r="AY59" i="9"/>
  <c r="U59" i="9"/>
  <c r="AK59" i="9"/>
  <c r="CE62" i="9" l="1"/>
  <c r="BC61" i="9"/>
  <c r="AE61" i="9"/>
  <c r="BW62" i="9"/>
  <c r="BS62" i="9"/>
  <c r="W61" i="9"/>
  <c r="AU61" i="9"/>
  <c r="BO62" i="9"/>
  <c r="CC62" i="9"/>
  <c r="U61" i="9"/>
  <c r="S61" i="9"/>
  <c r="AY61" i="9"/>
  <c r="BQ62" i="9"/>
  <c r="BU62" i="9"/>
  <c r="CA62" i="9"/>
  <c r="BA61" i="9"/>
  <c r="BY62" i="9"/>
  <c r="AW61" i="9"/>
  <c r="BM62" i="9"/>
  <c r="AQ61" i="9"/>
  <c r="Y56" i="3"/>
  <c r="Q56" i="3"/>
  <c r="AG61" i="9"/>
  <c r="BG61" i="9"/>
  <c r="Q56" i="5"/>
  <c r="W56" i="3"/>
  <c r="AG56" i="3"/>
  <c r="I61" i="9"/>
  <c r="M61" i="9"/>
  <c r="AM56" i="5"/>
  <c r="AQ56" i="3"/>
  <c r="AW56" i="3"/>
  <c r="AG56" i="5"/>
  <c r="Y61" i="9"/>
  <c r="AC61" i="9"/>
  <c r="W56" i="5"/>
  <c r="Q61" i="9"/>
  <c r="AO61" i="9"/>
  <c r="AS61" i="9"/>
  <c r="G56" i="5"/>
  <c r="BA56" i="5"/>
  <c r="M56" i="3"/>
  <c r="AO56" i="3"/>
  <c r="AC56" i="3"/>
  <c r="BK61" i="9"/>
  <c r="BE61" i="9"/>
  <c r="BI61" i="9"/>
  <c r="AK56" i="5"/>
  <c r="G56" i="3"/>
  <c r="AM56" i="3"/>
  <c r="O56" i="3"/>
  <c r="AI56" i="3"/>
  <c r="AI61" i="9"/>
  <c r="K61" i="9"/>
  <c r="U56" i="5"/>
  <c r="U56" i="3"/>
  <c r="AE56" i="3"/>
  <c r="O61" i="9"/>
  <c r="AS56" i="3"/>
  <c r="AM61" i="9"/>
  <c r="AK61" i="9"/>
  <c r="G61" i="9"/>
  <c r="AA61" i="9"/>
  <c r="AW56" i="5"/>
  <c r="AY56" i="3"/>
  <c r="AU56" i="3"/>
</calcChain>
</file>

<file path=xl/sharedStrings.xml><?xml version="1.0" encoding="utf-8"?>
<sst xmlns="http://schemas.openxmlformats.org/spreadsheetml/2006/main" count="1263" uniqueCount="752">
  <si>
    <t>INVENTARIO</t>
  </si>
  <si>
    <t xml:space="preserve">PRODUCTO </t>
  </si>
  <si>
    <t>01/02/25 INICIA</t>
  </si>
  <si>
    <t xml:space="preserve">01/02/25 ENTRA </t>
  </si>
  <si>
    <t>01/02/25 SALE</t>
  </si>
  <si>
    <t>02/02/25 INICIA</t>
  </si>
  <si>
    <t xml:space="preserve">02/02/25 ENTRA </t>
  </si>
  <si>
    <t>02/02/25 SALE</t>
  </si>
  <si>
    <t>03/02/25 INICIA</t>
  </si>
  <si>
    <t xml:space="preserve">03/02/25 ENTRA </t>
  </si>
  <si>
    <t>03/02/25 SALE</t>
  </si>
  <si>
    <t>04/02/25 INICIA</t>
  </si>
  <si>
    <t>04/02/25 ENTRA</t>
  </si>
  <si>
    <t>04/02/25 SALE</t>
  </si>
  <si>
    <t>06/02/25 INICIA</t>
  </si>
  <si>
    <t>06/02/25 ENTRA</t>
  </si>
  <si>
    <t>06/02/25 SALE</t>
  </si>
  <si>
    <t>07/02/25 INICIA</t>
  </si>
  <si>
    <t>07/02/25 ENTRA</t>
  </si>
  <si>
    <t>07/02/25 SALE</t>
  </si>
  <si>
    <t>08/02/25 INICIA</t>
  </si>
  <si>
    <t>08/02/25 SALE</t>
  </si>
  <si>
    <t>09/02/25 INICIA</t>
  </si>
  <si>
    <t>09/02/25 ENTRA</t>
  </si>
  <si>
    <t>09/02/25 SALE</t>
  </si>
  <si>
    <t>10/02/25 INICIA</t>
  </si>
  <si>
    <t>10/02/25 SALE</t>
  </si>
  <si>
    <t>11/02/25 INICIA</t>
  </si>
  <si>
    <t>11/02/25 ENTRA</t>
  </si>
  <si>
    <t>11/02/25 SALE</t>
  </si>
  <si>
    <t>12/02/25 INICIA</t>
  </si>
  <si>
    <t>12/02/25 SALE</t>
  </si>
  <si>
    <t>13/02/25 INICIA</t>
  </si>
  <si>
    <t>13/02/25 SALE</t>
  </si>
  <si>
    <t>14/02/25 INICIA</t>
  </si>
  <si>
    <t xml:space="preserve">14/02/25 ENTRA </t>
  </si>
  <si>
    <t>14/02/25 SALE</t>
  </si>
  <si>
    <t>15/02/25 INICIA</t>
  </si>
  <si>
    <t xml:space="preserve">15/02/25 ENTRA </t>
  </si>
  <si>
    <t>15/02/25 SALE</t>
  </si>
  <si>
    <t>16/02/25 INICIA</t>
  </si>
  <si>
    <t xml:space="preserve">16/02/25 ENTRA </t>
  </si>
  <si>
    <t>16/02/25 SALE</t>
  </si>
  <si>
    <t>18/02/25 INICIA</t>
  </si>
  <si>
    <t xml:space="preserve">18/02/25 ENTRA </t>
  </si>
  <si>
    <t>18/02/25 SALE</t>
  </si>
  <si>
    <t>19/02/25 INICIA</t>
  </si>
  <si>
    <t xml:space="preserve">19/02/25 ENTRA </t>
  </si>
  <si>
    <t>19/02/25 SALE</t>
  </si>
  <si>
    <t>20/02/25 INICIA</t>
  </si>
  <si>
    <t xml:space="preserve">20/02/25 ENTRA </t>
  </si>
  <si>
    <t>20/02/25 SALE</t>
  </si>
  <si>
    <t>21/02/25 INICIA</t>
  </si>
  <si>
    <t xml:space="preserve">21/02/25 ENTRA </t>
  </si>
  <si>
    <t>21/02/25 SALE</t>
  </si>
  <si>
    <t>22/02/25 INICIA</t>
  </si>
  <si>
    <t xml:space="preserve">22/02/25 ENTRA </t>
  </si>
  <si>
    <t>22/02/25 SALE</t>
  </si>
  <si>
    <t>23/02/25 INICIA</t>
  </si>
  <si>
    <t xml:space="preserve">23/02/25 ENTRA </t>
  </si>
  <si>
    <t>23/02/25 SALE</t>
  </si>
  <si>
    <t>24/02/25 INICIA</t>
  </si>
  <si>
    <t xml:space="preserve">24/02/25 ENTRA </t>
  </si>
  <si>
    <t>24/02/25 SALE</t>
  </si>
  <si>
    <t>25/02/25 INICIA</t>
  </si>
  <si>
    <t xml:space="preserve">25/02/25 ENTRA </t>
  </si>
  <si>
    <t>25/02/25 SALE</t>
  </si>
  <si>
    <t>26/02/25 INICIA</t>
  </si>
  <si>
    <t xml:space="preserve">26/02/25 ENTRA </t>
  </si>
  <si>
    <t>26/02/25 SALE</t>
  </si>
  <si>
    <t>27/02/25 INICIA</t>
  </si>
  <si>
    <t xml:space="preserve">27/02/25 ENTRA </t>
  </si>
  <si>
    <t>27/02/25 SALE</t>
  </si>
  <si>
    <t>28/02/25 INICIA</t>
  </si>
  <si>
    <t xml:space="preserve">28/02/25 ENTRA </t>
  </si>
  <si>
    <t>28/02/25 SALE</t>
  </si>
  <si>
    <t>01/03/25 INICIA</t>
  </si>
  <si>
    <t>AGUA X24</t>
  </si>
  <si>
    <t>COCA COLA</t>
  </si>
  <si>
    <t>GATORADE</t>
  </si>
  <si>
    <t>SMIRNOFF</t>
  </si>
  <si>
    <t>GASEOSA CUATRO</t>
  </si>
  <si>
    <t>GASEOSA CANADA DRY</t>
  </si>
  <si>
    <t>GASEOSA SHWEPPES</t>
  </si>
  <si>
    <t>BRETAÑA</t>
  </si>
  <si>
    <t>SPEED MAX</t>
  </si>
  <si>
    <t>REDBULL</t>
  </si>
  <si>
    <t>ELECTROLIT</t>
  </si>
  <si>
    <t xml:space="preserve">POKER LATA </t>
  </si>
  <si>
    <t>AGUILA LATA</t>
  </si>
  <si>
    <t>CORONITA LATA</t>
  </si>
  <si>
    <t>CORONA LATA</t>
  </si>
  <si>
    <t>HEINEKEN LATA</t>
  </si>
  <si>
    <t>SOL PEQUEÑA</t>
  </si>
  <si>
    <t>SOL GRANDE</t>
  </si>
  <si>
    <t>ANDINA PEQUEÑA</t>
  </si>
  <si>
    <t>ANDINA GRANDE</t>
  </si>
  <si>
    <t>ANDINA DORADA</t>
  </si>
  <si>
    <t>HEINEKEN BOTELLA</t>
  </si>
  <si>
    <t>CORONITA</t>
  </si>
  <si>
    <t>AGUILA</t>
  </si>
  <si>
    <t>LIGTH</t>
  </si>
  <si>
    <t>POKER</t>
  </si>
  <si>
    <t>COSTEÑA</t>
  </si>
  <si>
    <t>CLUB</t>
  </si>
  <si>
    <t xml:space="preserve">1/2 AG. ANTIOQUEÑO VERDE </t>
  </si>
  <si>
    <t>1 BOTELLA AG. ANTIOQUEÑO VERDE</t>
  </si>
  <si>
    <t>1/2 AG. ANTIOQUEÑO AZUL</t>
  </si>
  <si>
    <t>1 BOTELLA AG. ANTIOQUEÑO AZUL</t>
  </si>
  <si>
    <t>SMIRNOFF LULO PEQUEÑA</t>
  </si>
  <si>
    <t>RON MEDELLIN DORADO GRANDE</t>
  </si>
  <si>
    <t>RON MEDELLIN DORADO PEQUEÑA</t>
  </si>
  <si>
    <t>SOMETHING SPECIAL PEQUEÑA</t>
  </si>
  <si>
    <t xml:space="preserve">BLACK LABEL </t>
  </si>
  <si>
    <t>RED LABEL</t>
  </si>
  <si>
    <t>1/2 MUSTANG</t>
  </si>
  <si>
    <t>UND. MUSTANG</t>
  </si>
  <si>
    <t>1/2 LUCKY</t>
  </si>
  <si>
    <t>UND. LUCKY</t>
  </si>
  <si>
    <t>1/2 MALBORO ROJO</t>
  </si>
  <si>
    <t>UND. MALBORO ROJO</t>
  </si>
  <si>
    <t>1/2 MALBORO FUSION</t>
  </si>
  <si>
    <t>UND. MALBORO FUSION</t>
  </si>
  <si>
    <t>D.P BBQ</t>
  </si>
  <si>
    <t>D.P NATURAL</t>
  </si>
  <si>
    <t>D.P MIX</t>
  </si>
  <si>
    <t>TRIDENT</t>
  </si>
  <si>
    <t>CHICLETS XTIME</t>
  </si>
  <si>
    <t>BOMBOMBUM</t>
  </si>
  <si>
    <t>BOTELLA AGT. AMARILLO</t>
  </si>
  <si>
    <t xml:space="preserve">STELLA </t>
  </si>
  <si>
    <t>DANIELA</t>
  </si>
  <si>
    <t>09/01/25 INICIA</t>
  </si>
  <si>
    <t xml:space="preserve">09/01/25 SALE </t>
  </si>
  <si>
    <t>10/01/25 INICIA</t>
  </si>
  <si>
    <t xml:space="preserve">10/01/25 SALE </t>
  </si>
  <si>
    <t>11/01/25 INICIA</t>
  </si>
  <si>
    <t xml:space="preserve">11/01/25 SALE </t>
  </si>
  <si>
    <t>12/01/25 INICIA</t>
  </si>
  <si>
    <t>12/01/25 ENTRA</t>
  </si>
  <si>
    <t xml:space="preserve">12/01/25 SALE </t>
  </si>
  <si>
    <t>13/01/25 INICIA</t>
  </si>
  <si>
    <t>13/01/25 ENTRA</t>
  </si>
  <si>
    <t xml:space="preserve">13/01/25 SALE </t>
  </si>
  <si>
    <t>14/01/25 INICIA</t>
  </si>
  <si>
    <t xml:space="preserve">14/01/25 SALE </t>
  </si>
  <si>
    <t>14/01/25 ENTRA</t>
  </si>
  <si>
    <t>15/01/25 INICIA</t>
  </si>
  <si>
    <t xml:space="preserve">15/01/25 SALE </t>
  </si>
  <si>
    <t>15/01/25 ENTRA</t>
  </si>
  <si>
    <t>16/01/25 INICIA</t>
  </si>
  <si>
    <t xml:space="preserve">16/01/25 SALE </t>
  </si>
  <si>
    <t>16/01/25 ENTRA</t>
  </si>
  <si>
    <t>17/01/25 INICIA</t>
  </si>
  <si>
    <t>17/01/25 ENTRA</t>
  </si>
  <si>
    <t>17/01/25 SALE</t>
  </si>
  <si>
    <t>18/01/25 INICIA</t>
  </si>
  <si>
    <t>18/01/25 ENTRA</t>
  </si>
  <si>
    <t>18/01/25 SALE</t>
  </si>
  <si>
    <t>19/01/25 INICIA</t>
  </si>
  <si>
    <t>19/01/25 ENTRA</t>
  </si>
  <si>
    <t>19/01/25 SALE</t>
  </si>
  <si>
    <t>20/01/25 INICIA</t>
  </si>
  <si>
    <t>20/01/25 ENTRA</t>
  </si>
  <si>
    <t>20/01/25 SALE</t>
  </si>
  <si>
    <t>21/01/25 INICIA</t>
  </si>
  <si>
    <t>21/01/25 ENTRA</t>
  </si>
  <si>
    <t>21/01/25 SALE</t>
  </si>
  <si>
    <t>22/01/25 INICIA</t>
  </si>
  <si>
    <t>22/01/25 ENTRA</t>
  </si>
  <si>
    <t>22/01/25 SALE</t>
  </si>
  <si>
    <t>23/01/25 INICIA</t>
  </si>
  <si>
    <t>23/01/25 ENTRA</t>
  </si>
  <si>
    <t>23/01/25 SALE</t>
  </si>
  <si>
    <t>24/01/25 INICIA</t>
  </si>
  <si>
    <t>24/01/25 ENTRA</t>
  </si>
  <si>
    <t>24/01/25 SALE</t>
  </si>
  <si>
    <t>25/01/25 INICIA</t>
  </si>
  <si>
    <t>25/01/25 ENTRA</t>
  </si>
  <si>
    <t>25/01/25 SALE</t>
  </si>
  <si>
    <t>26/01/25 INICIA</t>
  </si>
  <si>
    <t>26/01/25 ENTRA</t>
  </si>
  <si>
    <t>26/01/25 SALE</t>
  </si>
  <si>
    <t>27/01/25 INICIA</t>
  </si>
  <si>
    <t>27/01/25 ENTRA</t>
  </si>
  <si>
    <t>27/01/25 SALE</t>
  </si>
  <si>
    <t>28/01/25 INICIA</t>
  </si>
  <si>
    <t>28/01/25 ENTRA</t>
  </si>
  <si>
    <t>28/01/25 SALE</t>
  </si>
  <si>
    <t>29/01/25 INICIA</t>
  </si>
  <si>
    <t>29/01/25 ENTRA</t>
  </si>
  <si>
    <t>29/01/25 SALE</t>
  </si>
  <si>
    <t>30/01/25 INICIA</t>
  </si>
  <si>
    <t>30/01/25 ENTRA</t>
  </si>
  <si>
    <t>30/01/25 SALE</t>
  </si>
  <si>
    <t>31/01/25 INICIA</t>
  </si>
  <si>
    <t>31/01/25 SALE</t>
  </si>
  <si>
    <t>D.P LIMON</t>
  </si>
  <si>
    <t xml:space="preserve">1 LIGTH </t>
  </si>
  <si>
    <t xml:space="preserve">3 COSTEÑAS - 1 AGUA </t>
  </si>
  <si>
    <t>1 poker falta</t>
  </si>
  <si>
    <t>1 coronita</t>
  </si>
  <si>
    <t>PRECIO</t>
  </si>
  <si>
    <t>VR UNIDAD</t>
  </si>
  <si>
    <t>VR VENTA</t>
  </si>
  <si>
    <t>VR GANANCIA</t>
  </si>
  <si>
    <t>09/01/25 VENTA</t>
  </si>
  <si>
    <t>09/01/25 GANANCIA</t>
  </si>
  <si>
    <t>10/01/25 VENTA</t>
  </si>
  <si>
    <t>10/01/25 GANANCIA</t>
  </si>
  <si>
    <t>11/01/25 VENTA</t>
  </si>
  <si>
    <t>11/01/25 GANANCIA</t>
  </si>
  <si>
    <t>12/01/25 VENTA</t>
  </si>
  <si>
    <t>12/01/25 GANANCIA</t>
  </si>
  <si>
    <t>13/01/25 VENTA</t>
  </si>
  <si>
    <t>13/01/25 GANANCIA</t>
  </si>
  <si>
    <t>14/01/25 VENTA</t>
  </si>
  <si>
    <t>14/01/25 GANANCIA</t>
  </si>
  <si>
    <t>15/01/25 VENTA</t>
  </si>
  <si>
    <t>15/01/25 GANANCIA</t>
  </si>
  <si>
    <t>16/01/25 VENTA</t>
  </si>
  <si>
    <t>16/01/25 GANANCIA</t>
  </si>
  <si>
    <t>17/01/25 VENTA</t>
  </si>
  <si>
    <t>17/01/25 GANANCIA</t>
  </si>
  <si>
    <t>18/01/25 VENTA</t>
  </si>
  <si>
    <t>18/01/25 GANANCIA</t>
  </si>
  <si>
    <t>19/01/25 VENTA</t>
  </si>
  <si>
    <t>19/01/25 GANANCIA</t>
  </si>
  <si>
    <t>20/01/25 VENTA</t>
  </si>
  <si>
    <t>20/01/25 GANANCIA</t>
  </si>
  <si>
    <t>21/01/25 VENTA</t>
  </si>
  <si>
    <t>21/01/25 GANANCIA</t>
  </si>
  <si>
    <t>22/01/25 VENTA</t>
  </si>
  <si>
    <t>22/01/25 GANANCIA</t>
  </si>
  <si>
    <t>23/01/25 VENTA</t>
  </si>
  <si>
    <t>23/01/25 GANANCIA</t>
  </si>
  <si>
    <t>24/01/25 VENTA</t>
  </si>
  <si>
    <t>24/01/25 GANANCIA</t>
  </si>
  <si>
    <t>25/01/25 VENTA</t>
  </si>
  <si>
    <t>25/01/25 GANANCIA</t>
  </si>
  <si>
    <t>26/01/25 VENTA</t>
  </si>
  <si>
    <t>26/01/25 GANANCIA</t>
  </si>
  <si>
    <t>27/01/25 VENTA</t>
  </si>
  <si>
    <t>27/01/25 GANANCIA</t>
  </si>
  <si>
    <t>28/01/25 VENTA</t>
  </si>
  <si>
    <t>28/01/25 GANANCIA</t>
  </si>
  <si>
    <t>29/01/25 VENTA</t>
  </si>
  <si>
    <t>29/01/25 GANANCIA</t>
  </si>
  <si>
    <t>30/01/25 VENTA</t>
  </si>
  <si>
    <t>30/01/25 GANANCIA</t>
  </si>
  <si>
    <t>31/01/25 VENTA</t>
  </si>
  <si>
    <t>31/01/25 GANANCIA</t>
  </si>
  <si>
    <t>HEINEKEN LATA X24</t>
  </si>
  <si>
    <t>SOL PEQUEÑA X24</t>
  </si>
  <si>
    <t>SOL GRANDE X24</t>
  </si>
  <si>
    <t>ANDINA PEQUEÑA X6</t>
  </si>
  <si>
    <t>ANDINA GRANDE X30</t>
  </si>
  <si>
    <t>ANDINA DORADA X30</t>
  </si>
  <si>
    <t>HEINEKEN BOTELLA X24</t>
  </si>
  <si>
    <t>01/02/25 VENTA</t>
  </si>
  <si>
    <t>01/02/25 GANANCIA</t>
  </si>
  <si>
    <t>02/02/25 VENTA</t>
  </si>
  <si>
    <t>02/02/25 GANANCIA</t>
  </si>
  <si>
    <t>03/02/25 VENTA</t>
  </si>
  <si>
    <t>03/02/25 GANANCIA</t>
  </si>
  <si>
    <t>04/02/25 VENTA</t>
  </si>
  <si>
    <t>04/02/25 GANANCIA</t>
  </si>
  <si>
    <t>06/02/25 VENTA</t>
  </si>
  <si>
    <t>06/02/25 GANANCIA</t>
  </si>
  <si>
    <t>07/02/25 VENTA</t>
  </si>
  <si>
    <t>07/02/25 GANANCIA</t>
  </si>
  <si>
    <t>08/02/25 VENTA</t>
  </si>
  <si>
    <t>08/02/25 GANANCIA</t>
  </si>
  <si>
    <t>09/02/25 VENTA</t>
  </si>
  <si>
    <t>09/02/25 GANANCIA</t>
  </si>
  <si>
    <t>10/02/25 VENTA</t>
  </si>
  <si>
    <t>10/02/25 GANANCIA</t>
  </si>
  <si>
    <t>11/02/25 VENTA</t>
  </si>
  <si>
    <t>11/02/25 GANANCIA</t>
  </si>
  <si>
    <t>12/02/25 VENTA</t>
  </si>
  <si>
    <t>12/02/25 GANANCIA</t>
  </si>
  <si>
    <t>13/02/25 VENTA</t>
  </si>
  <si>
    <t>13/02/25 GANANCIA</t>
  </si>
  <si>
    <t>14/02/25 VENTA</t>
  </si>
  <si>
    <t>14/02/25 GANANCIA</t>
  </si>
  <si>
    <t>15/02/25 VENTA</t>
  </si>
  <si>
    <t>15/02/25 GANANCIA</t>
  </si>
  <si>
    <t>16/02/25 VENTA</t>
  </si>
  <si>
    <t>16/02/25 GANANCIA</t>
  </si>
  <si>
    <t>18/02/25 VENTA</t>
  </si>
  <si>
    <t>18/02/25 GANANCIA</t>
  </si>
  <si>
    <t>19/02/25 VENTA</t>
  </si>
  <si>
    <t>19/02/25 GANANCIA</t>
  </si>
  <si>
    <t>20/02/25 VENTA</t>
  </si>
  <si>
    <t>20/02/25 GANANCIA</t>
  </si>
  <si>
    <t>21/02/25 VENTA</t>
  </si>
  <si>
    <t>21/02/25 GANANCIA</t>
  </si>
  <si>
    <t>22/02/25 VENTA</t>
  </si>
  <si>
    <t>22/02/25 GANANCIA</t>
  </si>
  <si>
    <t>23/02/25 VENTA</t>
  </si>
  <si>
    <t>23/02/25 GANANCIA</t>
  </si>
  <si>
    <t>24/02/25 VENTA</t>
  </si>
  <si>
    <t>24/02/25 GANANCIA</t>
  </si>
  <si>
    <t>25/02/25 VENTA</t>
  </si>
  <si>
    <t>25/02/25 GANANCIA</t>
  </si>
  <si>
    <t>26/02/25 VENTA</t>
  </si>
  <si>
    <t>26/02/25 GANANCIA</t>
  </si>
  <si>
    <t>27/02/25 VENTA</t>
  </si>
  <si>
    <t>27/02/25 GANANCIA</t>
  </si>
  <si>
    <t>28/02/25 VENTA</t>
  </si>
  <si>
    <t>28/02/25 GANANCIA</t>
  </si>
  <si>
    <t xml:space="preserve">GANANCIA STELLA </t>
  </si>
  <si>
    <t xml:space="preserve">15 pero se cobro el 16 </t>
  </si>
  <si>
    <t xml:space="preserve">smirnoff grande </t>
  </si>
  <si>
    <t xml:space="preserve">somtig media </t>
  </si>
  <si>
    <t>FECHA</t>
  </si>
  <si>
    <t>T. VENTA DIARIA</t>
  </si>
  <si>
    <t xml:space="preserve">GANANCIA </t>
  </si>
  <si>
    <t xml:space="preserve">TURNO </t>
  </si>
  <si>
    <t xml:space="preserve">ARRIENDO </t>
  </si>
  <si>
    <t xml:space="preserve">LUZ </t>
  </si>
  <si>
    <t xml:space="preserve">AGUA </t>
  </si>
  <si>
    <t>TOTAL GANANCIA</t>
  </si>
  <si>
    <t>MIGUEL</t>
  </si>
  <si>
    <t>01 ENE 2025</t>
  </si>
  <si>
    <t>2 ENE 2025</t>
  </si>
  <si>
    <t>3 ENE 2025</t>
  </si>
  <si>
    <t>4 ENE 2025</t>
  </si>
  <si>
    <t>5 ENE 2025</t>
  </si>
  <si>
    <t>6 ENE 2025</t>
  </si>
  <si>
    <t>7 ENE 2025</t>
  </si>
  <si>
    <t>8 ENE 2025</t>
  </si>
  <si>
    <t>9 ENE 2025</t>
  </si>
  <si>
    <t>1 CANADA DRY</t>
  </si>
  <si>
    <t>10 ENE 2025</t>
  </si>
  <si>
    <t>11 ENE 2025</t>
  </si>
  <si>
    <t>12 ENE 2025</t>
  </si>
  <si>
    <t>13 ENE 2025</t>
  </si>
  <si>
    <t>14 ENE 2025</t>
  </si>
  <si>
    <t>15 ENE 2025</t>
  </si>
  <si>
    <t>1 CANADA + DT. BBQ</t>
  </si>
  <si>
    <t>16 ENE 2025</t>
  </si>
  <si>
    <t xml:space="preserve">4 LIGTH + 1 COSTEÑA + 1 CORONITA + 1 AGUILA </t>
  </si>
  <si>
    <t>17 ENE 2025</t>
  </si>
  <si>
    <t>1 CANADA</t>
  </si>
  <si>
    <t>18 ENE 2025</t>
  </si>
  <si>
    <t>19 ENE 2025</t>
  </si>
  <si>
    <t>20 ENE 2025</t>
  </si>
  <si>
    <t>21 ENE 2025</t>
  </si>
  <si>
    <t>2 DT. BBQ</t>
  </si>
  <si>
    <t>22 ENE 2025</t>
  </si>
  <si>
    <t>1 CANADA + 2 LUKY + AGUILA</t>
  </si>
  <si>
    <t>23 ENE 2025</t>
  </si>
  <si>
    <t>24 ENE 2025</t>
  </si>
  <si>
    <t>25 ENE 2025</t>
  </si>
  <si>
    <t>26 ENE 2025</t>
  </si>
  <si>
    <t>27 ENE 2025</t>
  </si>
  <si>
    <t>28 ENE 2025</t>
  </si>
  <si>
    <t>1 DT.MIX</t>
  </si>
  <si>
    <t>29 ENE 2025</t>
  </si>
  <si>
    <t>1 ELECTROLIT</t>
  </si>
  <si>
    <t>30 ENE 2025</t>
  </si>
  <si>
    <t>31 ENE 2025</t>
  </si>
  <si>
    <t>ESTANCO</t>
  </si>
  <si>
    <t>AGUARDIENTE</t>
  </si>
  <si>
    <t>PAPAS</t>
  </si>
  <si>
    <t>CIGARRILOS</t>
  </si>
  <si>
    <t>OTROS</t>
  </si>
  <si>
    <t>13/01/25</t>
  </si>
  <si>
    <t>14/01/25</t>
  </si>
  <si>
    <t>15/01/25</t>
  </si>
  <si>
    <t>16/01/25</t>
  </si>
  <si>
    <t>17/01/25</t>
  </si>
  <si>
    <t>18/01/25</t>
  </si>
  <si>
    <t>19/01/25</t>
  </si>
  <si>
    <t>20/01/25</t>
  </si>
  <si>
    <t>70.000 NEVERA</t>
  </si>
  <si>
    <t>22/01/25</t>
  </si>
  <si>
    <t>160.000 LAVAMANOS</t>
  </si>
  <si>
    <t>23/01/25</t>
  </si>
  <si>
    <t>24/01/25</t>
  </si>
  <si>
    <t>25/01/25</t>
  </si>
  <si>
    <t>24800 ASEO</t>
  </si>
  <si>
    <t>26/01/25</t>
  </si>
  <si>
    <t>27/01/25</t>
  </si>
  <si>
    <t>28/01/25</t>
  </si>
  <si>
    <t>29/01/25</t>
  </si>
  <si>
    <t>30/01/25</t>
  </si>
  <si>
    <t xml:space="preserve">INTERNET </t>
  </si>
  <si>
    <t xml:space="preserve">YOUTUBE </t>
  </si>
  <si>
    <t>G ADMIN</t>
  </si>
  <si>
    <t xml:space="preserve">MIGUEL </t>
  </si>
  <si>
    <t xml:space="preserve">1 corinta , 1 stella </t>
  </si>
  <si>
    <t>01/03/25 ENTRA</t>
  </si>
  <si>
    <t xml:space="preserve">01/03/25 SALE </t>
  </si>
  <si>
    <t xml:space="preserve">02/03/25 UNICIA </t>
  </si>
  <si>
    <t>02/03/25 ENTRA</t>
  </si>
  <si>
    <t xml:space="preserve">02/03/25 SALE </t>
  </si>
  <si>
    <t xml:space="preserve">03/03/25 UNICIA </t>
  </si>
  <si>
    <t>03/03/25 ENTRA</t>
  </si>
  <si>
    <t xml:space="preserve">03/03/25 SALE </t>
  </si>
  <si>
    <t xml:space="preserve">04/03/25 UNICIA </t>
  </si>
  <si>
    <t>04/03/25 ENTRA</t>
  </si>
  <si>
    <t xml:space="preserve">04/03/25 SALE </t>
  </si>
  <si>
    <t xml:space="preserve">05/03/25 UNICIA </t>
  </si>
  <si>
    <t>05/03/25 ENTRA</t>
  </si>
  <si>
    <t xml:space="preserve">05/03/25 SALE </t>
  </si>
  <si>
    <t xml:space="preserve">06/03/25 UNICIA </t>
  </si>
  <si>
    <t>06/03/25 ENTRA</t>
  </si>
  <si>
    <t xml:space="preserve">06/03/25 SALE </t>
  </si>
  <si>
    <t xml:space="preserve">07/03/25 UNICIA </t>
  </si>
  <si>
    <t>07/03/25 ENTRA</t>
  </si>
  <si>
    <t xml:space="preserve">07/03/25 SALE </t>
  </si>
  <si>
    <t xml:space="preserve">08/03/25 UNICIA </t>
  </si>
  <si>
    <t>08/03/25 ENTRA</t>
  </si>
  <si>
    <t xml:space="preserve">08/03/25 SALE </t>
  </si>
  <si>
    <t xml:space="preserve">09/03/25 UNICIA </t>
  </si>
  <si>
    <t>09/03/25 ENTRA</t>
  </si>
  <si>
    <t xml:space="preserve">09/03/25 SALE </t>
  </si>
  <si>
    <t xml:space="preserve">10/03/25 UNICIA </t>
  </si>
  <si>
    <t>10/03/25 ENTRA</t>
  </si>
  <si>
    <t xml:space="preserve">10/03/25 SALE </t>
  </si>
  <si>
    <t xml:space="preserve">11/03/25 UNICIA </t>
  </si>
  <si>
    <t>11/03/25 ENTRA</t>
  </si>
  <si>
    <t xml:space="preserve">11/03/25 SALE </t>
  </si>
  <si>
    <t xml:space="preserve">12/03/25 UNICIA </t>
  </si>
  <si>
    <t>12/03/25 ENTRA</t>
  </si>
  <si>
    <t xml:space="preserve">12/03/25 SALE </t>
  </si>
  <si>
    <t xml:space="preserve">13/03/25 UNICIA </t>
  </si>
  <si>
    <t>13/03/25 ENTRA</t>
  </si>
  <si>
    <t xml:space="preserve">13/03/25 SALE </t>
  </si>
  <si>
    <t xml:space="preserve">14/03/25 UNICIA </t>
  </si>
  <si>
    <t>14/03/25 ENTRA</t>
  </si>
  <si>
    <t xml:space="preserve">14/03/25 SALE </t>
  </si>
  <si>
    <t xml:space="preserve">15/03/25 UNICIA </t>
  </si>
  <si>
    <t>15/03/25 ENTRO</t>
  </si>
  <si>
    <t>15/03/25 SALIO</t>
  </si>
  <si>
    <t>16/03/25 INICIA</t>
  </si>
  <si>
    <t>16/03/25 ENTRO</t>
  </si>
  <si>
    <t>16/03/25 SALIO</t>
  </si>
  <si>
    <t>17/03/25 INICIA</t>
  </si>
  <si>
    <t>17/03/25 ENTRO</t>
  </si>
  <si>
    <t>17/03/25 SALIO</t>
  </si>
  <si>
    <t>18/03/25 INICIA</t>
  </si>
  <si>
    <t>18/03/25 ENTRO</t>
  </si>
  <si>
    <t>18/03/25 SALIO</t>
  </si>
  <si>
    <t>19/03/25 INICIA</t>
  </si>
  <si>
    <t>19/03/25 ENTRO</t>
  </si>
  <si>
    <t>19/03/25 SALIO</t>
  </si>
  <si>
    <t>20/03/25 INICIA</t>
  </si>
  <si>
    <t>20/03/25 ENTRO</t>
  </si>
  <si>
    <t>20/03/25 SALIO</t>
  </si>
  <si>
    <t>21/03/25 INICIA</t>
  </si>
  <si>
    <t>21/03/25 ENTRO</t>
  </si>
  <si>
    <t>21/03/25 SALIO</t>
  </si>
  <si>
    <t>22/03/25 INICIA</t>
  </si>
  <si>
    <t>22/03/25 ENTRO</t>
  </si>
  <si>
    <t>22/03/25 SALIO</t>
  </si>
  <si>
    <t>23/03/25 INICIA</t>
  </si>
  <si>
    <t>23/03/25 ENTRO</t>
  </si>
  <si>
    <t>23/03/25 SALIO</t>
  </si>
  <si>
    <t>24/03/25 INICIA</t>
  </si>
  <si>
    <t>24/03/25 ENTRO</t>
  </si>
  <si>
    <t>24/03/25 SALIO</t>
  </si>
  <si>
    <t>25/03/25 INICIA</t>
  </si>
  <si>
    <t>25/03/25 ENTRO</t>
  </si>
  <si>
    <t>25/03/25 SALIO</t>
  </si>
  <si>
    <t>26/03/25 INICIA</t>
  </si>
  <si>
    <t>26/03/25 ENTRO</t>
  </si>
  <si>
    <t>26/03/25 SALIO</t>
  </si>
  <si>
    <t>27/03/25 INICIA</t>
  </si>
  <si>
    <t>27/03/25 ENTRO</t>
  </si>
  <si>
    <t>27/03/25 SALIO</t>
  </si>
  <si>
    <t>28/03/25 INICIA</t>
  </si>
  <si>
    <t>29/03/25 INICIA</t>
  </si>
  <si>
    <t>29/03/25 ENTRO</t>
  </si>
  <si>
    <t>29/03/25 SALIO</t>
  </si>
  <si>
    <t>30/03/25 INICIA</t>
  </si>
  <si>
    <t>BUDWEISER</t>
  </si>
  <si>
    <t>01/03/25 VENTA</t>
  </si>
  <si>
    <t>01/03/25 GANANCIA</t>
  </si>
  <si>
    <t>02/03/25 VENTA</t>
  </si>
  <si>
    <t>02/03/25 GANANCIA</t>
  </si>
  <si>
    <t>03/03/25 VENTA</t>
  </si>
  <si>
    <t>03/03/25 GANANCIA</t>
  </si>
  <si>
    <t>04/03/25 VENTA</t>
  </si>
  <si>
    <t>04/03/25 GANANCIA</t>
  </si>
  <si>
    <t>05/03/25 VENTA</t>
  </si>
  <si>
    <t>05/03/25 GANANCIA</t>
  </si>
  <si>
    <t>06/03/25 VENTA</t>
  </si>
  <si>
    <t>06/03/25 GANANCIA</t>
  </si>
  <si>
    <t>07/03/25 VENTA</t>
  </si>
  <si>
    <t>07/03/25 GANANCIA</t>
  </si>
  <si>
    <t>08/03/25 VENTA</t>
  </si>
  <si>
    <t>08/03/25 GANANCIA</t>
  </si>
  <si>
    <t>09/03/25 VENTA</t>
  </si>
  <si>
    <t>09/03/25 GANANCIA</t>
  </si>
  <si>
    <t>10/03/25 VENTA</t>
  </si>
  <si>
    <t>10/03/25 GANANCIA</t>
  </si>
  <si>
    <t>11/03/25 VENTA</t>
  </si>
  <si>
    <t>11/03/25 GANANCIA</t>
  </si>
  <si>
    <t>12/03/25 VENTA</t>
  </si>
  <si>
    <t>12/03/25 GANANCIA</t>
  </si>
  <si>
    <t>13/03/25 VENTA</t>
  </si>
  <si>
    <t>13/03/25 GANANCIA</t>
  </si>
  <si>
    <t>14/03/25 VENTA</t>
  </si>
  <si>
    <t>14/03/25 GANANCIA</t>
  </si>
  <si>
    <t>15/03/25 VENTA</t>
  </si>
  <si>
    <t>15/03/25 GANANCIA</t>
  </si>
  <si>
    <t>16/03/25 VENTA</t>
  </si>
  <si>
    <t>16/03/25 GANANCIA</t>
  </si>
  <si>
    <t>17/03/25 VENTA</t>
  </si>
  <si>
    <t>17/03/25 GANANCIA</t>
  </si>
  <si>
    <t>18/03/25 VENTA</t>
  </si>
  <si>
    <t>18/03/25 GANANCIA</t>
  </si>
  <si>
    <t>19/03/25 VENTA</t>
  </si>
  <si>
    <t>19/03/25 GANANCIA</t>
  </si>
  <si>
    <t>20/03/25 VENTA</t>
  </si>
  <si>
    <t>20/03/25 GANANCIA</t>
  </si>
  <si>
    <t>21/03/25 VENTA</t>
  </si>
  <si>
    <t>21/03/25 GANANCIA</t>
  </si>
  <si>
    <t>22/03/25 VENTA</t>
  </si>
  <si>
    <t>22/03/25 GANANCIA</t>
  </si>
  <si>
    <t>23/03/25 VENTA</t>
  </si>
  <si>
    <t>23/03/25 GANANCIA</t>
  </si>
  <si>
    <t>24/03/25 VENTA</t>
  </si>
  <si>
    <t>24/03/25 GANANCIA</t>
  </si>
  <si>
    <t>25/03/25 VENTA</t>
  </si>
  <si>
    <t>25/03/25 GANANCIA</t>
  </si>
  <si>
    <t>26/03/25 VENTA</t>
  </si>
  <si>
    <t>26/03/25 GANANCIA</t>
  </si>
  <si>
    <t>27/03/25 VENTA</t>
  </si>
  <si>
    <t>27/03/25 GANANCIA</t>
  </si>
  <si>
    <t>28/03/25 VENTA</t>
  </si>
  <si>
    <t>28/03/25 GANANCIA</t>
  </si>
  <si>
    <t>29/03/25 VENTA</t>
  </si>
  <si>
    <t>29/03/25 GANANCIA</t>
  </si>
  <si>
    <t xml:space="preserve">1 ELETROLIT Y UNA SOL </t>
  </si>
  <si>
    <t>2 MARZO 2025</t>
  </si>
  <si>
    <t xml:space="preserve">1 COCA-COLA </t>
  </si>
  <si>
    <t>3 MARZO 2025</t>
  </si>
  <si>
    <t>4 MARZO 2025</t>
  </si>
  <si>
    <t>5 MARZO 2025</t>
  </si>
  <si>
    <t>6 MARZO 2025</t>
  </si>
  <si>
    <t>7 MARZO 2025</t>
  </si>
  <si>
    <t>8 MARZO 2025</t>
  </si>
  <si>
    <t xml:space="preserve">1/2 ANTIOQUEÑO </t>
  </si>
  <si>
    <t>9 MARZO 2025</t>
  </si>
  <si>
    <t xml:space="preserve">COCA-COLA </t>
  </si>
  <si>
    <t>10 MARZO 2025</t>
  </si>
  <si>
    <t>11 MARZO 2025</t>
  </si>
  <si>
    <t>12 MARZO 2025</t>
  </si>
  <si>
    <t>13 MARZO 2025</t>
  </si>
  <si>
    <t>14 MARZO 2025</t>
  </si>
  <si>
    <t xml:space="preserve">2 CORONITAS 1 AGUILA 1 LIGTH </t>
  </si>
  <si>
    <t>17 MARZO 2025</t>
  </si>
  <si>
    <t>18 MARZO 2025</t>
  </si>
  <si>
    <t>19 MARZO 2025</t>
  </si>
  <si>
    <t>20 MARZO 2025</t>
  </si>
  <si>
    <t>21 MARZO 2025</t>
  </si>
  <si>
    <t>22 MARZO 2025</t>
  </si>
  <si>
    <t>23 MARZO 2025</t>
  </si>
  <si>
    <t>24 MARZO 2025</t>
  </si>
  <si>
    <t>25 MARZO 2025</t>
  </si>
  <si>
    <t>26 MARZO 2025</t>
  </si>
  <si>
    <t>27 MARZO 2025</t>
  </si>
  <si>
    <t>28 MARZO 2025</t>
  </si>
  <si>
    <t>29 MARZO 2025</t>
  </si>
  <si>
    <t>30 MARZO 2025</t>
  </si>
  <si>
    <t>31 MARZO 2025</t>
  </si>
  <si>
    <t>30/03/25 ENTRO</t>
  </si>
  <si>
    <t>31/03/25 ENTRO</t>
  </si>
  <si>
    <t>31/03/25 SALIO</t>
  </si>
  <si>
    <t>31/03/25 INICIA</t>
  </si>
  <si>
    <t>30/03/25 SALIO</t>
  </si>
  <si>
    <t>1 detodito jimena el 31</t>
  </si>
  <si>
    <t>02-04-25INICIA</t>
  </si>
  <si>
    <t>01/04/25ENTRO</t>
  </si>
  <si>
    <t>01/04/25 SALIO</t>
  </si>
  <si>
    <t>SALIO 02/04/</t>
  </si>
  <si>
    <t>03/04/25INICIA</t>
  </si>
  <si>
    <t xml:space="preserve">05/04/25SALIO </t>
  </si>
  <si>
    <t xml:space="preserve">05/04/25INICIA </t>
  </si>
  <si>
    <t xml:space="preserve">05/04/25 ENTRA </t>
  </si>
  <si>
    <t>06/05/25INICIA</t>
  </si>
  <si>
    <t>BONFIEST</t>
  </si>
  <si>
    <t>08/04/25ENTRA</t>
  </si>
  <si>
    <t>08/04/25SALIO</t>
  </si>
  <si>
    <t>09/04/25 ENTRA</t>
  </si>
  <si>
    <t>09/04/25 SALIO</t>
  </si>
  <si>
    <t>10/04/ENTRADA</t>
  </si>
  <si>
    <t>10/04/SALIO</t>
  </si>
  <si>
    <t>12/04ENTRA</t>
  </si>
  <si>
    <t>12/04SALE</t>
  </si>
  <si>
    <t>13/04ENTRA</t>
  </si>
  <si>
    <t>13/04INICIA</t>
  </si>
  <si>
    <t>09/04/25INICIA</t>
  </si>
  <si>
    <t xml:space="preserve">10/04/25  INICIA </t>
  </si>
  <si>
    <t xml:space="preserve">15/04INICIA </t>
  </si>
  <si>
    <t>16/04IINICIA</t>
  </si>
  <si>
    <t>17/04SALE</t>
  </si>
  <si>
    <t>17/04 INICIO</t>
  </si>
  <si>
    <t>16/04SALE</t>
  </si>
  <si>
    <t>16/04ENTRA</t>
  </si>
  <si>
    <t>15/04I SALE</t>
  </si>
  <si>
    <t>15/04IENTRA</t>
  </si>
  <si>
    <t xml:space="preserve">14/04SALIO </t>
  </si>
  <si>
    <t>14/04 ENTRA</t>
  </si>
  <si>
    <t>17/04 ENTRA</t>
  </si>
  <si>
    <t>19/04 ENTRA</t>
  </si>
  <si>
    <t>19/04 SALE</t>
  </si>
  <si>
    <t xml:space="preserve">20/04 INICIA </t>
  </si>
  <si>
    <t>20/04/2025 ENTRA</t>
  </si>
  <si>
    <t>20/04/2025SALE</t>
  </si>
  <si>
    <t>21/04/25 INICIA</t>
  </si>
  <si>
    <t xml:space="preserve">21/04/25 ENTRA   </t>
  </si>
  <si>
    <t>24/ENTRA</t>
  </si>
  <si>
    <t>27/ ENTRA</t>
  </si>
  <si>
    <t xml:space="preserve">28/ INICIA </t>
  </si>
  <si>
    <t>01/04/25 INICIA</t>
  </si>
  <si>
    <t xml:space="preserve">INICIA 02 </t>
  </si>
  <si>
    <t>ENTRA 02</t>
  </si>
  <si>
    <t>SALE 02</t>
  </si>
  <si>
    <t>INICIA 03</t>
  </si>
  <si>
    <t>INICIA 01</t>
  </si>
  <si>
    <t>ENTRA 01</t>
  </si>
  <si>
    <t>SALE 01</t>
  </si>
  <si>
    <t>ENTRA 03</t>
  </si>
  <si>
    <t>SALE 03</t>
  </si>
  <si>
    <t>INICA 04</t>
  </si>
  <si>
    <t>ENTRA 04</t>
  </si>
  <si>
    <t>SALIO 04</t>
  </si>
  <si>
    <t>INICIA 05</t>
  </si>
  <si>
    <t>ENTRA 05</t>
  </si>
  <si>
    <t>SALIO 05</t>
  </si>
  <si>
    <t>INICIA 06</t>
  </si>
  <si>
    <t>19/04 INICIA</t>
  </si>
  <si>
    <t xml:space="preserve">21/04 SALIO </t>
  </si>
  <si>
    <t>22/ INICIA</t>
  </si>
  <si>
    <t xml:space="preserve">22/ ENTRA  </t>
  </si>
  <si>
    <t>22/ SALIO</t>
  </si>
  <si>
    <t xml:space="preserve">23/INICIA </t>
  </si>
  <si>
    <t>23/ ENTRA</t>
  </si>
  <si>
    <t xml:space="preserve">23/ SALIO </t>
  </si>
  <si>
    <t xml:space="preserve">24/INICA </t>
  </si>
  <si>
    <t>24/ SALIO</t>
  </si>
  <si>
    <t xml:space="preserve">25/INICIA </t>
  </si>
  <si>
    <t>25/ ENTRA</t>
  </si>
  <si>
    <t>27/ SALIO</t>
  </si>
  <si>
    <t>28/ ENTRA</t>
  </si>
  <si>
    <t>28/ SALIO</t>
  </si>
  <si>
    <t xml:space="preserve">29/ INICIA </t>
  </si>
  <si>
    <t>29/ ENTRA</t>
  </si>
  <si>
    <t>29/ SALIO</t>
  </si>
  <si>
    <t>30/ INICIA</t>
  </si>
  <si>
    <t>30/ ENTRA</t>
  </si>
  <si>
    <t>30/ SALIO</t>
  </si>
  <si>
    <t>INICIA 01/05</t>
  </si>
  <si>
    <t>06/04/2025ENTRA</t>
  </si>
  <si>
    <t>06/04/202SALIO</t>
  </si>
  <si>
    <t>08/04/202INICIO</t>
  </si>
  <si>
    <t xml:space="preserve">07/04/2025 INICIA </t>
  </si>
  <si>
    <t>07/04/2025 ENTRA</t>
  </si>
  <si>
    <t>07/04SALE</t>
  </si>
  <si>
    <t>25 SALE</t>
  </si>
  <si>
    <t xml:space="preserve">27 INICIO </t>
  </si>
  <si>
    <t>ENTRA 02/04/25</t>
  </si>
  <si>
    <t>03/04 ENTRO</t>
  </si>
  <si>
    <t>03/04/SALIO</t>
  </si>
  <si>
    <t xml:space="preserve">04/04/INICIA </t>
  </si>
  <si>
    <t>4/ 4ENTRA</t>
  </si>
  <si>
    <t xml:space="preserve">04/04/25SALIO </t>
  </si>
  <si>
    <t xml:space="preserve">1104/INICIA </t>
  </si>
  <si>
    <t>12/04 INICIA</t>
  </si>
  <si>
    <t>11/04 ENTRA</t>
  </si>
  <si>
    <t>11/04 SALIO</t>
  </si>
  <si>
    <t>13/04SALE</t>
  </si>
  <si>
    <t>14/04INICIA</t>
  </si>
  <si>
    <t>06 ENTRA</t>
  </si>
  <si>
    <t>06 SALIO</t>
  </si>
  <si>
    <t xml:space="preserve">07 INICIA </t>
  </si>
  <si>
    <t>07 ENTRA</t>
  </si>
  <si>
    <t xml:space="preserve">07 SALIO </t>
  </si>
  <si>
    <t>INICIA 08</t>
  </si>
  <si>
    <t>ENTRA 08</t>
  </si>
  <si>
    <t>SALIO 08</t>
  </si>
  <si>
    <t>INICIA 09</t>
  </si>
  <si>
    <t>ENTRA 09</t>
  </si>
  <si>
    <t>SALIO 09</t>
  </si>
  <si>
    <t xml:space="preserve">INICIA 10 </t>
  </si>
  <si>
    <t>ENTRTA 10</t>
  </si>
  <si>
    <t>SALIO 10</t>
  </si>
  <si>
    <t>INICIA 11</t>
  </si>
  <si>
    <t>ENTRA 11</t>
  </si>
  <si>
    <t>SALIO 11</t>
  </si>
  <si>
    <t xml:space="preserve">INICIA 12 </t>
  </si>
  <si>
    <t>ENTRA 12</t>
  </si>
  <si>
    <t xml:space="preserve">SALIO 12 </t>
  </si>
  <si>
    <t>INICIA 13</t>
  </si>
  <si>
    <t>ENTRA 13</t>
  </si>
  <si>
    <t>SALE 13</t>
  </si>
  <si>
    <t xml:space="preserve">INICIA 14 </t>
  </si>
  <si>
    <t>PAPAS TOMATE</t>
  </si>
  <si>
    <t>TODO RICO BQQ</t>
  </si>
  <si>
    <t>TODO RCIO ORIGAL</t>
  </si>
  <si>
    <t>PAPAS POLLO</t>
  </si>
  <si>
    <t xml:space="preserve">1/4 ANTIOQUEÑO </t>
  </si>
  <si>
    <t xml:space="preserve">TODO RICO GRANDE </t>
  </si>
  <si>
    <t>PAPAS BQQ</t>
  </si>
  <si>
    <t>ENTRA 14</t>
  </si>
  <si>
    <t>1/2 MUSTANG BLANCO</t>
  </si>
  <si>
    <t xml:space="preserve">01-05 VENTA </t>
  </si>
  <si>
    <t>01-05 GANANCIA</t>
  </si>
  <si>
    <t>2/05/2025 VENTA</t>
  </si>
  <si>
    <t>2/05 GANANCIA</t>
  </si>
  <si>
    <t>3/05 VENTA</t>
  </si>
  <si>
    <t>3/5GANANCIA</t>
  </si>
  <si>
    <t>4/5 VENTA</t>
  </si>
  <si>
    <t>4/5 GANANCIA</t>
  </si>
  <si>
    <t>5/5 VENTA</t>
  </si>
  <si>
    <t>5/5GANANCIA</t>
  </si>
  <si>
    <t xml:space="preserve">6/5 VENTA </t>
  </si>
  <si>
    <t xml:space="preserve">6/5 GANANCIA </t>
  </si>
  <si>
    <t>7/5 VENTA</t>
  </si>
  <si>
    <t>7/5 GANANCIA</t>
  </si>
  <si>
    <t>8/5 VENTA</t>
  </si>
  <si>
    <t>8/5 GANANCIA</t>
  </si>
  <si>
    <t>9/5 VENTA</t>
  </si>
  <si>
    <t>9/5 GANANCIA</t>
  </si>
  <si>
    <t>10/05 VENTA</t>
  </si>
  <si>
    <t>10/05 GANANCIA</t>
  </si>
  <si>
    <t>11/05 VENTA</t>
  </si>
  <si>
    <t xml:space="preserve">11/05 GANCIA </t>
  </si>
  <si>
    <t>12/05 VENTA</t>
  </si>
  <si>
    <t>12/GANANCIA</t>
  </si>
  <si>
    <t xml:space="preserve">13/05 VENTA </t>
  </si>
  <si>
    <t xml:space="preserve">13/05 GANANCIA </t>
  </si>
  <si>
    <t>14/05 VENTA</t>
  </si>
  <si>
    <t>14/05 GANANCIA</t>
  </si>
  <si>
    <t xml:space="preserve">1/4 DE ANTIOQUEÑO </t>
  </si>
  <si>
    <t>TODO RICO GRANDE</t>
  </si>
  <si>
    <t xml:space="preserve">BONFIEST </t>
  </si>
  <si>
    <t>SALE 14</t>
  </si>
  <si>
    <t xml:space="preserve">15 INICIA </t>
  </si>
  <si>
    <t>15 ENTRA</t>
  </si>
  <si>
    <t>15 SALE</t>
  </si>
  <si>
    <t>16 INICIA</t>
  </si>
  <si>
    <t>15/05 VENTA</t>
  </si>
  <si>
    <t>15/05 GANANCIA</t>
  </si>
  <si>
    <t xml:space="preserve">16 SALE </t>
  </si>
  <si>
    <t xml:space="preserve">17 INICIA </t>
  </si>
  <si>
    <t>16 ENTRA AAV1:AX55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</si>
</sst>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\ #,##0;[Red]\-&quot;$&quot;\ #,##0"/>
    <numFmt numFmtId="164" formatCode="&quot;$&quot;#,##0"/>
    <numFmt numFmtId="165" formatCode="mm/dd/yy"/>
    <numFmt numFmtId="166" formatCode="&quot;$&quot;#,##0.00"/>
    <numFmt numFmtId="167" formatCode="dd\ mmm\ yyyy"/>
  </numFmts>
  <fonts count="13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FFFFFF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theme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6" tint="0.79998168889431442"/>
        <bgColor theme="0"/>
      </patternFill>
    </fill>
    <fill>
      <patternFill patternType="solid">
        <fgColor rgb="FF00B05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C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FFFFFF"/>
      </patternFill>
    </fill>
    <fill>
      <patternFill patternType="solid">
        <fgColor rgb="FF336699"/>
        <bgColor indexed="64"/>
      </patternFill>
    </fill>
    <fill>
      <patternFill patternType="solid">
        <fgColor rgb="FF336699"/>
        <bgColor rgb="FFFFFFFF"/>
      </patternFill>
    </fill>
    <fill>
      <patternFill patternType="solid">
        <fgColor rgb="FF00CC66"/>
        <bgColor indexed="64"/>
      </patternFill>
    </fill>
    <fill>
      <patternFill patternType="solid">
        <fgColor rgb="FF00CC66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rgb="FF9933FF"/>
        <bgColor indexed="64"/>
      </patternFill>
    </fill>
    <fill>
      <patternFill patternType="solid">
        <fgColor rgb="FF9933FF"/>
        <bgColor rgb="FFFFFF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499984740745262"/>
        <bgColor rgb="FFFFFFFF"/>
      </patternFill>
    </fill>
    <fill>
      <patternFill patternType="solid">
        <fgColor theme="6" tint="-0.499984740745262"/>
        <bgColor theme="0"/>
      </patternFill>
    </fill>
    <fill>
      <patternFill patternType="solid">
        <fgColor rgb="FF00B050"/>
        <bgColor rgb="FFFFFFFF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2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2" xfId="0" applyFont="1" applyBorder="1" applyAlignment="1"/>
    <xf numFmtId="0" fontId="1" fillId="0" borderId="4" xfId="0" applyFont="1" applyBorder="1" applyAlignment="1"/>
    <xf numFmtId="0" fontId="1" fillId="0" borderId="4" xfId="0" applyFont="1" applyBorder="1" applyAlignment="1">
      <alignment horizontal="center"/>
    </xf>
    <xf numFmtId="0" fontId="2" fillId="0" borderId="4" xfId="0" applyFont="1" applyBorder="1" applyAlignment="1"/>
    <xf numFmtId="0" fontId="2" fillId="0" borderId="4" xfId="0" applyFont="1" applyBorder="1" applyAlignment="1"/>
    <xf numFmtId="3" fontId="3" fillId="2" borderId="4" xfId="0" applyNumberFormat="1" applyFont="1" applyFill="1" applyBorder="1" applyAlignment="1"/>
    <xf numFmtId="0" fontId="3" fillId="2" borderId="4" xfId="0" applyFont="1" applyFill="1" applyBorder="1" applyAlignment="1"/>
    <xf numFmtId="0" fontId="2" fillId="0" borderId="4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1" fillId="0" borderId="4" xfId="0" applyFont="1" applyBorder="1" applyAlignment="1"/>
    <xf numFmtId="3" fontId="2" fillId="0" borderId="4" xfId="0" applyNumberFormat="1" applyFont="1" applyBorder="1" applyAlignment="1"/>
    <xf numFmtId="3" fontId="2" fillId="0" borderId="4" xfId="0" applyNumberFormat="1" applyFont="1" applyBorder="1" applyAlignment="1">
      <alignment horizontal="right"/>
    </xf>
    <xf numFmtId="0" fontId="1" fillId="0" borderId="4" xfId="0" applyFont="1" applyBorder="1" applyAlignment="1"/>
    <xf numFmtId="3" fontId="2" fillId="2" borderId="4" xfId="0" applyNumberFormat="1" applyFont="1" applyFill="1" applyBorder="1" applyAlignment="1"/>
    <xf numFmtId="3" fontId="2" fillId="2" borderId="4" xfId="0" applyNumberFormat="1" applyFont="1" applyFill="1" applyBorder="1" applyAlignment="1">
      <alignment horizontal="right"/>
    </xf>
    <xf numFmtId="0" fontId="3" fillId="0" borderId="4" xfId="0" applyFont="1" applyBorder="1" applyAlignment="1"/>
    <xf numFmtId="3" fontId="3" fillId="0" borderId="4" xfId="0" applyNumberFormat="1" applyFont="1" applyBorder="1" applyAlignment="1"/>
    <xf numFmtId="0" fontId="4" fillId="0" borderId="4" xfId="0" applyFont="1" applyBorder="1" applyAlignment="1"/>
    <xf numFmtId="0" fontId="3" fillId="0" borderId="0" xfId="0" applyFont="1" applyAlignment="1"/>
    <xf numFmtId="0" fontId="2" fillId="0" borderId="0" xfId="0" applyFont="1" applyAlignment="1"/>
    <xf numFmtId="0" fontId="3" fillId="0" borderId="4" xfId="0" applyFont="1" applyBorder="1"/>
    <xf numFmtId="0" fontId="1" fillId="0" borderId="0" xfId="0" applyFont="1" applyAlignment="1">
      <alignment horizontal="center"/>
    </xf>
    <xf numFmtId="3" fontId="2" fillId="0" borderId="4" xfId="0" applyNumberFormat="1" applyFont="1" applyBorder="1" applyAlignment="1">
      <alignment horizontal="right"/>
    </xf>
    <xf numFmtId="3" fontId="3" fillId="0" borderId="4" xfId="0" applyNumberFormat="1" applyFont="1" applyBorder="1"/>
    <xf numFmtId="0" fontId="3" fillId="3" borderId="4" xfId="0" applyFont="1" applyFill="1" applyBorder="1" applyAlignment="1"/>
    <xf numFmtId="3" fontId="3" fillId="2" borderId="4" xfId="0" applyNumberFormat="1" applyFont="1" applyFill="1" applyBorder="1"/>
    <xf numFmtId="0" fontId="2" fillId="0" borderId="0" xfId="0" applyFont="1" applyAlignment="1"/>
    <xf numFmtId="3" fontId="2" fillId="3" borderId="4" xfId="0" applyNumberFormat="1" applyFont="1" applyFill="1" applyBorder="1" applyAlignment="1"/>
    <xf numFmtId="0" fontId="2" fillId="2" borderId="4" xfId="0" applyFont="1" applyFill="1" applyBorder="1" applyAlignment="1"/>
    <xf numFmtId="0" fontId="2" fillId="2" borderId="4" xfId="0" applyFont="1" applyFill="1" applyBorder="1" applyAlignment="1"/>
    <xf numFmtId="0" fontId="1" fillId="0" borderId="0" xfId="0" applyFont="1" applyAlignment="1"/>
    <xf numFmtId="3" fontId="2" fillId="0" borderId="0" xfId="0" applyNumberFormat="1" applyFont="1" applyAlignment="1">
      <alignment horizontal="right"/>
    </xf>
    <xf numFmtId="0" fontId="3" fillId="2" borderId="0" xfId="0" applyFont="1" applyFill="1"/>
    <xf numFmtId="0" fontId="3" fillId="2" borderId="0" xfId="0" applyFont="1" applyFill="1" applyAlignment="1"/>
    <xf numFmtId="0" fontId="3" fillId="3" borderId="0" xfId="0" applyFont="1" applyFill="1" applyAlignment="1"/>
    <xf numFmtId="0" fontId="1" fillId="0" borderId="0" xfId="0" applyFont="1" applyAlignment="1"/>
    <xf numFmtId="3" fontId="3" fillId="0" borderId="0" xfId="0" applyNumberFormat="1" applyFont="1"/>
    <xf numFmtId="3" fontId="2" fillId="0" borderId="0" xfId="0" applyNumberFormat="1" applyFont="1" applyAlignment="1"/>
    <xf numFmtId="164" fontId="3" fillId="0" borderId="0" xfId="0" applyNumberFormat="1" applyFont="1" applyAlignment="1"/>
    <xf numFmtId="3" fontId="2" fillId="0" borderId="4" xfId="0" applyNumberFormat="1" applyFont="1" applyBorder="1" applyAlignment="1"/>
    <xf numFmtId="164" fontId="3" fillId="0" borderId="4" xfId="0" applyNumberFormat="1" applyFont="1" applyBorder="1" applyAlignment="1"/>
    <xf numFmtId="164" fontId="3" fillId="3" borderId="4" xfId="0" applyNumberFormat="1" applyFont="1" applyFill="1" applyBorder="1"/>
    <xf numFmtId="164" fontId="2" fillId="0" borderId="4" xfId="0" applyNumberFormat="1" applyFont="1" applyBorder="1" applyAlignment="1">
      <alignment horizontal="right"/>
    </xf>
    <xf numFmtId="0" fontId="2" fillId="2" borderId="0" xfId="0" applyFont="1" applyFill="1" applyAlignment="1"/>
    <xf numFmtId="165" fontId="3" fillId="0" borderId="4" xfId="0" applyNumberFormat="1" applyFont="1" applyBorder="1" applyAlignment="1">
      <alignment horizontal="left"/>
    </xf>
    <xf numFmtId="4" fontId="3" fillId="0" borderId="4" xfId="0" applyNumberFormat="1" applyFont="1" applyBorder="1" applyAlignment="1"/>
    <xf numFmtId="0" fontId="1" fillId="0" borderId="5" xfId="0" applyFont="1" applyBorder="1" applyAlignment="1"/>
    <xf numFmtId="0" fontId="1" fillId="0" borderId="5" xfId="0" applyFont="1" applyBorder="1" applyAlignment="1"/>
    <xf numFmtId="0" fontId="4" fillId="0" borderId="5" xfId="0" applyFont="1" applyBorder="1" applyAlignment="1"/>
    <xf numFmtId="0" fontId="4" fillId="0" borderId="6" xfId="0" applyFont="1" applyBorder="1" applyAlignment="1"/>
    <xf numFmtId="166" fontId="3" fillId="0" borderId="7" xfId="0" applyNumberFormat="1" applyFont="1" applyBorder="1" applyAlignment="1"/>
    <xf numFmtId="0" fontId="3" fillId="0" borderId="3" xfId="0" applyFont="1" applyBorder="1" applyAlignment="1">
      <alignment horizontal="center"/>
    </xf>
    <xf numFmtId="167" fontId="2" fillId="0" borderId="7" xfId="0" applyNumberFormat="1" applyFont="1" applyBorder="1" applyAlignment="1"/>
    <xf numFmtId="3" fontId="2" fillId="0" borderId="7" xfId="0" applyNumberFormat="1" applyFont="1" applyBorder="1" applyAlignment="1">
      <alignment horizontal="right"/>
    </xf>
    <xf numFmtId="3" fontId="3" fillId="0" borderId="7" xfId="0" applyNumberFormat="1" applyFont="1" applyBorder="1" applyAlignment="1"/>
    <xf numFmtId="3" fontId="3" fillId="0" borderId="7" xfId="0" applyNumberFormat="1" applyFont="1" applyBorder="1"/>
    <xf numFmtId="164" fontId="3" fillId="0" borderId="7" xfId="0" applyNumberFormat="1" applyFont="1" applyBorder="1" applyAlignment="1"/>
    <xf numFmtId="166" fontId="3" fillId="0" borderId="7" xfId="0" applyNumberFormat="1" applyFont="1" applyBorder="1"/>
    <xf numFmtId="0" fontId="3" fillId="0" borderId="3" xfId="0" applyFont="1" applyBorder="1"/>
    <xf numFmtId="3" fontId="2" fillId="0" borderId="7" xfId="0" applyNumberFormat="1" applyFont="1" applyBorder="1" applyAlignment="1"/>
    <xf numFmtId="3" fontId="2" fillId="2" borderId="7" xfId="0" applyNumberFormat="1" applyFont="1" applyFill="1" applyBorder="1" applyAlignment="1"/>
    <xf numFmtId="3" fontId="2" fillId="2" borderId="7" xfId="0" applyNumberFormat="1" applyFont="1" applyFill="1" applyBorder="1" applyAlignment="1"/>
    <xf numFmtId="0" fontId="3" fillId="0" borderId="3" xfId="0" applyFont="1" applyBorder="1" applyAlignment="1"/>
    <xf numFmtId="167" fontId="2" fillId="0" borderId="0" xfId="0" applyNumberFormat="1" applyFont="1" applyAlignment="1"/>
    <xf numFmtId="3" fontId="2" fillId="2" borderId="0" xfId="0" applyNumberFormat="1" applyFont="1" applyFill="1" applyAlignment="1"/>
    <xf numFmtId="3" fontId="3" fillId="0" borderId="0" xfId="0" applyNumberFormat="1" applyFont="1" applyAlignment="1"/>
    <xf numFmtId="0" fontId="1" fillId="0" borderId="7" xfId="0" applyFont="1" applyBorder="1" applyAlignment="1"/>
    <xf numFmtId="0" fontId="1" fillId="0" borderId="7" xfId="0" applyFont="1" applyBorder="1" applyAlignment="1"/>
    <xf numFmtId="0" fontId="4" fillId="0" borderId="7" xfId="0" applyFont="1" applyBorder="1" applyAlignment="1"/>
    <xf numFmtId="3" fontId="2" fillId="0" borderId="0" xfId="0" applyNumberFormat="1" applyFont="1" applyAlignment="1">
      <alignment horizontal="right"/>
    </xf>
    <xf numFmtId="166" fontId="3" fillId="0" borderId="0" xfId="0" applyNumberFormat="1" applyFont="1"/>
    <xf numFmtId="0" fontId="2" fillId="2" borderId="0" xfId="0" applyFont="1" applyFill="1" applyAlignment="1"/>
    <xf numFmtId="0" fontId="1" fillId="2" borderId="4" xfId="0" applyFont="1" applyFill="1" applyBorder="1" applyAlignment="1">
      <alignment horizontal="center"/>
    </xf>
    <xf numFmtId="0" fontId="3" fillId="2" borderId="4" xfId="0" applyFont="1" applyFill="1" applyBorder="1"/>
    <xf numFmtId="0" fontId="2" fillId="2" borderId="4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3" fontId="2" fillId="2" borderId="4" xfId="0" applyNumberFormat="1" applyFont="1" applyFill="1" applyBorder="1" applyAlignment="1">
      <alignment horizontal="right"/>
    </xf>
    <xf numFmtId="0" fontId="2" fillId="4" borderId="4" xfId="0" applyFont="1" applyFill="1" applyBorder="1" applyAlignment="1">
      <alignment horizontal="right"/>
    </xf>
    <xf numFmtId="0" fontId="6" fillId="2" borderId="4" xfId="0" applyFont="1" applyFill="1" applyBorder="1" applyAlignment="1"/>
    <xf numFmtId="164" fontId="3" fillId="0" borderId="4" xfId="0" applyNumberFormat="1" applyFont="1" applyBorder="1"/>
    <xf numFmtId="3" fontId="6" fillId="2" borderId="4" xfId="0" applyNumberFormat="1" applyFont="1" applyFill="1" applyBorder="1" applyAlignment="1">
      <alignment horizontal="right"/>
    </xf>
    <xf numFmtId="0" fontId="2" fillId="0" borderId="7" xfId="0" applyFont="1" applyBorder="1" applyAlignment="1">
      <alignment horizontal="right"/>
    </xf>
    <xf numFmtId="3" fontId="2" fillId="0" borderId="7" xfId="0" applyNumberFormat="1" applyFont="1" applyBorder="1" applyAlignment="1"/>
    <xf numFmtId="164" fontId="2" fillId="0" borderId="7" xfId="0" applyNumberFormat="1" applyFont="1" applyBorder="1" applyAlignment="1"/>
    <xf numFmtId="0" fontId="2" fillId="0" borderId="7" xfId="0" applyFont="1" applyBorder="1" applyAlignment="1"/>
    <xf numFmtId="3" fontId="2" fillId="0" borderId="7" xfId="0" applyNumberFormat="1" applyFont="1" applyBorder="1" applyAlignment="1">
      <alignment horizontal="right"/>
    </xf>
    <xf numFmtId="164" fontId="2" fillId="0" borderId="7" xfId="0" applyNumberFormat="1" applyFont="1" applyBorder="1" applyAlignment="1">
      <alignment horizontal="right"/>
    </xf>
    <xf numFmtId="0" fontId="2" fillId="0" borderId="3" xfId="0" applyFont="1" applyBorder="1" applyAlignment="1"/>
    <xf numFmtId="0" fontId="2" fillId="0" borderId="3" xfId="0" applyFont="1" applyBorder="1" applyAlignment="1"/>
    <xf numFmtId="167" fontId="2" fillId="0" borderId="0" xfId="0" applyNumberFormat="1" applyFont="1" applyAlignment="1"/>
    <xf numFmtId="3" fontId="2" fillId="2" borderId="0" xfId="0" applyNumberFormat="1" applyFont="1" applyFill="1" applyAlignment="1">
      <alignment horizontal="right"/>
    </xf>
    <xf numFmtId="3" fontId="2" fillId="2" borderId="0" xfId="0" applyNumberFormat="1" applyFont="1" applyFill="1" applyAlignment="1"/>
    <xf numFmtId="164" fontId="2" fillId="0" borderId="0" xfId="0" applyNumberFormat="1" applyFont="1" applyAlignment="1"/>
    <xf numFmtId="164" fontId="2" fillId="2" borderId="7" xfId="0" applyNumberFormat="1" applyFont="1" applyFill="1" applyBorder="1" applyAlignment="1"/>
    <xf numFmtId="0" fontId="2" fillId="0" borderId="8" xfId="0" applyFont="1" applyBorder="1" applyAlignment="1"/>
    <xf numFmtId="0" fontId="2" fillId="0" borderId="9" xfId="0" applyFont="1" applyBorder="1" applyAlignment="1">
      <alignment horizontal="right"/>
    </xf>
    <xf numFmtId="164" fontId="2" fillId="2" borderId="9" xfId="0" applyNumberFormat="1" applyFont="1" applyFill="1" applyBorder="1" applyAlignment="1"/>
    <xf numFmtId="3" fontId="2" fillId="2" borderId="9" xfId="0" applyNumberFormat="1" applyFont="1" applyFill="1" applyBorder="1" applyAlignment="1"/>
    <xf numFmtId="0" fontId="2" fillId="0" borderId="9" xfId="0" applyFont="1" applyBorder="1" applyAlignment="1"/>
    <xf numFmtId="0" fontId="2" fillId="0" borderId="7" xfId="0" applyFont="1" applyBorder="1" applyAlignment="1"/>
    <xf numFmtId="3" fontId="2" fillId="0" borderId="9" xfId="0" applyNumberFormat="1" applyFont="1" applyBorder="1" applyAlignment="1">
      <alignment horizontal="right"/>
    </xf>
    <xf numFmtId="164" fontId="3" fillId="0" borderId="7" xfId="0" applyNumberFormat="1" applyFont="1" applyBorder="1"/>
    <xf numFmtId="0" fontId="1" fillId="5" borderId="4" xfId="0" applyFont="1" applyFill="1" applyBorder="1" applyAlignment="1"/>
    <xf numFmtId="3" fontId="3" fillId="6" borderId="4" xfId="0" applyNumberFormat="1" applyFont="1" applyFill="1" applyBorder="1"/>
    <xf numFmtId="0" fontId="3" fillId="6" borderId="4" xfId="0" applyFont="1" applyFill="1" applyBorder="1" applyAlignment="1"/>
    <xf numFmtId="3" fontId="3" fillId="6" borderId="4" xfId="0" applyNumberFormat="1" applyFont="1" applyFill="1" applyBorder="1" applyAlignment="1"/>
    <xf numFmtId="0" fontId="2" fillId="6" borderId="4" xfId="0" applyFont="1" applyFill="1" applyBorder="1" applyAlignment="1">
      <alignment horizontal="right"/>
    </xf>
    <xf numFmtId="3" fontId="2" fillId="6" borderId="4" xfId="0" applyNumberFormat="1" applyFont="1" applyFill="1" applyBorder="1" applyAlignment="1">
      <alignment horizontal="right"/>
    </xf>
    <xf numFmtId="0" fontId="0" fillId="5" borderId="0" xfId="0" applyFont="1" applyFill="1" applyAlignment="1"/>
    <xf numFmtId="0" fontId="0" fillId="7" borderId="0" xfId="0" applyFont="1" applyFill="1" applyAlignment="1"/>
    <xf numFmtId="0" fontId="1" fillId="8" borderId="4" xfId="0" applyFont="1" applyFill="1" applyBorder="1" applyAlignment="1"/>
    <xf numFmtId="3" fontId="3" fillId="9" borderId="4" xfId="0" applyNumberFormat="1" applyFont="1" applyFill="1" applyBorder="1"/>
    <xf numFmtId="0" fontId="3" fillId="9" borderId="4" xfId="0" applyFont="1" applyFill="1" applyBorder="1" applyAlignment="1"/>
    <xf numFmtId="3" fontId="3" fillId="9" borderId="4" xfId="0" applyNumberFormat="1" applyFont="1" applyFill="1" applyBorder="1" applyAlignment="1"/>
    <xf numFmtId="0" fontId="2" fillId="9" borderId="4" xfId="0" applyFont="1" applyFill="1" applyBorder="1" applyAlignment="1">
      <alignment horizontal="right"/>
    </xf>
    <xf numFmtId="3" fontId="2" fillId="9" borderId="4" xfId="0" applyNumberFormat="1" applyFont="1" applyFill="1" applyBorder="1" applyAlignment="1">
      <alignment horizontal="right"/>
    </xf>
    <xf numFmtId="0" fontId="2" fillId="10" borderId="4" xfId="0" applyFont="1" applyFill="1" applyBorder="1" applyAlignment="1">
      <alignment horizontal="right"/>
    </xf>
    <xf numFmtId="3" fontId="2" fillId="10" borderId="4" xfId="0" applyNumberFormat="1" applyFont="1" applyFill="1" applyBorder="1" applyAlignment="1">
      <alignment horizontal="right"/>
    </xf>
    <xf numFmtId="0" fontId="0" fillId="8" borderId="0" xfId="0" applyFont="1" applyFill="1" applyAlignment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2" fillId="10" borderId="1" xfId="0" applyNumberFormat="1" applyFont="1" applyFill="1" applyBorder="1" applyAlignment="1">
      <alignment horizontal="right"/>
    </xf>
    <xf numFmtId="0" fontId="1" fillId="2" borderId="10" xfId="0" applyFont="1" applyFill="1" applyBorder="1" applyAlignment="1">
      <alignment horizontal="center"/>
    </xf>
    <xf numFmtId="0" fontId="0" fillId="0" borderId="10" xfId="0" applyFont="1" applyBorder="1" applyAlignment="1"/>
    <xf numFmtId="0" fontId="2" fillId="2" borderId="10" xfId="0" applyFont="1" applyFill="1" applyBorder="1" applyAlignment="1">
      <alignment horizontal="right"/>
    </xf>
    <xf numFmtId="0" fontId="0" fillId="8" borderId="10" xfId="0" applyFont="1" applyFill="1" applyBorder="1" applyAlignment="1"/>
    <xf numFmtId="0" fontId="0" fillId="5" borderId="10" xfId="0" applyFont="1" applyFill="1" applyBorder="1" applyAlignment="1"/>
    <xf numFmtId="0" fontId="0" fillId="7" borderId="10" xfId="0" applyFont="1" applyFill="1" applyBorder="1" applyAlignment="1"/>
    <xf numFmtId="0" fontId="1" fillId="11" borderId="4" xfId="0" applyFont="1" applyFill="1" applyBorder="1" applyAlignment="1"/>
    <xf numFmtId="3" fontId="3" fillId="12" borderId="4" xfId="0" applyNumberFormat="1" applyFont="1" applyFill="1" applyBorder="1"/>
    <xf numFmtId="0" fontId="3" fillId="12" borderId="4" xfId="0" applyFont="1" applyFill="1" applyBorder="1" applyAlignment="1"/>
    <xf numFmtId="3" fontId="3" fillId="12" borderId="4" xfId="0" applyNumberFormat="1" applyFont="1" applyFill="1" applyBorder="1" applyAlignment="1"/>
    <xf numFmtId="0" fontId="2" fillId="12" borderId="4" xfId="0" applyFont="1" applyFill="1" applyBorder="1" applyAlignment="1">
      <alignment horizontal="right"/>
    </xf>
    <xf numFmtId="3" fontId="2" fillId="12" borderId="4" xfId="0" applyNumberFormat="1" applyFont="1" applyFill="1" applyBorder="1" applyAlignment="1">
      <alignment horizontal="right"/>
    </xf>
    <xf numFmtId="0" fontId="2" fillId="13" borderId="4" xfId="0" applyFont="1" applyFill="1" applyBorder="1" applyAlignment="1">
      <alignment horizontal="right"/>
    </xf>
    <xf numFmtId="3" fontId="2" fillId="13" borderId="4" xfId="0" applyNumberFormat="1" applyFont="1" applyFill="1" applyBorder="1" applyAlignment="1">
      <alignment horizontal="right"/>
    </xf>
    <xf numFmtId="3" fontId="2" fillId="13" borderId="1" xfId="0" applyNumberFormat="1" applyFont="1" applyFill="1" applyBorder="1" applyAlignment="1">
      <alignment horizontal="right"/>
    </xf>
    <xf numFmtId="0" fontId="0" fillId="11" borderId="10" xfId="0" applyFont="1" applyFill="1" applyBorder="1" applyAlignment="1"/>
    <xf numFmtId="0" fontId="0" fillId="11" borderId="0" xfId="0" applyFont="1" applyFill="1" applyAlignment="1"/>
    <xf numFmtId="0" fontId="0" fillId="14" borderId="10" xfId="0" applyFont="1" applyFill="1" applyBorder="1" applyAlignment="1"/>
    <xf numFmtId="0" fontId="1" fillId="15" borderId="4" xfId="0" applyFont="1" applyFill="1" applyBorder="1" applyAlignment="1"/>
    <xf numFmtId="3" fontId="3" fillId="16" borderId="4" xfId="0" applyNumberFormat="1" applyFont="1" applyFill="1" applyBorder="1"/>
    <xf numFmtId="0" fontId="3" fillId="16" borderId="4" xfId="0" applyFont="1" applyFill="1" applyBorder="1" applyAlignment="1"/>
    <xf numFmtId="3" fontId="3" fillId="16" borderId="4" xfId="0" applyNumberFormat="1" applyFont="1" applyFill="1" applyBorder="1" applyAlignment="1"/>
    <xf numFmtId="0" fontId="2" fillId="16" borderId="4" xfId="0" applyFont="1" applyFill="1" applyBorder="1" applyAlignment="1">
      <alignment horizontal="right"/>
    </xf>
    <xf numFmtId="3" fontId="2" fillId="16" borderId="4" xfId="0" applyNumberFormat="1" applyFont="1" applyFill="1" applyBorder="1" applyAlignment="1">
      <alignment horizontal="right"/>
    </xf>
    <xf numFmtId="0" fontId="2" fillId="16" borderId="1" xfId="0" applyFont="1" applyFill="1" applyBorder="1" applyAlignment="1">
      <alignment horizontal="right"/>
    </xf>
    <xf numFmtId="0" fontId="0" fillId="15" borderId="10" xfId="0" applyFont="1" applyFill="1" applyBorder="1" applyAlignment="1"/>
    <xf numFmtId="0" fontId="0" fillId="15" borderId="0" xfId="0" applyFont="1" applyFill="1" applyAlignment="1"/>
    <xf numFmtId="0" fontId="1" fillId="17" borderId="4" xfId="0" applyFont="1" applyFill="1" applyBorder="1" applyAlignment="1"/>
    <xf numFmtId="3" fontId="3" fillId="18" borderId="4" xfId="0" applyNumberFormat="1" applyFont="1" applyFill="1" applyBorder="1"/>
    <xf numFmtId="0" fontId="3" fillId="18" borderId="4" xfId="0" applyFont="1" applyFill="1" applyBorder="1" applyAlignment="1"/>
    <xf numFmtId="3" fontId="3" fillId="18" borderId="4" xfId="0" applyNumberFormat="1" applyFont="1" applyFill="1" applyBorder="1" applyAlignment="1"/>
    <xf numFmtId="0" fontId="2" fillId="18" borderId="4" xfId="0" applyFont="1" applyFill="1" applyBorder="1" applyAlignment="1">
      <alignment horizontal="right"/>
    </xf>
    <xf numFmtId="3" fontId="2" fillId="18" borderId="4" xfId="0" applyNumberFormat="1" applyFont="1" applyFill="1" applyBorder="1" applyAlignment="1">
      <alignment horizontal="right"/>
    </xf>
    <xf numFmtId="3" fontId="2" fillId="18" borderId="1" xfId="0" applyNumberFormat="1" applyFont="1" applyFill="1" applyBorder="1" applyAlignment="1">
      <alignment horizontal="right"/>
    </xf>
    <xf numFmtId="0" fontId="0" fillId="17" borderId="10" xfId="0" applyFont="1" applyFill="1" applyBorder="1" applyAlignment="1"/>
    <xf numFmtId="0" fontId="0" fillId="17" borderId="0" xfId="0" applyFont="1" applyFill="1" applyAlignment="1"/>
    <xf numFmtId="0" fontId="1" fillId="19" borderId="4" xfId="0" applyFont="1" applyFill="1" applyBorder="1" applyAlignment="1"/>
    <xf numFmtId="3" fontId="3" fillId="20" borderId="4" xfId="0" applyNumberFormat="1" applyFont="1" applyFill="1" applyBorder="1"/>
    <xf numFmtId="0" fontId="3" fillId="20" borderId="4" xfId="0" applyFont="1" applyFill="1" applyBorder="1" applyAlignment="1"/>
    <xf numFmtId="3" fontId="3" fillId="20" borderId="4" xfId="0" applyNumberFormat="1" applyFont="1" applyFill="1" applyBorder="1" applyAlignment="1"/>
    <xf numFmtId="0" fontId="2" fillId="20" borderId="4" xfId="0" applyFont="1" applyFill="1" applyBorder="1" applyAlignment="1">
      <alignment horizontal="right"/>
    </xf>
    <xf numFmtId="3" fontId="2" fillId="20" borderId="4" xfId="0" applyNumberFormat="1" applyFont="1" applyFill="1" applyBorder="1" applyAlignment="1">
      <alignment horizontal="right"/>
    </xf>
    <xf numFmtId="3" fontId="2" fillId="20" borderId="1" xfId="0" applyNumberFormat="1" applyFont="1" applyFill="1" applyBorder="1" applyAlignment="1">
      <alignment horizontal="right"/>
    </xf>
    <xf numFmtId="0" fontId="0" fillId="19" borderId="10" xfId="0" applyFont="1" applyFill="1" applyBorder="1" applyAlignment="1"/>
    <xf numFmtId="0" fontId="0" fillId="19" borderId="0" xfId="0" applyFont="1" applyFill="1" applyAlignment="1"/>
    <xf numFmtId="0" fontId="1" fillId="21" borderId="4" xfId="0" applyFont="1" applyFill="1" applyBorder="1" applyAlignment="1"/>
    <xf numFmtId="3" fontId="3" fillId="22" borderId="4" xfId="0" applyNumberFormat="1" applyFont="1" applyFill="1" applyBorder="1"/>
    <xf numFmtId="0" fontId="3" fillId="22" borderId="4" xfId="0" applyFont="1" applyFill="1" applyBorder="1" applyAlignment="1"/>
    <xf numFmtId="3" fontId="3" fillId="22" borderId="4" xfId="0" applyNumberFormat="1" applyFont="1" applyFill="1" applyBorder="1" applyAlignment="1"/>
    <xf numFmtId="0" fontId="2" fillId="22" borderId="4" xfId="0" applyFont="1" applyFill="1" applyBorder="1" applyAlignment="1">
      <alignment horizontal="right"/>
    </xf>
    <xf numFmtId="3" fontId="2" fillId="22" borderId="4" xfId="0" applyNumberFormat="1" applyFont="1" applyFill="1" applyBorder="1" applyAlignment="1">
      <alignment horizontal="right"/>
    </xf>
    <xf numFmtId="3" fontId="2" fillId="22" borderId="1" xfId="0" applyNumberFormat="1" applyFont="1" applyFill="1" applyBorder="1" applyAlignment="1">
      <alignment horizontal="right"/>
    </xf>
    <xf numFmtId="0" fontId="2" fillId="22" borderId="10" xfId="0" applyFont="1" applyFill="1" applyBorder="1" applyAlignment="1">
      <alignment horizontal="right"/>
    </xf>
    <xf numFmtId="0" fontId="0" fillId="21" borderId="10" xfId="0" applyFont="1" applyFill="1" applyBorder="1" applyAlignment="1"/>
    <xf numFmtId="0" fontId="0" fillId="21" borderId="0" xfId="0" applyFont="1" applyFill="1" applyAlignment="1"/>
    <xf numFmtId="0" fontId="1" fillId="23" borderId="4" xfId="0" applyFont="1" applyFill="1" applyBorder="1" applyAlignment="1"/>
    <xf numFmtId="3" fontId="3" fillId="24" borderId="4" xfId="0" applyNumberFormat="1" applyFont="1" applyFill="1" applyBorder="1"/>
    <xf numFmtId="0" fontId="3" fillId="24" borderId="4" xfId="0" applyFont="1" applyFill="1" applyBorder="1" applyAlignment="1"/>
    <xf numFmtId="3" fontId="3" fillId="24" borderId="4" xfId="0" applyNumberFormat="1" applyFont="1" applyFill="1" applyBorder="1" applyAlignment="1"/>
    <xf numFmtId="0" fontId="2" fillId="24" borderId="4" xfId="0" applyFont="1" applyFill="1" applyBorder="1" applyAlignment="1">
      <alignment horizontal="right"/>
    </xf>
    <xf numFmtId="3" fontId="2" fillId="24" borderId="4" xfId="0" applyNumberFormat="1" applyFont="1" applyFill="1" applyBorder="1" applyAlignment="1">
      <alignment horizontal="right"/>
    </xf>
    <xf numFmtId="3" fontId="2" fillId="24" borderId="1" xfId="0" applyNumberFormat="1" applyFont="1" applyFill="1" applyBorder="1" applyAlignment="1">
      <alignment horizontal="right"/>
    </xf>
    <xf numFmtId="0" fontId="2" fillId="24" borderId="10" xfId="0" applyFont="1" applyFill="1" applyBorder="1" applyAlignment="1">
      <alignment horizontal="right"/>
    </xf>
    <xf numFmtId="0" fontId="0" fillId="23" borderId="10" xfId="0" applyFont="1" applyFill="1" applyBorder="1" applyAlignment="1"/>
    <xf numFmtId="0" fontId="0" fillId="23" borderId="0" xfId="0" applyFont="1" applyFill="1" applyAlignment="1"/>
    <xf numFmtId="0" fontId="1" fillId="25" borderId="4" xfId="0" applyFont="1" applyFill="1" applyBorder="1" applyAlignment="1"/>
    <xf numFmtId="3" fontId="3" fillId="26" borderId="4" xfId="0" applyNumberFormat="1" applyFont="1" applyFill="1" applyBorder="1"/>
    <xf numFmtId="0" fontId="3" fillId="26" borderId="4" xfId="0" applyFont="1" applyFill="1" applyBorder="1" applyAlignment="1"/>
    <xf numFmtId="3" fontId="3" fillId="26" borderId="4" xfId="0" applyNumberFormat="1" applyFont="1" applyFill="1" applyBorder="1" applyAlignment="1"/>
    <xf numFmtId="0" fontId="2" fillId="26" borderId="4" xfId="0" applyFont="1" applyFill="1" applyBorder="1" applyAlignment="1">
      <alignment horizontal="right"/>
    </xf>
    <xf numFmtId="3" fontId="2" fillId="26" borderId="4" xfId="0" applyNumberFormat="1" applyFont="1" applyFill="1" applyBorder="1" applyAlignment="1">
      <alignment horizontal="right"/>
    </xf>
    <xf numFmtId="3" fontId="2" fillId="26" borderId="1" xfId="0" applyNumberFormat="1" applyFont="1" applyFill="1" applyBorder="1" applyAlignment="1">
      <alignment horizontal="right"/>
    </xf>
    <xf numFmtId="0" fontId="2" fillId="26" borderId="10" xfId="0" applyFont="1" applyFill="1" applyBorder="1" applyAlignment="1">
      <alignment horizontal="right"/>
    </xf>
    <xf numFmtId="0" fontId="0" fillId="25" borderId="10" xfId="0" applyFont="1" applyFill="1" applyBorder="1" applyAlignment="1"/>
    <xf numFmtId="0" fontId="0" fillId="25" borderId="0" xfId="0" applyFont="1" applyFill="1" applyAlignment="1"/>
    <xf numFmtId="0" fontId="1" fillId="27" borderId="4" xfId="0" applyFont="1" applyFill="1" applyBorder="1" applyAlignment="1"/>
    <xf numFmtId="3" fontId="3" fillId="28" borderId="4" xfId="0" applyNumberFormat="1" applyFont="1" applyFill="1" applyBorder="1"/>
    <xf numFmtId="0" fontId="3" fillId="28" borderId="4" xfId="0" applyFont="1" applyFill="1" applyBorder="1" applyAlignment="1"/>
    <xf numFmtId="3" fontId="3" fillId="28" borderId="4" xfId="0" applyNumberFormat="1" applyFont="1" applyFill="1" applyBorder="1" applyAlignment="1"/>
    <xf numFmtId="0" fontId="2" fillId="28" borderId="4" xfId="0" applyFont="1" applyFill="1" applyBorder="1" applyAlignment="1">
      <alignment horizontal="right"/>
    </xf>
    <xf numFmtId="3" fontId="2" fillId="28" borderId="4" xfId="0" applyNumberFormat="1" applyFont="1" applyFill="1" applyBorder="1" applyAlignment="1">
      <alignment horizontal="right"/>
    </xf>
    <xf numFmtId="3" fontId="2" fillId="28" borderId="1" xfId="0" applyNumberFormat="1" applyFont="1" applyFill="1" applyBorder="1" applyAlignment="1">
      <alignment horizontal="right"/>
    </xf>
    <xf numFmtId="0" fontId="2" fillId="28" borderId="10" xfId="0" applyFont="1" applyFill="1" applyBorder="1" applyAlignment="1">
      <alignment horizontal="right"/>
    </xf>
    <xf numFmtId="0" fontId="0" fillId="27" borderId="10" xfId="0" applyFont="1" applyFill="1" applyBorder="1" applyAlignment="1"/>
    <xf numFmtId="0" fontId="0" fillId="27" borderId="0" xfId="0" applyFont="1" applyFill="1" applyAlignment="1"/>
    <xf numFmtId="3" fontId="0" fillId="8" borderId="10" xfId="0" applyNumberFormat="1" applyFont="1" applyFill="1" applyBorder="1" applyAlignment="1"/>
    <xf numFmtId="0" fontId="4" fillId="0" borderId="12" xfId="0" applyFont="1" applyFill="1" applyBorder="1" applyAlignment="1"/>
    <xf numFmtId="0" fontId="1" fillId="2" borderId="13" xfId="0" applyFont="1" applyFill="1" applyBorder="1" applyAlignment="1">
      <alignment horizontal="center"/>
    </xf>
    <xf numFmtId="0" fontId="0" fillId="0" borderId="13" xfId="0" applyFont="1" applyBorder="1" applyAlignment="1"/>
    <xf numFmtId="0" fontId="0" fillId="11" borderId="13" xfId="0" applyFont="1" applyFill="1" applyBorder="1" applyAlignment="1"/>
    <xf numFmtId="0" fontId="0" fillId="8" borderId="13" xfId="0" applyFont="1" applyFill="1" applyBorder="1" applyAlignment="1"/>
    <xf numFmtId="0" fontId="0" fillId="5" borderId="13" xfId="0" applyFont="1" applyFill="1" applyBorder="1" applyAlignment="1"/>
    <xf numFmtId="0" fontId="0" fillId="7" borderId="13" xfId="0" applyFont="1" applyFill="1" applyBorder="1" applyAlignment="1"/>
    <xf numFmtId="0" fontId="0" fillId="14" borderId="13" xfId="0" applyFont="1" applyFill="1" applyBorder="1" applyAlignment="1"/>
    <xf numFmtId="0" fontId="0" fillId="21" borderId="13" xfId="0" applyFont="1" applyFill="1" applyBorder="1" applyAlignment="1"/>
    <xf numFmtId="0" fontId="0" fillId="23" borderId="13" xfId="0" applyFont="1" applyFill="1" applyBorder="1" applyAlignment="1"/>
    <xf numFmtId="0" fontId="0" fillId="25" borderId="13" xfId="0" applyFont="1" applyFill="1" applyBorder="1" applyAlignment="1"/>
    <xf numFmtId="0" fontId="0" fillId="27" borderId="13" xfId="0" applyFont="1" applyFill="1" applyBorder="1" applyAlignment="1"/>
    <xf numFmtId="0" fontId="0" fillId="19" borderId="13" xfId="0" applyFont="1" applyFill="1" applyBorder="1" applyAlignment="1"/>
    <xf numFmtId="0" fontId="0" fillId="15" borderId="13" xfId="0" applyFont="1" applyFill="1" applyBorder="1" applyAlignment="1"/>
    <xf numFmtId="0" fontId="7" fillId="0" borderId="10" xfId="0" applyFont="1" applyBorder="1" applyAlignment="1"/>
    <xf numFmtId="0" fontId="8" fillId="2" borderId="10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7" fillId="0" borderId="13" xfId="0" applyFont="1" applyBorder="1" applyAlignment="1"/>
    <xf numFmtId="0" fontId="8" fillId="2" borderId="0" xfId="0" applyFont="1" applyFill="1" applyBorder="1" applyAlignment="1">
      <alignment horizontal="center"/>
    </xf>
    <xf numFmtId="16" fontId="7" fillId="0" borderId="0" xfId="0" applyNumberFormat="1" applyFont="1" applyAlignment="1"/>
    <xf numFmtId="0" fontId="0" fillId="17" borderId="13" xfId="0" applyFont="1" applyFill="1" applyBorder="1" applyAlignment="1"/>
    <xf numFmtId="0" fontId="1" fillId="0" borderId="1" xfId="0" applyFont="1" applyBorder="1" applyAlignment="1"/>
    <xf numFmtId="0" fontId="1" fillId="11" borderId="1" xfId="0" applyFont="1" applyFill="1" applyBorder="1" applyAlignment="1"/>
    <xf numFmtId="0" fontId="1" fillId="8" borderId="1" xfId="0" applyFont="1" applyFill="1" applyBorder="1" applyAlignment="1"/>
    <xf numFmtId="0" fontId="1" fillId="7" borderId="1" xfId="0" applyFont="1" applyFill="1" applyBorder="1" applyAlignment="1"/>
    <xf numFmtId="0" fontId="1" fillId="15" borderId="1" xfId="0" applyFont="1" applyFill="1" applyBorder="1" applyAlignment="1"/>
    <xf numFmtId="0" fontId="1" fillId="25" borderId="1" xfId="0" applyFont="1" applyFill="1" applyBorder="1" applyAlignment="1"/>
    <xf numFmtId="0" fontId="1" fillId="27" borderId="1" xfId="0" applyFont="1" applyFill="1" applyBorder="1" applyAlignment="1"/>
    <xf numFmtId="0" fontId="1" fillId="17" borderId="1" xfId="0" applyFont="1" applyFill="1" applyBorder="1" applyAlignment="1"/>
    <xf numFmtId="0" fontId="1" fillId="19" borderId="1" xfId="0" applyFont="1" applyFill="1" applyBorder="1" applyAlignment="1"/>
    <xf numFmtId="0" fontId="4" fillId="0" borderId="1" xfId="0" applyFont="1" applyBorder="1" applyAlignment="1"/>
    <xf numFmtId="0" fontId="1" fillId="29" borderId="1" xfId="0" applyFont="1" applyFill="1" applyBorder="1" applyAlignment="1"/>
    <xf numFmtId="0" fontId="0" fillId="29" borderId="10" xfId="0" applyFont="1" applyFill="1" applyBorder="1" applyAlignment="1"/>
    <xf numFmtId="0" fontId="0" fillId="29" borderId="0" xfId="0" applyFont="1" applyFill="1" applyAlignment="1"/>
    <xf numFmtId="0" fontId="1" fillId="30" borderId="1" xfId="0" applyFont="1" applyFill="1" applyBorder="1" applyAlignment="1"/>
    <xf numFmtId="0" fontId="0" fillId="30" borderId="10" xfId="0" applyFont="1" applyFill="1" applyBorder="1" applyAlignment="1"/>
    <xf numFmtId="0" fontId="0" fillId="30" borderId="0" xfId="0" applyFont="1" applyFill="1" applyAlignment="1"/>
    <xf numFmtId="0" fontId="1" fillId="14" borderId="1" xfId="0" applyFont="1" applyFill="1" applyBorder="1" applyAlignment="1"/>
    <xf numFmtId="0" fontId="0" fillId="14" borderId="0" xfId="0" applyFont="1" applyFill="1" applyAlignment="1"/>
    <xf numFmtId="0" fontId="0" fillId="29" borderId="13" xfId="0" applyFont="1" applyFill="1" applyBorder="1" applyAlignment="1"/>
    <xf numFmtId="0" fontId="0" fillId="30" borderId="13" xfId="0" applyFont="1" applyFill="1" applyBorder="1" applyAlignment="1"/>
    <xf numFmtId="0" fontId="1" fillId="31" borderId="4" xfId="0" applyFont="1" applyFill="1" applyBorder="1" applyAlignment="1"/>
    <xf numFmtId="3" fontId="3" fillId="32" borderId="4" xfId="0" applyNumberFormat="1" applyFont="1" applyFill="1" applyBorder="1"/>
    <xf numFmtId="0" fontId="3" fillId="32" borderId="4" xfId="0" applyFont="1" applyFill="1" applyBorder="1" applyAlignment="1"/>
    <xf numFmtId="3" fontId="3" fillId="32" borderId="4" xfId="0" applyNumberFormat="1" applyFont="1" applyFill="1" applyBorder="1" applyAlignment="1"/>
    <xf numFmtId="0" fontId="2" fillId="32" borderId="4" xfId="0" applyFont="1" applyFill="1" applyBorder="1" applyAlignment="1">
      <alignment horizontal="right"/>
    </xf>
    <xf numFmtId="3" fontId="2" fillId="32" borderId="4" xfId="0" applyNumberFormat="1" applyFont="1" applyFill="1" applyBorder="1" applyAlignment="1">
      <alignment horizontal="right"/>
    </xf>
    <xf numFmtId="0" fontId="2" fillId="33" borderId="4" xfId="0" applyFont="1" applyFill="1" applyBorder="1" applyAlignment="1">
      <alignment horizontal="right"/>
    </xf>
    <xf numFmtId="3" fontId="2" fillId="33" borderId="4" xfId="0" applyNumberFormat="1" applyFont="1" applyFill="1" applyBorder="1" applyAlignment="1">
      <alignment horizontal="right"/>
    </xf>
    <xf numFmtId="3" fontId="2" fillId="33" borderId="1" xfId="0" applyNumberFormat="1" applyFont="1" applyFill="1" applyBorder="1" applyAlignment="1">
      <alignment horizontal="right"/>
    </xf>
    <xf numFmtId="0" fontId="0" fillId="31" borderId="10" xfId="0" applyFont="1" applyFill="1" applyBorder="1" applyAlignment="1"/>
    <xf numFmtId="0" fontId="0" fillId="31" borderId="13" xfId="0" applyFont="1" applyFill="1" applyBorder="1" applyAlignment="1"/>
    <xf numFmtId="0" fontId="0" fillId="31" borderId="0" xfId="0" applyFont="1" applyFill="1" applyAlignment="1"/>
    <xf numFmtId="0" fontId="1" fillId="14" borderId="4" xfId="0" applyFont="1" applyFill="1" applyBorder="1" applyAlignment="1"/>
    <xf numFmtId="3" fontId="3" fillId="34" borderId="4" xfId="0" applyNumberFormat="1" applyFont="1" applyFill="1" applyBorder="1"/>
    <xf numFmtId="0" fontId="3" fillId="34" borderId="4" xfId="0" applyFont="1" applyFill="1" applyBorder="1" applyAlignment="1"/>
    <xf numFmtId="3" fontId="3" fillId="34" borderId="4" xfId="0" applyNumberFormat="1" applyFont="1" applyFill="1" applyBorder="1" applyAlignment="1"/>
    <xf numFmtId="0" fontId="2" fillId="34" borderId="4" xfId="0" applyFont="1" applyFill="1" applyBorder="1" applyAlignment="1">
      <alignment horizontal="right"/>
    </xf>
    <xf numFmtId="3" fontId="2" fillId="34" borderId="4" xfId="0" applyNumberFormat="1" applyFont="1" applyFill="1" applyBorder="1" applyAlignment="1">
      <alignment horizontal="right"/>
    </xf>
    <xf numFmtId="3" fontId="2" fillId="34" borderId="1" xfId="0" applyNumberFormat="1" applyFont="1" applyFill="1" applyBorder="1" applyAlignment="1">
      <alignment horizontal="right"/>
    </xf>
    <xf numFmtId="3" fontId="2" fillId="6" borderId="1" xfId="0" applyNumberFormat="1" applyFont="1" applyFill="1" applyBorder="1" applyAlignment="1">
      <alignment horizontal="right"/>
    </xf>
    <xf numFmtId="0" fontId="8" fillId="0" borderId="4" xfId="0" applyFont="1" applyBorder="1" applyAlignment="1"/>
    <xf numFmtId="0" fontId="8" fillId="2" borderId="11" xfId="0" applyFont="1" applyFill="1" applyBorder="1" applyAlignment="1">
      <alignment horizontal="center"/>
    </xf>
    <xf numFmtId="0" fontId="1" fillId="35" borderId="1" xfId="0" applyFont="1" applyFill="1" applyBorder="1" applyAlignment="1"/>
    <xf numFmtId="0" fontId="0" fillId="35" borderId="10" xfId="0" applyFont="1" applyFill="1" applyBorder="1" applyAlignment="1"/>
    <xf numFmtId="0" fontId="0" fillId="35" borderId="0" xfId="0" applyFont="1" applyFill="1" applyAlignment="1"/>
    <xf numFmtId="0" fontId="1" fillId="36" borderId="1" xfId="0" applyFont="1" applyFill="1" applyBorder="1" applyAlignment="1"/>
    <xf numFmtId="0" fontId="0" fillId="36" borderId="10" xfId="0" applyFont="1" applyFill="1" applyBorder="1" applyAlignment="1"/>
    <xf numFmtId="0" fontId="0" fillId="36" borderId="0" xfId="0" applyFont="1" applyFill="1" applyAlignment="1"/>
    <xf numFmtId="16" fontId="0" fillId="0" borderId="0" xfId="0" applyNumberFormat="1" applyFont="1" applyAlignment="1"/>
    <xf numFmtId="0" fontId="8" fillId="0" borderId="1" xfId="0" applyFont="1" applyBorder="1" applyAlignment="1">
      <alignment horizontal="center"/>
    </xf>
    <xf numFmtId="0" fontId="7" fillId="0" borderId="10" xfId="0" applyFont="1" applyFill="1" applyBorder="1" applyAlignment="1"/>
    <xf numFmtId="0" fontId="7" fillId="0" borderId="13" xfId="0" applyFont="1" applyFill="1" applyBorder="1" applyAlignment="1"/>
    <xf numFmtId="0" fontId="7" fillId="0" borderId="0" xfId="0" applyFont="1" applyAlignment="1"/>
    <xf numFmtId="164" fontId="3" fillId="0" borderId="1" xfId="0" applyNumberFormat="1" applyFont="1" applyBorder="1"/>
    <xf numFmtId="0" fontId="0" fillId="0" borderId="11" xfId="0" applyFont="1" applyFill="1" applyBorder="1" applyAlignment="1"/>
    <xf numFmtId="0" fontId="4" fillId="0" borderId="10" xfId="0" applyFont="1" applyFill="1" applyBorder="1" applyAlignment="1"/>
    <xf numFmtId="0" fontId="0" fillId="37" borderId="13" xfId="0" applyFont="1" applyFill="1" applyBorder="1" applyAlignment="1"/>
    <xf numFmtId="0" fontId="0" fillId="37" borderId="10" xfId="0" applyFont="1" applyFill="1" applyBorder="1" applyAlignment="1"/>
    <xf numFmtId="0" fontId="9" fillId="0" borderId="0" xfId="0" applyFont="1" applyAlignment="1"/>
    <xf numFmtId="0" fontId="10" fillId="2" borderId="6" xfId="0" applyFont="1" applyFill="1" applyBorder="1" applyAlignment="1"/>
    <xf numFmtId="0" fontId="9" fillId="0" borderId="10" xfId="0" applyFont="1" applyFill="1" applyBorder="1" applyAlignment="1"/>
    <xf numFmtId="0" fontId="8" fillId="0" borderId="1" xfId="0" applyFont="1" applyBorder="1" applyAlignment="1"/>
    <xf numFmtId="0" fontId="7" fillId="0" borderId="14" xfId="0" applyFont="1" applyBorder="1" applyAlignment="1"/>
    <xf numFmtId="0" fontId="0" fillId="0" borderId="14" xfId="0" applyFont="1" applyBorder="1" applyAlignment="1"/>
    <xf numFmtId="0" fontId="0" fillId="0" borderId="15" xfId="0" applyFont="1" applyBorder="1" applyAlignment="1"/>
    <xf numFmtId="6" fontId="0" fillId="0" borderId="10" xfId="0" applyNumberFormat="1" applyFont="1" applyBorder="1" applyAlignment="1"/>
    <xf numFmtId="164" fontId="11" fillId="0" borderId="1" xfId="0" applyNumberFormat="1" applyFont="1" applyBorder="1"/>
    <xf numFmtId="0" fontId="8" fillId="0" borderId="10" xfId="0" applyFont="1" applyFill="1" applyBorder="1" applyAlignment="1"/>
    <xf numFmtId="0" fontId="8" fillId="0" borderId="0" xfId="0" applyFont="1" applyFill="1" applyBorder="1" applyAlignment="1"/>
    <xf numFmtId="16" fontId="8" fillId="0" borderId="0" xfId="0" applyNumberFormat="1" applyFont="1" applyFill="1" applyBorder="1" applyAlignment="1"/>
    <xf numFmtId="6" fontId="0" fillId="0" borderId="0" xfId="0" applyNumberFormat="1" applyFont="1" applyAlignment="1"/>
    <xf numFmtId="6" fontId="0" fillId="0" borderId="13" xfId="0" applyNumberFormat="1" applyFont="1" applyBorder="1" applyAlignment="1"/>
    <xf numFmtId="15" fontId="2" fillId="0" borderId="7" xfId="0" applyNumberFormat="1" applyFont="1" applyBorder="1" applyAlignment="1">
      <alignment horizontal="right"/>
    </xf>
    <xf numFmtId="16" fontId="7" fillId="0" borderId="10" xfId="0" applyNumberFormat="1" applyFont="1" applyBorder="1" applyAlignment="1"/>
    <xf numFmtId="3" fontId="12" fillId="2" borderId="7" xfId="0" applyNumberFormat="1" applyFont="1" applyFill="1" applyBorder="1" applyAlignment="1"/>
    <xf numFmtId="0" fontId="1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33FF"/>
      <color rgb="FF00CC66"/>
      <color rgb="FFFFCC00"/>
      <color rgb="FFFF0000"/>
      <color rgb="FF33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X1023"/>
  <sheetViews>
    <sheetView topLeftCell="BI1" workbookViewId="0">
      <selection activeCell="CA268" sqref="CA268"/>
    </sheetView>
  </sheetViews>
  <sheetFormatPr baseColWidth="10" defaultColWidth="12.5703125" defaultRowHeight="15.75" customHeight="1" x14ac:dyDescent="0.2"/>
  <cols>
    <col min="1" max="1" width="22.85546875" customWidth="1"/>
  </cols>
  <sheetData>
    <row r="1" spans="1:76" x14ac:dyDescent="0.2">
      <c r="A1" s="1" t="s">
        <v>0</v>
      </c>
      <c r="B1" s="2"/>
      <c r="C1" s="2"/>
      <c r="D1" s="2"/>
      <c r="E1" s="2"/>
      <c r="F1" s="2"/>
      <c r="G1" s="3"/>
      <c r="I1" s="2"/>
      <c r="J1" s="3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4"/>
      <c r="BW1" s="4"/>
      <c r="BX1" s="4"/>
    </row>
    <row r="2" spans="1:76" x14ac:dyDescent="0.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6" t="s">
        <v>31</v>
      </c>
      <c r="AF2" s="6" t="s">
        <v>32</v>
      </c>
      <c r="AG2" s="6" t="s">
        <v>33</v>
      </c>
      <c r="AH2" s="6" t="s">
        <v>34</v>
      </c>
      <c r="AI2" s="6" t="s">
        <v>35</v>
      </c>
      <c r="AJ2" s="6" t="s">
        <v>36</v>
      </c>
      <c r="AK2" s="6" t="s">
        <v>37</v>
      </c>
      <c r="AL2" s="6" t="s">
        <v>38</v>
      </c>
      <c r="AM2" s="6" t="s">
        <v>39</v>
      </c>
      <c r="AN2" s="6" t="s">
        <v>40</v>
      </c>
      <c r="AO2" s="6" t="s">
        <v>41</v>
      </c>
      <c r="AP2" s="6" t="s">
        <v>42</v>
      </c>
      <c r="AQ2" s="6" t="s">
        <v>43</v>
      </c>
      <c r="AR2" s="6" t="s">
        <v>44</v>
      </c>
      <c r="AS2" s="6" t="s">
        <v>45</v>
      </c>
      <c r="AT2" s="6" t="s">
        <v>46</v>
      </c>
      <c r="AU2" s="6" t="s">
        <v>47</v>
      </c>
      <c r="AV2" s="6" t="s">
        <v>48</v>
      </c>
      <c r="AW2" s="6" t="s">
        <v>49</v>
      </c>
      <c r="AX2" s="6" t="s">
        <v>50</v>
      </c>
      <c r="AY2" s="6" t="s">
        <v>51</v>
      </c>
      <c r="AZ2" s="6" t="s">
        <v>52</v>
      </c>
      <c r="BA2" s="6" t="s">
        <v>53</v>
      </c>
      <c r="BB2" s="6" t="s">
        <v>54</v>
      </c>
      <c r="BC2" s="6" t="s">
        <v>55</v>
      </c>
      <c r="BD2" s="6" t="s">
        <v>56</v>
      </c>
      <c r="BE2" s="6" t="s">
        <v>57</v>
      </c>
      <c r="BF2" s="6" t="s">
        <v>58</v>
      </c>
      <c r="BG2" s="6" t="s">
        <v>59</v>
      </c>
      <c r="BH2" s="6" t="s">
        <v>60</v>
      </c>
      <c r="BI2" s="6" t="s">
        <v>61</v>
      </c>
      <c r="BJ2" s="6" t="s">
        <v>62</v>
      </c>
      <c r="BK2" s="6" t="s">
        <v>63</v>
      </c>
      <c r="BL2" s="6" t="s">
        <v>64</v>
      </c>
      <c r="BM2" s="6" t="s">
        <v>65</v>
      </c>
      <c r="BN2" s="6" t="s">
        <v>66</v>
      </c>
      <c r="BO2" s="6" t="s">
        <v>67</v>
      </c>
      <c r="BP2" s="6" t="s">
        <v>68</v>
      </c>
      <c r="BQ2" s="6" t="s">
        <v>69</v>
      </c>
      <c r="BR2" s="6" t="s">
        <v>70</v>
      </c>
      <c r="BS2" s="6" t="s">
        <v>71</v>
      </c>
      <c r="BT2" s="6" t="s">
        <v>72</v>
      </c>
      <c r="BU2" s="6" t="s">
        <v>73</v>
      </c>
      <c r="BV2" s="6" t="s">
        <v>74</v>
      </c>
      <c r="BW2" s="6" t="s">
        <v>75</v>
      </c>
      <c r="BX2" s="6" t="s">
        <v>76</v>
      </c>
    </row>
    <row r="3" spans="1:76" x14ac:dyDescent="0.2">
      <c r="A3" s="5" t="s">
        <v>77</v>
      </c>
      <c r="B3" s="7">
        <v>24</v>
      </c>
      <c r="C3" s="7">
        <v>0</v>
      </c>
      <c r="D3" s="7">
        <v>3</v>
      </c>
      <c r="E3" s="8">
        <f t="shared" ref="E3:E55" si="0">B3+C3-D3</f>
        <v>21</v>
      </c>
      <c r="F3" s="7">
        <v>0</v>
      </c>
      <c r="G3" s="7">
        <v>1</v>
      </c>
      <c r="H3" s="8">
        <f t="shared" ref="H3:H55" si="1">E3+F3-G3</f>
        <v>20</v>
      </c>
      <c r="I3" s="7">
        <v>24</v>
      </c>
      <c r="J3" s="7">
        <v>0</v>
      </c>
      <c r="K3" s="8">
        <f t="shared" ref="K3:K55" si="2">H3+I3-J3</f>
        <v>44</v>
      </c>
      <c r="L3" s="9">
        <v>0</v>
      </c>
      <c r="M3" s="10">
        <v>1</v>
      </c>
      <c r="N3" s="9">
        <f t="shared" ref="N3:N55" si="3">K3+L3-M3</f>
        <v>43</v>
      </c>
      <c r="O3" s="9">
        <v>0</v>
      </c>
      <c r="P3" s="9">
        <v>5</v>
      </c>
      <c r="Q3" s="9">
        <f t="shared" ref="Q3:Q55" si="4">N3+O3-P3</f>
        <v>38</v>
      </c>
      <c r="R3" s="9">
        <v>0</v>
      </c>
      <c r="S3" s="9">
        <v>0</v>
      </c>
      <c r="T3" s="9">
        <f t="shared" ref="T3:T56" si="5">Q3+R3-S3</f>
        <v>38</v>
      </c>
      <c r="U3" s="9">
        <v>5</v>
      </c>
      <c r="V3" s="9">
        <f t="shared" ref="V3:V56" si="6">T3-U3</f>
        <v>33</v>
      </c>
      <c r="W3" s="9">
        <v>0</v>
      </c>
      <c r="X3" s="9">
        <v>0</v>
      </c>
      <c r="Y3" s="9">
        <f t="shared" ref="Y3:Y56" si="7">V3+W3-X3</f>
        <v>33</v>
      </c>
      <c r="Z3" s="9">
        <v>0</v>
      </c>
      <c r="AA3" s="9">
        <f t="shared" ref="AA3:AA56" si="8">Y3-Z3</f>
        <v>33</v>
      </c>
      <c r="AB3" s="9">
        <v>0</v>
      </c>
      <c r="AC3" s="9">
        <v>0</v>
      </c>
      <c r="AD3" s="9">
        <f t="shared" ref="AD3:AD56" si="9">AA3+AB3-AC3</f>
        <v>33</v>
      </c>
      <c r="AE3" s="9">
        <v>0</v>
      </c>
      <c r="AF3" s="9">
        <f t="shared" ref="AF3:AF56" si="10">AD3-AE3</f>
        <v>33</v>
      </c>
      <c r="AG3" s="9">
        <v>0</v>
      </c>
      <c r="AH3" s="10">
        <v>32</v>
      </c>
      <c r="AI3" s="7">
        <v>0</v>
      </c>
      <c r="AJ3" s="7">
        <v>1</v>
      </c>
      <c r="AK3" s="8">
        <f t="shared" ref="AK3:AK55" si="11">AH3+AI3-AJ3</f>
        <v>31</v>
      </c>
      <c r="AL3" s="7">
        <v>0</v>
      </c>
      <c r="AM3" s="7">
        <v>5</v>
      </c>
      <c r="AN3" s="8">
        <f t="shared" ref="AN3:AN55" si="12">AK3+AL3-AM3</f>
        <v>26</v>
      </c>
      <c r="AO3" s="7">
        <v>0</v>
      </c>
      <c r="AP3" s="7">
        <v>0</v>
      </c>
      <c r="AQ3" s="8">
        <f t="shared" ref="AQ3:AQ55" si="13">AN3+AO3-AP3</f>
        <v>26</v>
      </c>
      <c r="AR3" s="7">
        <v>0</v>
      </c>
      <c r="AS3" s="7">
        <v>0</v>
      </c>
      <c r="AT3" s="8">
        <f t="shared" ref="AT3:AT55" si="14">AQ3+AR3-AS3</f>
        <v>26</v>
      </c>
      <c r="AU3" s="7">
        <v>0</v>
      </c>
      <c r="AV3" s="7">
        <v>1</v>
      </c>
      <c r="AW3" s="8">
        <f t="shared" ref="AW3:AW55" si="15">AT3+AU3-AV3</f>
        <v>25</v>
      </c>
      <c r="AX3" s="7">
        <v>0</v>
      </c>
      <c r="AY3" s="7">
        <v>2</v>
      </c>
      <c r="AZ3" s="8">
        <f t="shared" ref="AZ3:AZ55" si="16">AW3+AX3-AY3</f>
        <v>23</v>
      </c>
      <c r="BA3" s="7">
        <v>0</v>
      </c>
      <c r="BB3" s="7">
        <v>1</v>
      </c>
      <c r="BC3" s="8">
        <f t="shared" ref="BC3:BC55" si="17">AZ3+BA3-BB3</f>
        <v>22</v>
      </c>
      <c r="BD3" s="7">
        <v>0</v>
      </c>
      <c r="BE3" s="7">
        <v>0</v>
      </c>
      <c r="BF3" s="8">
        <f t="shared" ref="BF3:BF55" si="18">BC3+BD3-BE3</f>
        <v>22</v>
      </c>
      <c r="BG3" s="7">
        <v>0</v>
      </c>
      <c r="BH3" s="7">
        <v>0</v>
      </c>
      <c r="BI3" s="8">
        <f t="shared" ref="BI3:BI55" si="19">BF3+BG3-BH3</f>
        <v>22</v>
      </c>
      <c r="BJ3" s="7">
        <v>0</v>
      </c>
      <c r="BK3" s="7">
        <v>0</v>
      </c>
      <c r="BL3" s="8">
        <f t="shared" ref="BL3:BL55" si="20">BI3+BJ3-BK3</f>
        <v>22</v>
      </c>
      <c r="BM3" s="7">
        <v>0</v>
      </c>
      <c r="BN3" s="7">
        <v>1</v>
      </c>
      <c r="BO3" s="8">
        <f t="shared" ref="BO3:BO55" si="21">BL3+BM3-BN3</f>
        <v>21</v>
      </c>
      <c r="BP3" s="7">
        <v>0</v>
      </c>
      <c r="BQ3" s="7">
        <v>0</v>
      </c>
      <c r="BR3" s="8">
        <f t="shared" ref="BR3:BR55" si="22">BO3+BP3-BQ3</f>
        <v>21</v>
      </c>
      <c r="BS3" s="7">
        <v>0</v>
      </c>
      <c r="BT3" s="7">
        <v>6</v>
      </c>
      <c r="BU3" s="8">
        <f t="shared" ref="BU3:BU55" si="23">BR3+BS3-BT3</f>
        <v>15</v>
      </c>
      <c r="BV3" s="11">
        <v>0</v>
      </c>
      <c r="BW3" s="12">
        <v>1</v>
      </c>
      <c r="BX3" s="11">
        <f t="shared" ref="BX3:BX55" si="24">BU3+BV3-BW3</f>
        <v>14</v>
      </c>
    </row>
    <row r="4" spans="1:76" x14ac:dyDescent="0.2">
      <c r="A4" s="13" t="s">
        <v>78</v>
      </c>
      <c r="B4" s="7">
        <v>20</v>
      </c>
      <c r="C4" s="7">
        <v>0</v>
      </c>
      <c r="D4" s="7">
        <v>0</v>
      </c>
      <c r="E4" s="8">
        <f t="shared" si="0"/>
        <v>20</v>
      </c>
      <c r="F4" s="7">
        <v>0</v>
      </c>
      <c r="G4" s="7">
        <v>2</v>
      </c>
      <c r="H4" s="8">
        <f t="shared" si="1"/>
        <v>18</v>
      </c>
      <c r="I4" s="7">
        <v>0</v>
      </c>
      <c r="J4" s="7">
        <v>1</v>
      </c>
      <c r="K4" s="8">
        <f t="shared" si="2"/>
        <v>17</v>
      </c>
      <c r="L4" s="9">
        <v>0</v>
      </c>
      <c r="M4" s="10">
        <v>0</v>
      </c>
      <c r="N4" s="9">
        <f t="shared" si="3"/>
        <v>17</v>
      </c>
      <c r="O4" s="9">
        <v>0</v>
      </c>
      <c r="P4" s="9">
        <v>1</v>
      </c>
      <c r="Q4" s="9">
        <f t="shared" si="4"/>
        <v>16</v>
      </c>
      <c r="R4" s="9">
        <v>0</v>
      </c>
      <c r="S4" s="9">
        <v>1</v>
      </c>
      <c r="T4" s="9">
        <f t="shared" si="5"/>
        <v>15</v>
      </c>
      <c r="U4" s="9">
        <v>1</v>
      </c>
      <c r="V4" s="9">
        <f t="shared" si="6"/>
        <v>14</v>
      </c>
      <c r="W4" s="9">
        <v>0</v>
      </c>
      <c r="X4" s="9">
        <v>0</v>
      </c>
      <c r="Y4" s="9">
        <f t="shared" si="7"/>
        <v>14</v>
      </c>
      <c r="Z4" s="9">
        <v>0</v>
      </c>
      <c r="AA4" s="9">
        <f t="shared" si="8"/>
        <v>14</v>
      </c>
      <c r="AB4" s="9">
        <v>0</v>
      </c>
      <c r="AC4" s="9">
        <v>0</v>
      </c>
      <c r="AD4" s="9">
        <f t="shared" si="9"/>
        <v>14</v>
      </c>
      <c r="AE4" s="9">
        <v>0</v>
      </c>
      <c r="AF4" s="9">
        <f t="shared" si="10"/>
        <v>14</v>
      </c>
      <c r="AG4" s="9">
        <v>0</v>
      </c>
      <c r="AH4" s="9">
        <f t="shared" ref="AH4:AH56" si="25">AF4-AG4</f>
        <v>14</v>
      </c>
      <c r="AI4" s="7">
        <v>0</v>
      </c>
      <c r="AJ4" s="7">
        <v>2</v>
      </c>
      <c r="AK4" s="14">
        <f t="shared" si="11"/>
        <v>12</v>
      </c>
      <c r="AL4" s="7">
        <v>0</v>
      </c>
      <c r="AM4" s="7">
        <v>0</v>
      </c>
      <c r="AN4" s="14">
        <f t="shared" si="12"/>
        <v>12</v>
      </c>
      <c r="AO4" s="7">
        <v>0</v>
      </c>
      <c r="AP4" s="7">
        <v>2</v>
      </c>
      <c r="AQ4" s="14">
        <f t="shared" si="13"/>
        <v>10</v>
      </c>
      <c r="AR4" s="7">
        <v>0</v>
      </c>
      <c r="AS4" s="7">
        <v>0</v>
      </c>
      <c r="AT4" s="14">
        <f t="shared" si="14"/>
        <v>10</v>
      </c>
      <c r="AU4" s="7">
        <v>0</v>
      </c>
      <c r="AV4" s="7">
        <v>2</v>
      </c>
      <c r="AW4" s="14">
        <f t="shared" si="15"/>
        <v>8</v>
      </c>
      <c r="AX4" s="7">
        <v>0</v>
      </c>
      <c r="AY4" s="7">
        <v>2</v>
      </c>
      <c r="AZ4" s="14">
        <f t="shared" si="16"/>
        <v>6</v>
      </c>
      <c r="BA4" s="7">
        <v>0</v>
      </c>
      <c r="BB4" s="7">
        <v>1</v>
      </c>
      <c r="BC4" s="14">
        <f t="shared" si="17"/>
        <v>5</v>
      </c>
      <c r="BD4" s="7">
        <v>0</v>
      </c>
      <c r="BE4" s="7">
        <v>0</v>
      </c>
      <c r="BF4" s="14">
        <f t="shared" si="18"/>
        <v>5</v>
      </c>
      <c r="BG4" s="7">
        <v>0</v>
      </c>
      <c r="BH4" s="7">
        <v>2</v>
      </c>
      <c r="BI4" s="14">
        <f t="shared" si="19"/>
        <v>3</v>
      </c>
      <c r="BJ4" s="7">
        <v>0</v>
      </c>
      <c r="BK4" s="7">
        <v>0</v>
      </c>
      <c r="BL4" s="14">
        <f t="shared" si="20"/>
        <v>3</v>
      </c>
      <c r="BM4" s="7">
        <v>0</v>
      </c>
      <c r="BN4" s="7">
        <v>0</v>
      </c>
      <c r="BO4" s="14">
        <f t="shared" si="21"/>
        <v>3</v>
      </c>
      <c r="BP4" s="7">
        <v>12</v>
      </c>
      <c r="BQ4" s="7">
        <v>1</v>
      </c>
      <c r="BR4" s="14">
        <f t="shared" si="22"/>
        <v>14</v>
      </c>
      <c r="BS4" s="7">
        <v>0</v>
      </c>
      <c r="BT4" s="7">
        <v>1</v>
      </c>
      <c r="BU4" s="14">
        <f t="shared" si="23"/>
        <v>13</v>
      </c>
      <c r="BV4" s="11">
        <v>0</v>
      </c>
      <c r="BW4" s="12">
        <v>1</v>
      </c>
      <c r="BX4" s="15">
        <f t="shared" si="24"/>
        <v>12</v>
      </c>
    </row>
    <row r="5" spans="1:76" x14ac:dyDescent="0.2">
      <c r="A5" s="13" t="s">
        <v>79</v>
      </c>
      <c r="B5" s="7">
        <v>1</v>
      </c>
      <c r="C5" s="7">
        <v>10</v>
      </c>
      <c r="D5" s="7">
        <v>0</v>
      </c>
      <c r="E5" s="8">
        <f t="shared" si="0"/>
        <v>11</v>
      </c>
      <c r="F5" s="7">
        <v>0</v>
      </c>
      <c r="G5" s="7">
        <v>2</v>
      </c>
      <c r="H5" s="8">
        <f t="shared" si="1"/>
        <v>9</v>
      </c>
      <c r="I5" s="7">
        <v>0</v>
      </c>
      <c r="J5" s="7">
        <v>0</v>
      </c>
      <c r="K5" s="8">
        <f t="shared" si="2"/>
        <v>9</v>
      </c>
      <c r="L5" s="9">
        <v>0</v>
      </c>
      <c r="M5" s="10">
        <v>2</v>
      </c>
      <c r="N5" s="9">
        <f t="shared" si="3"/>
        <v>7</v>
      </c>
      <c r="O5" s="9">
        <v>0</v>
      </c>
      <c r="P5" s="9">
        <v>6</v>
      </c>
      <c r="Q5" s="9">
        <f t="shared" si="4"/>
        <v>1</v>
      </c>
      <c r="R5" s="9">
        <v>0</v>
      </c>
      <c r="S5" s="9">
        <v>0</v>
      </c>
      <c r="T5" s="9">
        <f t="shared" si="5"/>
        <v>1</v>
      </c>
      <c r="U5" s="9">
        <v>0</v>
      </c>
      <c r="V5" s="9">
        <f t="shared" si="6"/>
        <v>1</v>
      </c>
      <c r="W5" s="9">
        <v>0</v>
      </c>
      <c r="X5" s="9">
        <v>0</v>
      </c>
      <c r="Y5" s="9">
        <f t="shared" si="7"/>
        <v>1</v>
      </c>
      <c r="Z5" s="9">
        <v>0</v>
      </c>
      <c r="AA5" s="9">
        <f t="shared" si="8"/>
        <v>1</v>
      </c>
      <c r="AB5" s="9">
        <v>0</v>
      </c>
      <c r="AC5" s="9">
        <v>1</v>
      </c>
      <c r="AD5" s="9">
        <f t="shared" si="9"/>
        <v>0</v>
      </c>
      <c r="AE5" s="9">
        <v>0</v>
      </c>
      <c r="AF5" s="9">
        <f t="shared" si="10"/>
        <v>0</v>
      </c>
      <c r="AG5" s="9">
        <v>0</v>
      </c>
      <c r="AH5" s="9">
        <f t="shared" si="25"/>
        <v>0</v>
      </c>
      <c r="AI5" s="7">
        <v>12</v>
      </c>
      <c r="AJ5" s="7">
        <v>1</v>
      </c>
      <c r="AK5" s="14">
        <f t="shared" si="11"/>
        <v>11</v>
      </c>
      <c r="AL5" s="7">
        <v>0</v>
      </c>
      <c r="AM5" s="7">
        <v>1</v>
      </c>
      <c r="AN5" s="14">
        <f t="shared" si="12"/>
        <v>10</v>
      </c>
      <c r="AO5" s="7">
        <v>0</v>
      </c>
      <c r="AP5" s="7">
        <v>2</v>
      </c>
      <c r="AQ5" s="14">
        <f t="shared" si="13"/>
        <v>8</v>
      </c>
      <c r="AR5" s="7">
        <v>0</v>
      </c>
      <c r="AS5" s="7">
        <v>0</v>
      </c>
      <c r="AT5" s="14">
        <f t="shared" si="14"/>
        <v>8</v>
      </c>
      <c r="AU5" s="7">
        <v>0</v>
      </c>
      <c r="AV5" s="7">
        <v>0</v>
      </c>
      <c r="AW5" s="14">
        <f t="shared" si="15"/>
        <v>8</v>
      </c>
      <c r="AX5" s="7">
        <v>0</v>
      </c>
      <c r="AY5" s="7">
        <v>0</v>
      </c>
      <c r="AZ5" s="14">
        <f t="shared" si="16"/>
        <v>8</v>
      </c>
      <c r="BA5" s="7">
        <v>0</v>
      </c>
      <c r="BB5" s="7">
        <v>1</v>
      </c>
      <c r="BC5" s="14">
        <f t="shared" si="17"/>
        <v>7</v>
      </c>
      <c r="BD5" s="7">
        <v>0</v>
      </c>
      <c r="BE5" s="7">
        <v>1</v>
      </c>
      <c r="BF5" s="14">
        <f t="shared" si="18"/>
        <v>6</v>
      </c>
      <c r="BG5" s="7">
        <v>0</v>
      </c>
      <c r="BH5" s="7">
        <v>1</v>
      </c>
      <c r="BI5" s="14">
        <f t="shared" si="19"/>
        <v>5</v>
      </c>
      <c r="BJ5" s="7">
        <v>0</v>
      </c>
      <c r="BK5" s="7">
        <v>0</v>
      </c>
      <c r="BL5" s="14">
        <f t="shared" si="20"/>
        <v>5</v>
      </c>
      <c r="BM5" s="7">
        <v>0</v>
      </c>
      <c r="BN5" s="7">
        <v>0</v>
      </c>
      <c r="BO5" s="14">
        <f t="shared" si="21"/>
        <v>5</v>
      </c>
      <c r="BP5" s="7">
        <v>12</v>
      </c>
      <c r="BQ5" s="7">
        <v>0</v>
      </c>
      <c r="BR5" s="14">
        <f t="shared" si="22"/>
        <v>17</v>
      </c>
      <c r="BS5" s="7">
        <v>0</v>
      </c>
      <c r="BT5" s="7">
        <v>2</v>
      </c>
      <c r="BU5" s="14">
        <f t="shared" si="23"/>
        <v>15</v>
      </c>
      <c r="BV5" s="11">
        <v>0</v>
      </c>
      <c r="BW5" s="12">
        <v>1</v>
      </c>
      <c r="BX5" s="15">
        <f t="shared" si="24"/>
        <v>14</v>
      </c>
    </row>
    <row r="6" spans="1:76" x14ac:dyDescent="0.2">
      <c r="A6" s="5" t="s">
        <v>80</v>
      </c>
      <c r="B6" s="7">
        <v>5</v>
      </c>
      <c r="C6" s="7">
        <v>0</v>
      </c>
      <c r="D6" s="7">
        <v>3</v>
      </c>
      <c r="E6" s="8">
        <f t="shared" si="0"/>
        <v>2</v>
      </c>
      <c r="F6" s="7">
        <v>0</v>
      </c>
      <c r="G6" s="7">
        <v>0</v>
      </c>
      <c r="H6" s="8">
        <f t="shared" si="1"/>
        <v>2</v>
      </c>
      <c r="I6" s="7">
        <v>2</v>
      </c>
      <c r="J6" s="7">
        <v>0</v>
      </c>
      <c r="K6" s="8">
        <f t="shared" si="2"/>
        <v>4</v>
      </c>
      <c r="L6" s="9">
        <v>0</v>
      </c>
      <c r="M6" s="10">
        <v>0</v>
      </c>
      <c r="N6" s="9">
        <f t="shared" si="3"/>
        <v>4</v>
      </c>
      <c r="O6" s="9">
        <v>0</v>
      </c>
      <c r="P6" s="9">
        <v>0</v>
      </c>
      <c r="Q6" s="9">
        <f t="shared" si="4"/>
        <v>4</v>
      </c>
      <c r="R6" s="9">
        <v>0</v>
      </c>
      <c r="S6" s="9">
        <v>0</v>
      </c>
      <c r="T6" s="9">
        <f t="shared" si="5"/>
        <v>4</v>
      </c>
      <c r="U6" s="9">
        <v>0</v>
      </c>
      <c r="V6" s="9">
        <f t="shared" si="6"/>
        <v>4</v>
      </c>
      <c r="W6" s="9">
        <v>0</v>
      </c>
      <c r="X6" s="9">
        <v>0</v>
      </c>
      <c r="Y6" s="9">
        <f t="shared" si="7"/>
        <v>4</v>
      </c>
      <c r="Z6" s="9">
        <v>0</v>
      </c>
      <c r="AA6" s="9">
        <f t="shared" si="8"/>
        <v>4</v>
      </c>
      <c r="AB6" s="9">
        <v>0</v>
      </c>
      <c r="AC6" s="9">
        <v>0</v>
      </c>
      <c r="AD6" s="9">
        <f t="shared" si="9"/>
        <v>4</v>
      </c>
      <c r="AE6" s="9">
        <v>0</v>
      </c>
      <c r="AF6" s="9">
        <f t="shared" si="10"/>
        <v>4</v>
      </c>
      <c r="AG6" s="9">
        <v>0</v>
      </c>
      <c r="AH6" s="9">
        <f t="shared" si="25"/>
        <v>4</v>
      </c>
      <c r="AI6" s="7">
        <v>0</v>
      </c>
      <c r="AJ6" s="7">
        <v>0</v>
      </c>
      <c r="AK6" s="14">
        <f t="shared" si="11"/>
        <v>4</v>
      </c>
      <c r="AL6" s="7">
        <v>0</v>
      </c>
      <c r="AM6" s="7">
        <v>1</v>
      </c>
      <c r="AN6" s="14">
        <f t="shared" si="12"/>
        <v>3</v>
      </c>
      <c r="AO6" s="7">
        <v>0</v>
      </c>
      <c r="AP6" s="7">
        <v>0</v>
      </c>
      <c r="AQ6" s="14">
        <f t="shared" si="13"/>
        <v>3</v>
      </c>
      <c r="AR6" s="7">
        <v>0</v>
      </c>
      <c r="AS6" s="7">
        <v>0</v>
      </c>
      <c r="AT6" s="14">
        <f t="shared" si="14"/>
        <v>3</v>
      </c>
      <c r="AU6" s="7">
        <v>0</v>
      </c>
      <c r="AV6" s="7">
        <v>0</v>
      </c>
      <c r="AW6" s="14">
        <f t="shared" si="15"/>
        <v>3</v>
      </c>
      <c r="AX6" s="7">
        <v>0</v>
      </c>
      <c r="AY6" s="7">
        <v>0</v>
      </c>
      <c r="AZ6" s="14">
        <f t="shared" si="16"/>
        <v>3</v>
      </c>
      <c r="BA6" s="7">
        <v>0</v>
      </c>
      <c r="BB6" s="7">
        <v>0</v>
      </c>
      <c r="BC6" s="14">
        <f t="shared" si="17"/>
        <v>3</v>
      </c>
      <c r="BD6" s="7">
        <v>0</v>
      </c>
      <c r="BE6" s="7">
        <v>0</v>
      </c>
      <c r="BF6" s="14">
        <f t="shared" si="18"/>
        <v>3</v>
      </c>
      <c r="BG6" s="7">
        <v>0</v>
      </c>
      <c r="BH6" s="7">
        <v>0</v>
      </c>
      <c r="BI6" s="14">
        <f t="shared" si="19"/>
        <v>3</v>
      </c>
      <c r="BJ6" s="7">
        <v>0</v>
      </c>
      <c r="BK6" s="7">
        <v>0</v>
      </c>
      <c r="BL6" s="14">
        <f t="shared" si="20"/>
        <v>3</v>
      </c>
      <c r="BM6" s="7">
        <v>0</v>
      </c>
      <c r="BN6" s="7">
        <v>0</v>
      </c>
      <c r="BO6" s="14">
        <f t="shared" si="21"/>
        <v>3</v>
      </c>
      <c r="BP6" s="7">
        <v>0</v>
      </c>
      <c r="BQ6" s="7">
        <v>0</v>
      </c>
      <c r="BR6" s="14">
        <f t="shared" si="22"/>
        <v>3</v>
      </c>
      <c r="BS6" s="7">
        <v>0</v>
      </c>
      <c r="BT6" s="7">
        <v>0</v>
      </c>
      <c r="BU6" s="14">
        <f t="shared" si="23"/>
        <v>3</v>
      </c>
      <c r="BV6" s="11">
        <v>0</v>
      </c>
      <c r="BW6" s="11">
        <v>0</v>
      </c>
      <c r="BX6" s="15">
        <f t="shared" si="24"/>
        <v>3</v>
      </c>
    </row>
    <row r="7" spans="1:76" x14ac:dyDescent="0.2">
      <c r="A7" s="13" t="s">
        <v>81</v>
      </c>
      <c r="B7" s="7">
        <v>5</v>
      </c>
      <c r="C7" s="7">
        <v>0</v>
      </c>
      <c r="D7" s="7">
        <v>0</v>
      </c>
      <c r="E7" s="8">
        <f t="shared" si="0"/>
        <v>5</v>
      </c>
      <c r="F7" s="7">
        <v>0</v>
      </c>
      <c r="G7" s="7">
        <v>1</v>
      </c>
      <c r="H7" s="8">
        <f t="shared" si="1"/>
        <v>4</v>
      </c>
      <c r="I7" s="7">
        <v>0</v>
      </c>
      <c r="J7" s="7">
        <v>0</v>
      </c>
      <c r="K7" s="8">
        <f t="shared" si="2"/>
        <v>4</v>
      </c>
      <c r="L7" s="9">
        <v>0</v>
      </c>
      <c r="M7" s="10">
        <v>0</v>
      </c>
      <c r="N7" s="9">
        <f t="shared" si="3"/>
        <v>4</v>
      </c>
      <c r="O7" s="9">
        <v>0</v>
      </c>
      <c r="P7" s="9">
        <v>0</v>
      </c>
      <c r="Q7" s="9">
        <f t="shared" si="4"/>
        <v>4</v>
      </c>
      <c r="R7" s="9">
        <v>0</v>
      </c>
      <c r="S7" s="9">
        <v>0</v>
      </c>
      <c r="T7" s="9">
        <f t="shared" si="5"/>
        <v>4</v>
      </c>
      <c r="U7" s="9">
        <v>0</v>
      </c>
      <c r="V7" s="9">
        <f t="shared" si="6"/>
        <v>4</v>
      </c>
      <c r="W7" s="9">
        <v>0</v>
      </c>
      <c r="X7" s="9">
        <v>0</v>
      </c>
      <c r="Y7" s="9">
        <f t="shared" si="7"/>
        <v>4</v>
      </c>
      <c r="Z7" s="9">
        <v>0</v>
      </c>
      <c r="AA7" s="9">
        <f t="shared" si="8"/>
        <v>4</v>
      </c>
      <c r="AB7" s="9">
        <v>0</v>
      </c>
      <c r="AC7" s="9">
        <v>0</v>
      </c>
      <c r="AD7" s="9">
        <f t="shared" si="9"/>
        <v>4</v>
      </c>
      <c r="AE7" s="9">
        <v>0</v>
      </c>
      <c r="AF7" s="9">
        <f t="shared" si="10"/>
        <v>4</v>
      </c>
      <c r="AG7" s="9">
        <v>0</v>
      </c>
      <c r="AH7" s="9">
        <f t="shared" si="25"/>
        <v>4</v>
      </c>
      <c r="AI7" s="7">
        <v>0</v>
      </c>
      <c r="AJ7" s="7">
        <v>0</v>
      </c>
      <c r="AK7" s="14">
        <f t="shared" si="11"/>
        <v>4</v>
      </c>
      <c r="AL7" s="7">
        <v>0</v>
      </c>
      <c r="AM7" s="7">
        <v>0</v>
      </c>
      <c r="AN7" s="14">
        <f t="shared" si="12"/>
        <v>4</v>
      </c>
      <c r="AO7" s="7">
        <v>0</v>
      </c>
      <c r="AP7" s="7">
        <v>0</v>
      </c>
      <c r="AQ7" s="14">
        <f t="shared" si="13"/>
        <v>4</v>
      </c>
      <c r="AR7" s="7">
        <v>0</v>
      </c>
      <c r="AS7" s="7">
        <v>0</v>
      </c>
      <c r="AT7" s="14">
        <f t="shared" si="14"/>
        <v>4</v>
      </c>
      <c r="AU7" s="7">
        <v>0</v>
      </c>
      <c r="AV7" s="7">
        <v>0</v>
      </c>
      <c r="AW7" s="14">
        <f t="shared" si="15"/>
        <v>4</v>
      </c>
      <c r="AX7" s="7">
        <v>0</v>
      </c>
      <c r="AY7" s="7">
        <v>0</v>
      </c>
      <c r="AZ7" s="14">
        <f t="shared" si="16"/>
        <v>4</v>
      </c>
      <c r="BA7" s="7">
        <v>0</v>
      </c>
      <c r="BB7" s="7">
        <v>0</v>
      </c>
      <c r="BC7" s="14">
        <f t="shared" si="17"/>
        <v>4</v>
      </c>
      <c r="BD7" s="7">
        <v>0</v>
      </c>
      <c r="BE7" s="7">
        <v>0</v>
      </c>
      <c r="BF7" s="14">
        <f t="shared" si="18"/>
        <v>4</v>
      </c>
      <c r="BG7" s="7">
        <v>0</v>
      </c>
      <c r="BH7" s="7">
        <v>0</v>
      </c>
      <c r="BI7" s="14">
        <f t="shared" si="19"/>
        <v>4</v>
      </c>
      <c r="BJ7" s="7">
        <v>0</v>
      </c>
      <c r="BK7" s="7">
        <v>0</v>
      </c>
      <c r="BL7" s="14">
        <f t="shared" si="20"/>
        <v>4</v>
      </c>
      <c r="BM7" s="7">
        <v>0</v>
      </c>
      <c r="BN7" s="7">
        <v>0</v>
      </c>
      <c r="BO7" s="14">
        <f t="shared" si="21"/>
        <v>4</v>
      </c>
      <c r="BP7" s="7">
        <v>0</v>
      </c>
      <c r="BQ7" s="7">
        <v>0</v>
      </c>
      <c r="BR7" s="14">
        <f t="shared" si="22"/>
        <v>4</v>
      </c>
      <c r="BS7" s="7">
        <v>0</v>
      </c>
      <c r="BT7" s="7">
        <v>0</v>
      </c>
      <c r="BU7" s="14">
        <f t="shared" si="23"/>
        <v>4</v>
      </c>
      <c r="BV7" s="11">
        <v>0</v>
      </c>
      <c r="BW7" s="12">
        <v>3</v>
      </c>
      <c r="BX7" s="15">
        <f t="shared" si="24"/>
        <v>1</v>
      </c>
    </row>
    <row r="8" spans="1:76" x14ac:dyDescent="0.2">
      <c r="A8" s="13" t="s">
        <v>82</v>
      </c>
      <c r="B8" s="7">
        <v>5</v>
      </c>
      <c r="C8" s="7">
        <v>0</v>
      </c>
      <c r="D8" s="7">
        <v>0</v>
      </c>
      <c r="E8" s="8">
        <f t="shared" si="0"/>
        <v>5</v>
      </c>
      <c r="F8" s="7">
        <v>0</v>
      </c>
      <c r="G8" s="7">
        <v>0</v>
      </c>
      <c r="H8" s="8">
        <f t="shared" si="1"/>
        <v>5</v>
      </c>
      <c r="I8" s="7">
        <v>0</v>
      </c>
      <c r="J8" s="7">
        <v>0</v>
      </c>
      <c r="K8" s="8">
        <f t="shared" si="2"/>
        <v>5</v>
      </c>
      <c r="L8" s="9">
        <v>0</v>
      </c>
      <c r="M8" s="10">
        <v>0</v>
      </c>
      <c r="N8" s="9">
        <f t="shared" si="3"/>
        <v>5</v>
      </c>
      <c r="O8" s="9">
        <v>0</v>
      </c>
      <c r="P8" s="9">
        <v>0</v>
      </c>
      <c r="Q8" s="9">
        <f t="shared" si="4"/>
        <v>5</v>
      </c>
      <c r="R8" s="9">
        <v>0</v>
      </c>
      <c r="S8" s="9">
        <v>0</v>
      </c>
      <c r="T8" s="9">
        <f t="shared" si="5"/>
        <v>5</v>
      </c>
      <c r="U8" s="9">
        <v>0</v>
      </c>
      <c r="V8" s="9">
        <f t="shared" si="6"/>
        <v>5</v>
      </c>
      <c r="W8" s="9">
        <v>0</v>
      </c>
      <c r="X8" s="9">
        <v>0</v>
      </c>
      <c r="Y8" s="9">
        <f t="shared" si="7"/>
        <v>5</v>
      </c>
      <c r="Z8" s="9">
        <v>0</v>
      </c>
      <c r="AA8" s="9">
        <f t="shared" si="8"/>
        <v>5</v>
      </c>
      <c r="AB8" s="9">
        <v>0</v>
      </c>
      <c r="AC8" s="9">
        <v>0</v>
      </c>
      <c r="AD8" s="9">
        <f t="shared" si="9"/>
        <v>5</v>
      </c>
      <c r="AE8" s="9">
        <v>0</v>
      </c>
      <c r="AF8" s="9">
        <f t="shared" si="10"/>
        <v>5</v>
      </c>
      <c r="AG8" s="9">
        <v>0</v>
      </c>
      <c r="AH8" s="9">
        <f t="shared" si="25"/>
        <v>5</v>
      </c>
      <c r="AI8" s="7">
        <v>0</v>
      </c>
      <c r="AJ8" s="7">
        <v>0</v>
      </c>
      <c r="AK8" s="14">
        <f t="shared" si="11"/>
        <v>5</v>
      </c>
      <c r="AL8" s="7">
        <v>0</v>
      </c>
      <c r="AM8" s="7">
        <v>0</v>
      </c>
      <c r="AN8" s="14">
        <f t="shared" si="12"/>
        <v>5</v>
      </c>
      <c r="AO8" s="7">
        <v>0</v>
      </c>
      <c r="AP8" s="7">
        <v>0</v>
      </c>
      <c r="AQ8" s="14">
        <f t="shared" si="13"/>
        <v>5</v>
      </c>
      <c r="AR8" s="7">
        <v>0</v>
      </c>
      <c r="AS8" s="7">
        <v>0</v>
      </c>
      <c r="AT8" s="14">
        <f t="shared" si="14"/>
        <v>5</v>
      </c>
      <c r="AU8" s="7">
        <v>0</v>
      </c>
      <c r="AV8" s="7">
        <v>0</v>
      </c>
      <c r="AW8" s="14">
        <f t="shared" si="15"/>
        <v>5</v>
      </c>
      <c r="AX8" s="7">
        <v>0</v>
      </c>
      <c r="AY8" s="7">
        <v>0</v>
      </c>
      <c r="AZ8" s="14">
        <f t="shared" si="16"/>
        <v>5</v>
      </c>
      <c r="BA8" s="7">
        <v>0</v>
      </c>
      <c r="BB8" s="7">
        <v>0</v>
      </c>
      <c r="BC8" s="14">
        <f t="shared" si="17"/>
        <v>5</v>
      </c>
      <c r="BD8" s="7">
        <v>0</v>
      </c>
      <c r="BE8" s="7">
        <v>0</v>
      </c>
      <c r="BF8" s="14">
        <f t="shared" si="18"/>
        <v>5</v>
      </c>
      <c r="BG8" s="7">
        <v>0</v>
      </c>
      <c r="BH8" s="7">
        <v>0</v>
      </c>
      <c r="BI8" s="14">
        <f t="shared" si="19"/>
        <v>5</v>
      </c>
      <c r="BJ8" s="7">
        <v>0</v>
      </c>
      <c r="BK8" s="7">
        <v>0</v>
      </c>
      <c r="BL8" s="14">
        <f t="shared" si="20"/>
        <v>5</v>
      </c>
      <c r="BM8" s="7">
        <v>0</v>
      </c>
      <c r="BN8" s="7">
        <v>0</v>
      </c>
      <c r="BO8" s="14">
        <f t="shared" si="21"/>
        <v>5</v>
      </c>
      <c r="BP8" s="7">
        <v>0</v>
      </c>
      <c r="BQ8" s="7">
        <v>0</v>
      </c>
      <c r="BR8" s="14">
        <f t="shared" si="22"/>
        <v>5</v>
      </c>
      <c r="BS8" s="7">
        <v>0</v>
      </c>
      <c r="BT8" s="7">
        <v>1</v>
      </c>
      <c r="BU8" s="14">
        <f t="shared" si="23"/>
        <v>4</v>
      </c>
      <c r="BV8" s="11">
        <v>0</v>
      </c>
      <c r="BW8" s="11">
        <v>0</v>
      </c>
      <c r="BX8" s="15">
        <f t="shared" si="24"/>
        <v>4</v>
      </c>
    </row>
    <row r="9" spans="1:76" x14ac:dyDescent="0.2">
      <c r="A9" s="13" t="s">
        <v>83</v>
      </c>
      <c r="B9" s="7">
        <v>9</v>
      </c>
      <c r="C9" s="7">
        <v>0</v>
      </c>
      <c r="D9" s="7">
        <v>0</v>
      </c>
      <c r="E9" s="8">
        <f t="shared" si="0"/>
        <v>9</v>
      </c>
      <c r="F9" s="7">
        <v>0</v>
      </c>
      <c r="G9" s="7">
        <v>0</v>
      </c>
      <c r="H9" s="8">
        <f t="shared" si="1"/>
        <v>9</v>
      </c>
      <c r="I9" s="7">
        <v>0</v>
      </c>
      <c r="J9" s="7">
        <v>0</v>
      </c>
      <c r="K9" s="8">
        <f t="shared" si="2"/>
        <v>9</v>
      </c>
      <c r="L9" s="9">
        <v>0</v>
      </c>
      <c r="M9" s="10">
        <v>0</v>
      </c>
      <c r="N9" s="9">
        <f t="shared" si="3"/>
        <v>9</v>
      </c>
      <c r="O9" s="9">
        <v>0</v>
      </c>
      <c r="P9" s="9">
        <v>0</v>
      </c>
      <c r="Q9" s="9">
        <f t="shared" si="4"/>
        <v>9</v>
      </c>
      <c r="R9" s="9">
        <v>0</v>
      </c>
      <c r="S9" s="9">
        <v>0</v>
      </c>
      <c r="T9" s="9">
        <f t="shared" si="5"/>
        <v>9</v>
      </c>
      <c r="U9" s="9">
        <v>0</v>
      </c>
      <c r="V9" s="9">
        <f t="shared" si="6"/>
        <v>9</v>
      </c>
      <c r="W9" s="9">
        <v>0</v>
      </c>
      <c r="X9" s="9">
        <v>0</v>
      </c>
      <c r="Y9" s="9">
        <f t="shared" si="7"/>
        <v>9</v>
      </c>
      <c r="Z9" s="9">
        <v>0</v>
      </c>
      <c r="AA9" s="9">
        <f t="shared" si="8"/>
        <v>9</v>
      </c>
      <c r="AB9" s="9">
        <v>0</v>
      </c>
      <c r="AC9" s="9">
        <v>0</v>
      </c>
      <c r="AD9" s="9">
        <f t="shared" si="9"/>
        <v>9</v>
      </c>
      <c r="AE9" s="9">
        <v>0</v>
      </c>
      <c r="AF9" s="9">
        <f t="shared" si="10"/>
        <v>9</v>
      </c>
      <c r="AG9" s="9">
        <v>0</v>
      </c>
      <c r="AH9" s="9">
        <f t="shared" si="25"/>
        <v>9</v>
      </c>
      <c r="AI9" s="7">
        <v>0</v>
      </c>
      <c r="AJ9" s="7">
        <v>0</v>
      </c>
      <c r="AK9" s="14">
        <f t="shared" si="11"/>
        <v>9</v>
      </c>
      <c r="AL9" s="7">
        <v>0</v>
      </c>
      <c r="AM9" s="7">
        <v>0</v>
      </c>
      <c r="AN9" s="14">
        <f t="shared" si="12"/>
        <v>9</v>
      </c>
      <c r="AO9" s="7">
        <v>0</v>
      </c>
      <c r="AP9" s="7">
        <v>0</v>
      </c>
      <c r="AQ9" s="14">
        <f t="shared" si="13"/>
        <v>9</v>
      </c>
      <c r="AR9" s="7">
        <v>0</v>
      </c>
      <c r="AS9" s="7">
        <v>0</v>
      </c>
      <c r="AT9" s="14">
        <f t="shared" si="14"/>
        <v>9</v>
      </c>
      <c r="AU9" s="7">
        <v>0</v>
      </c>
      <c r="AV9" s="7">
        <v>0</v>
      </c>
      <c r="AW9" s="14">
        <f t="shared" si="15"/>
        <v>9</v>
      </c>
      <c r="AX9" s="7">
        <v>0</v>
      </c>
      <c r="AY9" s="7">
        <v>0</v>
      </c>
      <c r="AZ9" s="14">
        <f t="shared" si="16"/>
        <v>9</v>
      </c>
      <c r="BA9" s="7">
        <v>0</v>
      </c>
      <c r="BB9" s="7">
        <v>0</v>
      </c>
      <c r="BC9" s="14">
        <f t="shared" si="17"/>
        <v>9</v>
      </c>
      <c r="BD9" s="7">
        <v>0</v>
      </c>
      <c r="BE9" s="7">
        <v>0</v>
      </c>
      <c r="BF9" s="14">
        <f t="shared" si="18"/>
        <v>9</v>
      </c>
      <c r="BG9" s="7">
        <v>0</v>
      </c>
      <c r="BH9" s="7">
        <v>0</v>
      </c>
      <c r="BI9" s="14">
        <f t="shared" si="19"/>
        <v>9</v>
      </c>
      <c r="BJ9" s="7">
        <v>0</v>
      </c>
      <c r="BK9" s="7">
        <v>0</v>
      </c>
      <c r="BL9" s="14">
        <f t="shared" si="20"/>
        <v>9</v>
      </c>
      <c r="BM9" s="7">
        <v>0</v>
      </c>
      <c r="BN9" s="7">
        <v>0</v>
      </c>
      <c r="BO9" s="14">
        <f t="shared" si="21"/>
        <v>9</v>
      </c>
      <c r="BP9" s="7">
        <v>0</v>
      </c>
      <c r="BQ9" s="7">
        <v>0</v>
      </c>
      <c r="BR9" s="14">
        <f t="shared" si="22"/>
        <v>9</v>
      </c>
      <c r="BS9" s="7">
        <v>0</v>
      </c>
      <c r="BT9" s="7">
        <v>0</v>
      </c>
      <c r="BU9" s="14">
        <f t="shared" si="23"/>
        <v>9</v>
      </c>
      <c r="BV9" s="11">
        <v>0</v>
      </c>
      <c r="BW9" s="11">
        <v>0</v>
      </c>
      <c r="BX9" s="15">
        <f t="shared" si="24"/>
        <v>9</v>
      </c>
    </row>
    <row r="10" spans="1:76" x14ac:dyDescent="0.2">
      <c r="A10" s="16" t="s">
        <v>84</v>
      </c>
      <c r="B10" s="7">
        <v>0</v>
      </c>
      <c r="C10" s="7">
        <v>0</v>
      </c>
      <c r="D10" s="7">
        <v>0</v>
      </c>
      <c r="E10" s="8">
        <f t="shared" si="0"/>
        <v>0</v>
      </c>
      <c r="F10" s="7">
        <v>0</v>
      </c>
      <c r="G10" s="7">
        <v>0</v>
      </c>
      <c r="H10" s="8">
        <f t="shared" si="1"/>
        <v>0</v>
      </c>
      <c r="I10" s="7">
        <v>0</v>
      </c>
      <c r="J10" s="7">
        <v>0</v>
      </c>
      <c r="K10" s="8">
        <f t="shared" si="2"/>
        <v>0</v>
      </c>
      <c r="L10" s="9">
        <v>0</v>
      </c>
      <c r="M10" s="10">
        <v>0</v>
      </c>
      <c r="N10" s="9">
        <f t="shared" si="3"/>
        <v>0</v>
      </c>
      <c r="O10" s="9">
        <v>0</v>
      </c>
      <c r="P10" s="9">
        <v>0</v>
      </c>
      <c r="Q10" s="9">
        <f t="shared" si="4"/>
        <v>0</v>
      </c>
      <c r="R10" s="9">
        <v>0</v>
      </c>
      <c r="S10" s="9">
        <v>0</v>
      </c>
      <c r="T10" s="9">
        <f t="shared" si="5"/>
        <v>0</v>
      </c>
      <c r="U10" s="9">
        <v>0</v>
      </c>
      <c r="V10" s="9">
        <f t="shared" si="6"/>
        <v>0</v>
      </c>
      <c r="W10" s="9">
        <v>0</v>
      </c>
      <c r="X10" s="9">
        <v>0</v>
      </c>
      <c r="Y10" s="9">
        <f t="shared" si="7"/>
        <v>0</v>
      </c>
      <c r="Z10" s="9">
        <v>0</v>
      </c>
      <c r="AA10" s="9">
        <f t="shared" si="8"/>
        <v>0</v>
      </c>
      <c r="AB10" s="9">
        <v>0</v>
      </c>
      <c r="AC10" s="9">
        <v>0</v>
      </c>
      <c r="AD10" s="9">
        <f t="shared" si="9"/>
        <v>0</v>
      </c>
      <c r="AE10" s="9">
        <v>0</v>
      </c>
      <c r="AF10" s="9">
        <f t="shared" si="10"/>
        <v>0</v>
      </c>
      <c r="AG10" s="9">
        <v>0</v>
      </c>
      <c r="AH10" s="9">
        <f t="shared" si="25"/>
        <v>0</v>
      </c>
      <c r="AI10" s="7">
        <v>0</v>
      </c>
      <c r="AJ10" s="7">
        <v>0</v>
      </c>
      <c r="AK10" s="14">
        <f t="shared" si="11"/>
        <v>0</v>
      </c>
      <c r="AL10" s="7">
        <v>0</v>
      </c>
      <c r="AM10" s="7">
        <v>0</v>
      </c>
      <c r="AN10" s="14">
        <f t="shared" si="12"/>
        <v>0</v>
      </c>
      <c r="AO10" s="7">
        <v>0</v>
      </c>
      <c r="AP10" s="7">
        <v>0</v>
      </c>
      <c r="AQ10" s="14">
        <f t="shared" si="13"/>
        <v>0</v>
      </c>
      <c r="AR10" s="7">
        <v>0</v>
      </c>
      <c r="AS10" s="7">
        <v>0</v>
      </c>
      <c r="AT10" s="14">
        <f t="shared" si="14"/>
        <v>0</v>
      </c>
      <c r="AU10" s="7">
        <v>0</v>
      </c>
      <c r="AV10" s="7">
        <v>0</v>
      </c>
      <c r="AW10" s="14">
        <f t="shared" si="15"/>
        <v>0</v>
      </c>
      <c r="AX10" s="7">
        <v>0</v>
      </c>
      <c r="AY10" s="7">
        <v>0</v>
      </c>
      <c r="AZ10" s="14">
        <f t="shared" si="16"/>
        <v>0</v>
      </c>
      <c r="BA10" s="7">
        <v>0</v>
      </c>
      <c r="BB10" s="7">
        <v>1</v>
      </c>
      <c r="BC10" s="14">
        <f t="shared" si="17"/>
        <v>-1</v>
      </c>
      <c r="BD10" s="7">
        <v>0</v>
      </c>
      <c r="BE10" s="7">
        <v>0</v>
      </c>
      <c r="BF10" s="14">
        <f t="shared" si="18"/>
        <v>-1</v>
      </c>
      <c r="BG10" s="7">
        <v>0</v>
      </c>
      <c r="BH10" s="7">
        <v>0</v>
      </c>
      <c r="BI10" s="14">
        <f t="shared" si="19"/>
        <v>-1</v>
      </c>
      <c r="BJ10" s="7">
        <v>0</v>
      </c>
      <c r="BK10" s="7">
        <v>0</v>
      </c>
      <c r="BL10" s="14">
        <f t="shared" si="20"/>
        <v>-1</v>
      </c>
      <c r="BM10" s="7">
        <v>0</v>
      </c>
      <c r="BN10" s="7">
        <v>0</v>
      </c>
      <c r="BO10" s="14">
        <f t="shared" si="21"/>
        <v>-1</v>
      </c>
      <c r="BP10" s="7">
        <v>12</v>
      </c>
      <c r="BQ10" s="7">
        <v>0</v>
      </c>
      <c r="BR10" s="14">
        <f t="shared" si="22"/>
        <v>11</v>
      </c>
      <c r="BS10" s="7">
        <v>0</v>
      </c>
      <c r="BT10" s="7">
        <v>0</v>
      </c>
      <c r="BU10" s="14">
        <f t="shared" si="23"/>
        <v>11</v>
      </c>
      <c r="BV10" s="11">
        <v>0</v>
      </c>
      <c r="BW10" s="11">
        <v>0</v>
      </c>
      <c r="BX10" s="15">
        <f t="shared" si="24"/>
        <v>11</v>
      </c>
    </row>
    <row r="11" spans="1:76" x14ac:dyDescent="0.2">
      <c r="A11" s="13" t="s">
        <v>85</v>
      </c>
      <c r="B11" s="7">
        <v>16</v>
      </c>
      <c r="C11" s="7">
        <v>0</v>
      </c>
      <c r="D11" s="7">
        <v>0</v>
      </c>
      <c r="E11" s="8">
        <f t="shared" si="0"/>
        <v>16</v>
      </c>
      <c r="F11" s="7">
        <v>0</v>
      </c>
      <c r="G11" s="7">
        <v>0</v>
      </c>
      <c r="H11" s="8">
        <f t="shared" si="1"/>
        <v>16</v>
      </c>
      <c r="I11" s="7">
        <v>0</v>
      </c>
      <c r="J11" s="7">
        <v>0</v>
      </c>
      <c r="K11" s="8">
        <f t="shared" si="2"/>
        <v>16</v>
      </c>
      <c r="L11" s="9">
        <v>0</v>
      </c>
      <c r="M11" s="10">
        <v>0</v>
      </c>
      <c r="N11" s="9">
        <f t="shared" si="3"/>
        <v>16</v>
      </c>
      <c r="O11" s="9">
        <v>0</v>
      </c>
      <c r="P11" s="9">
        <v>0</v>
      </c>
      <c r="Q11" s="9">
        <f t="shared" si="4"/>
        <v>16</v>
      </c>
      <c r="R11" s="9">
        <v>0</v>
      </c>
      <c r="S11" s="9">
        <v>0</v>
      </c>
      <c r="T11" s="9">
        <f t="shared" si="5"/>
        <v>16</v>
      </c>
      <c r="U11" s="9">
        <v>0</v>
      </c>
      <c r="V11" s="9">
        <f t="shared" si="6"/>
        <v>16</v>
      </c>
      <c r="W11" s="9">
        <v>0</v>
      </c>
      <c r="X11" s="9">
        <v>0</v>
      </c>
      <c r="Y11" s="9">
        <f t="shared" si="7"/>
        <v>16</v>
      </c>
      <c r="Z11" s="9">
        <v>0</v>
      </c>
      <c r="AA11" s="9">
        <f t="shared" si="8"/>
        <v>16</v>
      </c>
      <c r="AB11" s="9">
        <v>0</v>
      </c>
      <c r="AC11" s="9">
        <v>0</v>
      </c>
      <c r="AD11" s="9">
        <f t="shared" si="9"/>
        <v>16</v>
      </c>
      <c r="AE11" s="9">
        <v>0</v>
      </c>
      <c r="AF11" s="9">
        <f t="shared" si="10"/>
        <v>16</v>
      </c>
      <c r="AG11" s="9">
        <v>0</v>
      </c>
      <c r="AH11" s="9">
        <f t="shared" si="25"/>
        <v>16</v>
      </c>
      <c r="AI11" s="7">
        <v>0</v>
      </c>
      <c r="AJ11" s="7">
        <v>0</v>
      </c>
      <c r="AK11" s="14">
        <f t="shared" si="11"/>
        <v>16</v>
      </c>
      <c r="AL11" s="7">
        <v>0</v>
      </c>
      <c r="AM11" s="7">
        <v>0</v>
      </c>
      <c r="AN11" s="14">
        <f t="shared" si="12"/>
        <v>16</v>
      </c>
      <c r="AO11" s="7">
        <v>0</v>
      </c>
      <c r="AP11" s="7">
        <v>2</v>
      </c>
      <c r="AQ11" s="14">
        <f t="shared" si="13"/>
        <v>14</v>
      </c>
      <c r="AR11" s="7">
        <v>0</v>
      </c>
      <c r="AS11" s="7">
        <v>0</v>
      </c>
      <c r="AT11" s="14">
        <f t="shared" si="14"/>
        <v>14</v>
      </c>
      <c r="AU11" s="7">
        <v>0</v>
      </c>
      <c r="AV11" s="7">
        <v>0</v>
      </c>
      <c r="AW11" s="14">
        <f t="shared" si="15"/>
        <v>14</v>
      </c>
      <c r="AX11" s="7">
        <v>0</v>
      </c>
      <c r="AY11" s="7">
        <v>0</v>
      </c>
      <c r="AZ11" s="14">
        <f t="shared" si="16"/>
        <v>14</v>
      </c>
      <c r="BA11" s="7">
        <v>0</v>
      </c>
      <c r="BB11" s="7">
        <v>0</v>
      </c>
      <c r="BC11" s="14">
        <f t="shared" si="17"/>
        <v>14</v>
      </c>
      <c r="BD11" s="7">
        <v>0</v>
      </c>
      <c r="BE11" s="7">
        <v>0</v>
      </c>
      <c r="BF11" s="14">
        <f t="shared" si="18"/>
        <v>14</v>
      </c>
      <c r="BG11" s="7">
        <v>0</v>
      </c>
      <c r="BH11" s="7">
        <v>0</v>
      </c>
      <c r="BI11" s="14">
        <f t="shared" si="19"/>
        <v>14</v>
      </c>
      <c r="BJ11" s="7">
        <v>0</v>
      </c>
      <c r="BK11" s="7">
        <v>0</v>
      </c>
      <c r="BL11" s="14">
        <f t="shared" si="20"/>
        <v>14</v>
      </c>
      <c r="BM11" s="7">
        <v>0</v>
      </c>
      <c r="BN11" s="7">
        <v>0</v>
      </c>
      <c r="BO11" s="14">
        <f t="shared" si="21"/>
        <v>14</v>
      </c>
      <c r="BP11" s="7">
        <v>0</v>
      </c>
      <c r="BQ11" s="7">
        <v>0</v>
      </c>
      <c r="BR11" s="14">
        <f t="shared" si="22"/>
        <v>14</v>
      </c>
      <c r="BS11" s="7">
        <v>0</v>
      </c>
      <c r="BT11" s="7">
        <v>0</v>
      </c>
      <c r="BU11" s="14">
        <f t="shared" si="23"/>
        <v>14</v>
      </c>
      <c r="BV11" s="11">
        <v>0</v>
      </c>
      <c r="BW11" s="11">
        <v>0</v>
      </c>
      <c r="BX11" s="15">
        <f t="shared" si="24"/>
        <v>14</v>
      </c>
    </row>
    <row r="12" spans="1:76" x14ac:dyDescent="0.2">
      <c r="A12" s="13" t="s">
        <v>86</v>
      </c>
      <c r="B12" s="7">
        <v>5</v>
      </c>
      <c r="C12" s="7">
        <v>0</v>
      </c>
      <c r="D12" s="7">
        <v>0</v>
      </c>
      <c r="E12" s="8">
        <f t="shared" si="0"/>
        <v>5</v>
      </c>
      <c r="F12" s="7">
        <v>0</v>
      </c>
      <c r="G12" s="7">
        <v>0</v>
      </c>
      <c r="H12" s="8">
        <f t="shared" si="1"/>
        <v>5</v>
      </c>
      <c r="I12" s="7">
        <v>0</v>
      </c>
      <c r="J12" s="7">
        <v>0</v>
      </c>
      <c r="K12" s="8">
        <f t="shared" si="2"/>
        <v>5</v>
      </c>
      <c r="L12" s="9">
        <v>0</v>
      </c>
      <c r="M12" s="10">
        <v>0</v>
      </c>
      <c r="N12" s="9">
        <f t="shared" si="3"/>
        <v>5</v>
      </c>
      <c r="O12" s="9">
        <v>0</v>
      </c>
      <c r="P12" s="9">
        <v>0</v>
      </c>
      <c r="Q12" s="9">
        <f t="shared" si="4"/>
        <v>5</v>
      </c>
      <c r="R12" s="9">
        <v>0</v>
      </c>
      <c r="S12" s="9">
        <v>0</v>
      </c>
      <c r="T12" s="9">
        <f t="shared" si="5"/>
        <v>5</v>
      </c>
      <c r="U12" s="9">
        <v>0</v>
      </c>
      <c r="V12" s="9">
        <f t="shared" si="6"/>
        <v>5</v>
      </c>
      <c r="W12" s="9">
        <v>0</v>
      </c>
      <c r="X12" s="9">
        <v>0</v>
      </c>
      <c r="Y12" s="9">
        <f t="shared" si="7"/>
        <v>5</v>
      </c>
      <c r="Z12" s="9">
        <v>0</v>
      </c>
      <c r="AA12" s="9">
        <f t="shared" si="8"/>
        <v>5</v>
      </c>
      <c r="AB12" s="9">
        <v>0</v>
      </c>
      <c r="AC12" s="9">
        <v>0</v>
      </c>
      <c r="AD12" s="9">
        <f t="shared" si="9"/>
        <v>5</v>
      </c>
      <c r="AE12" s="9">
        <v>0</v>
      </c>
      <c r="AF12" s="9">
        <f t="shared" si="10"/>
        <v>5</v>
      </c>
      <c r="AG12" s="9">
        <v>0</v>
      </c>
      <c r="AH12" s="9">
        <f t="shared" si="25"/>
        <v>5</v>
      </c>
      <c r="AI12" s="7">
        <v>0</v>
      </c>
      <c r="AJ12" s="7">
        <v>0</v>
      </c>
      <c r="AK12" s="14">
        <f t="shared" si="11"/>
        <v>5</v>
      </c>
      <c r="AL12" s="7">
        <v>0</v>
      </c>
      <c r="AM12" s="7">
        <v>0</v>
      </c>
      <c r="AN12" s="14">
        <f t="shared" si="12"/>
        <v>5</v>
      </c>
      <c r="AO12" s="7">
        <v>0</v>
      </c>
      <c r="AP12" s="7">
        <v>0</v>
      </c>
      <c r="AQ12" s="14">
        <f t="shared" si="13"/>
        <v>5</v>
      </c>
      <c r="AR12" s="7">
        <v>0</v>
      </c>
      <c r="AS12" s="7">
        <v>0</v>
      </c>
      <c r="AT12" s="14">
        <f t="shared" si="14"/>
        <v>5</v>
      </c>
      <c r="AU12" s="7">
        <v>0</v>
      </c>
      <c r="AV12" s="7">
        <v>0</v>
      </c>
      <c r="AW12" s="14">
        <f t="shared" si="15"/>
        <v>5</v>
      </c>
      <c r="AX12" s="7">
        <v>0</v>
      </c>
      <c r="AY12" s="7">
        <v>0</v>
      </c>
      <c r="AZ12" s="14">
        <f t="shared" si="16"/>
        <v>5</v>
      </c>
      <c r="BA12" s="7">
        <v>0</v>
      </c>
      <c r="BB12" s="7">
        <v>0</v>
      </c>
      <c r="BC12" s="14">
        <f t="shared" si="17"/>
        <v>5</v>
      </c>
      <c r="BD12" s="7">
        <v>0</v>
      </c>
      <c r="BE12" s="7">
        <v>0</v>
      </c>
      <c r="BF12" s="14">
        <f t="shared" si="18"/>
        <v>5</v>
      </c>
      <c r="BG12" s="7">
        <v>0</v>
      </c>
      <c r="BH12" s="7">
        <v>0</v>
      </c>
      <c r="BI12" s="14">
        <f t="shared" si="19"/>
        <v>5</v>
      </c>
      <c r="BJ12" s="7">
        <v>0</v>
      </c>
      <c r="BK12" s="7">
        <v>0</v>
      </c>
      <c r="BL12" s="14">
        <f t="shared" si="20"/>
        <v>5</v>
      </c>
      <c r="BM12" s="7">
        <v>0</v>
      </c>
      <c r="BN12" s="7">
        <v>0</v>
      </c>
      <c r="BO12" s="14">
        <f t="shared" si="21"/>
        <v>5</v>
      </c>
      <c r="BP12" s="7">
        <v>0</v>
      </c>
      <c r="BQ12" s="7">
        <v>0</v>
      </c>
      <c r="BR12" s="14">
        <f t="shared" si="22"/>
        <v>5</v>
      </c>
      <c r="BS12" s="7">
        <v>0</v>
      </c>
      <c r="BT12" s="7">
        <v>0</v>
      </c>
      <c r="BU12" s="14">
        <f t="shared" si="23"/>
        <v>5</v>
      </c>
      <c r="BV12" s="11">
        <v>0</v>
      </c>
      <c r="BW12" s="11">
        <v>0</v>
      </c>
      <c r="BX12" s="15">
        <f t="shared" si="24"/>
        <v>5</v>
      </c>
    </row>
    <row r="13" spans="1:76" x14ac:dyDescent="0.2">
      <c r="A13" s="13" t="s">
        <v>87</v>
      </c>
      <c r="B13" s="7">
        <v>10</v>
      </c>
      <c r="C13" s="7">
        <v>0</v>
      </c>
      <c r="D13" s="7">
        <v>0</v>
      </c>
      <c r="E13" s="8">
        <f t="shared" si="0"/>
        <v>10</v>
      </c>
      <c r="F13" s="7">
        <v>0</v>
      </c>
      <c r="G13" s="7">
        <v>0</v>
      </c>
      <c r="H13" s="8">
        <f t="shared" si="1"/>
        <v>10</v>
      </c>
      <c r="I13" s="7">
        <v>0</v>
      </c>
      <c r="J13" s="7">
        <v>0</v>
      </c>
      <c r="K13" s="8">
        <f t="shared" si="2"/>
        <v>10</v>
      </c>
      <c r="L13" s="9">
        <v>0</v>
      </c>
      <c r="M13" s="10">
        <v>0</v>
      </c>
      <c r="N13" s="9">
        <f t="shared" si="3"/>
        <v>10</v>
      </c>
      <c r="O13" s="9">
        <v>0</v>
      </c>
      <c r="P13" s="9">
        <v>0</v>
      </c>
      <c r="Q13" s="9">
        <f t="shared" si="4"/>
        <v>10</v>
      </c>
      <c r="R13" s="9">
        <v>0</v>
      </c>
      <c r="S13" s="9">
        <v>0</v>
      </c>
      <c r="T13" s="9">
        <f t="shared" si="5"/>
        <v>10</v>
      </c>
      <c r="U13" s="9">
        <v>0</v>
      </c>
      <c r="V13" s="9">
        <f t="shared" si="6"/>
        <v>10</v>
      </c>
      <c r="W13" s="9">
        <v>0</v>
      </c>
      <c r="X13" s="9">
        <v>0</v>
      </c>
      <c r="Y13" s="9">
        <f t="shared" si="7"/>
        <v>10</v>
      </c>
      <c r="Z13" s="9">
        <v>0</v>
      </c>
      <c r="AA13" s="9">
        <f t="shared" si="8"/>
        <v>10</v>
      </c>
      <c r="AB13" s="9">
        <v>0</v>
      </c>
      <c r="AC13" s="9">
        <v>0</v>
      </c>
      <c r="AD13" s="9">
        <f t="shared" si="9"/>
        <v>10</v>
      </c>
      <c r="AE13" s="9">
        <v>0</v>
      </c>
      <c r="AF13" s="9">
        <f t="shared" si="10"/>
        <v>10</v>
      </c>
      <c r="AG13" s="9">
        <v>0</v>
      </c>
      <c r="AH13" s="9">
        <f t="shared" si="25"/>
        <v>10</v>
      </c>
      <c r="AI13" s="7">
        <v>0</v>
      </c>
      <c r="AJ13" s="7">
        <v>0</v>
      </c>
      <c r="AK13" s="14">
        <f t="shared" si="11"/>
        <v>10</v>
      </c>
      <c r="AL13" s="7">
        <v>0</v>
      </c>
      <c r="AM13" s="7">
        <v>1</v>
      </c>
      <c r="AN13" s="14">
        <f t="shared" si="12"/>
        <v>9</v>
      </c>
      <c r="AO13" s="7">
        <v>0</v>
      </c>
      <c r="AP13" s="7">
        <v>1</v>
      </c>
      <c r="AQ13" s="14">
        <f t="shared" si="13"/>
        <v>8</v>
      </c>
      <c r="AR13" s="7">
        <v>0</v>
      </c>
      <c r="AS13" s="7">
        <v>0</v>
      </c>
      <c r="AT13" s="14">
        <f t="shared" si="14"/>
        <v>8</v>
      </c>
      <c r="AU13" s="7">
        <v>0</v>
      </c>
      <c r="AV13" s="7">
        <v>0</v>
      </c>
      <c r="AW13" s="14">
        <f t="shared" si="15"/>
        <v>8</v>
      </c>
      <c r="AX13" s="7">
        <v>0</v>
      </c>
      <c r="AY13" s="7">
        <v>0</v>
      </c>
      <c r="AZ13" s="14">
        <f t="shared" si="16"/>
        <v>8</v>
      </c>
      <c r="BA13" s="7">
        <v>0</v>
      </c>
      <c r="BB13" s="7">
        <v>0</v>
      </c>
      <c r="BC13" s="14">
        <f t="shared" si="17"/>
        <v>8</v>
      </c>
      <c r="BD13" s="7">
        <v>0</v>
      </c>
      <c r="BE13" s="7">
        <v>1</v>
      </c>
      <c r="BF13" s="14">
        <f t="shared" si="18"/>
        <v>7</v>
      </c>
      <c r="BG13" s="7">
        <v>0</v>
      </c>
      <c r="BH13" s="7">
        <v>0</v>
      </c>
      <c r="BI13" s="14">
        <f t="shared" si="19"/>
        <v>7</v>
      </c>
      <c r="BJ13" s="7">
        <v>0</v>
      </c>
      <c r="BK13" s="7">
        <v>0</v>
      </c>
      <c r="BL13" s="14">
        <f t="shared" si="20"/>
        <v>7</v>
      </c>
      <c r="BM13" s="7">
        <v>0</v>
      </c>
      <c r="BN13" s="7">
        <v>0</v>
      </c>
      <c r="BO13" s="14">
        <f t="shared" si="21"/>
        <v>7</v>
      </c>
      <c r="BP13" s="7">
        <v>0</v>
      </c>
      <c r="BQ13" s="7">
        <v>0</v>
      </c>
      <c r="BR13" s="14">
        <f t="shared" si="22"/>
        <v>7</v>
      </c>
      <c r="BS13" s="7">
        <v>0</v>
      </c>
      <c r="BT13" s="7">
        <v>0</v>
      </c>
      <c r="BU13" s="14">
        <f t="shared" si="23"/>
        <v>7</v>
      </c>
      <c r="BV13" s="11">
        <v>0</v>
      </c>
      <c r="BW13" s="11">
        <v>0</v>
      </c>
      <c r="BX13" s="15">
        <f t="shared" si="24"/>
        <v>7</v>
      </c>
    </row>
    <row r="14" spans="1:76" x14ac:dyDescent="0.2">
      <c r="A14" s="13" t="s">
        <v>88</v>
      </c>
      <c r="B14" s="7">
        <v>11</v>
      </c>
      <c r="C14" s="7">
        <v>0</v>
      </c>
      <c r="D14" s="7">
        <v>0</v>
      </c>
      <c r="E14" s="8">
        <f t="shared" si="0"/>
        <v>11</v>
      </c>
      <c r="F14" s="7">
        <v>0</v>
      </c>
      <c r="G14" s="7">
        <v>0</v>
      </c>
      <c r="H14" s="8">
        <f t="shared" si="1"/>
        <v>11</v>
      </c>
      <c r="I14" s="7">
        <v>0</v>
      </c>
      <c r="J14" s="7">
        <v>0</v>
      </c>
      <c r="K14" s="8">
        <f t="shared" si="2"/>
        <v>11</v>
      </c>
      <c r="L14" s="9">
        <v>0</v>
      </c>
      <c r="M14" s="10">
        <v>0</v>
      </c>
      <c r="N14" s="9">
        <f t="shared" si="3"/>
        <v>11</v>
      </c>
      <c r="O14" s="9">
        <v>0</v>
      </c>
      <c r="P14" s="9">
        <v>0</v>
      </c>
      <c r="Q14" s="9">
        <f t="shared" si="4"/>
        <v>11</v>
      </c>
      <c r="R14" s="9">
        <v>0</v>
      </c>
      <c r="S14" s="9">
        <v>0</v>
      </c>
      <c r="T14" s="9">
        <f t="shared" si="5"/>
        <v>11</v>
      </c>
      <c r="U14" s="9">
        <v>1</v>
      </c>
      <c r="V14" s="9">
        <f t="shared" si="6"/>
        <v>10</v>
      </c>
      <c r="W14" s="9">
        <v>0</v>
      </c>
      <c r="X14" s="9">
        <v>0</v>
      </c>
      <c r="Y14" s="9">
        <f t="shared" si="7"/>
        <v>10</v>
      </c>
      <c r="Z14" s="9">
        <v>0</v>
      </c>
      <c r="AA14" s="9">
        <f t="shared" si="8"/>
        <v>10</v>
      </c>
      <c r="AB14" s="9">
        <v>0</v>
      </c>
      <c r="AC14" s="9">
        <v>0</v>
      </c>
      <c r="AD14" s="9">
        <f t="shared" si="9"/>
        <v>10</v>
      </c>
      <c r="AE14" s="9">
        <v>0</v>
      </c>
      <c r="AF14" s="9">
        <f t="shared" si="10"/>
        <v>10</v>
      </c>
      <c r="AG14" s="9">
        <v>0</v>
      </c>
      <c r="AH14" s="9">
        <f t="shared" si="25"/>
        <v>10</v>
      </c>
      <c r="AI14" s="7">
        <v>0</v>
      </c>
      <c r="AJ14" s="7">
        <v>0</v>
      </c>
      <c r="AK14" s="14">
        <f t="shared" si="11"/>
        <v>10</v>
      </c>
      <c r="AL14" s="7">
        <v>0</v>
      </c>
      <c r="AM14" s="7">
        <v>0</v>
      </c>
      <c r="AN14" s="14">
        <f t="shared" si="12"/>
        <v>10</v>
      </c>
      <c r="AO14" s="7">
        <v>0</v>
      </c>
      <c r="AP14" s="7">
        <v>0</v>
      </c>
      <c r="AQ14" s="14">
        <f t="shared" si="13"/>
        <v>10</v>
      </c>
      <c r="AR14" s="7">
        <v>0</v>
      </c>
      <c r="AS14" s="7">
        <v>0</v>
      </c>
      <c r="AT14" s="14">
        <f t="shared" si="14"/>
        <v>10</v>
      </c>
      <c r="AU14" s="7">
        <v>0</v>
      </c>
      <c r="AV14" s="7">
        <v>0</v>
      </c>
      <c r="AW14" s="14">
        <f t="shared" si="15"/>
        <v>10</v>
      </c>
      <c r="AX14" s="7">
        <v>0</v>
      </c>
      <c r="AY14" s="7">
        <v>0</v>
      </c>
      <c r="AZ14" s="14">
        <f t="shared" si="16"/>
        <v>10</v>
      </c>
      <c r="BA14" s="7">
        <v>0</v>
      </c>
      <c r="BB14" s="7">
        <v>0</v>
      </c>
      <c r="BC14" s="14">
        <f t="shared" si="17"/>
        <v>10</v>
      </c>
      <c r="BD14" s="7">
        <v>0</v>
      </c>
      <c r="BE14" s="7">
        <v>0</v>
      </c>
      <c r="BF14" s="14">
        <f t="shared" si="18"/>
        <v>10</v>
      </c>
      <c r="BG14" s="7">
        <v>0</v>
      </c>
      <c r="BH14" s="7">
        <v>0</v>
      </c>
      <c r="BI14" s="14">
        <f t="shared" si="19"/>
        <v>10</v>
      </c>
      <c r="BJ14" s="7">
        <v>0</v>
      </c>
      <c r="BK14" s="7">
        <v>0</v>
      </c>
      <c r="BL14" s="14">
        <f t="shared" si="20"/>
        <v>10</v>
      </c>
      <c r="BM14" s="7">
        <v>0</v>
      </c>
      <c r="BN14" s="7">
        <v>0</v>
      </c>
      <c r="BO14" s="14">
        <f t="shared" si="21"/>
        <v>10</v>
      </c>
      <c r="BP14" s="7">
        <v>0</v>
      </c>
      <c r="BQ14" s="7">
        <v>0</v>
      </c>
      <c r="BR14" s="14">
        <f t="shared" si="22"/>
        <v>10</v>
      </c>
      <c r="BS14" s="7">
        <v>0</v>
      </c>
      <c r="BT14" s="7">
        <v>0</v>
      </c>
      <c r="BU14" s="14">
        <f t="shared" si="23"/>
        <v>10</v>
      </c>
      <c r="BV14" s="11">
        <v>0</v>
      </c>
      <c r="BW14" s="11">
        <v>0</v>
      </c>
      <c r="BX14" s="15">
        <f t="shared" si="24"/>
        <v>10</v>
      </c>
    </row>
    <row r="15" spans="1:76" x14ac:dyDescent="0.2">
      <c r="A15" s="13" t="s">
        <v>89</v>
      </c>
      <c r="B15" s="7">
        <v>0</v>
      </c>
      <c r="C15" s="7">
        <v>0</v>
      </c>
      <c r="D15" s="7">
        <v>0</v>
      </c>
      <c r="E15" s="8">
        <f t="shared" si="0"/>
        <v>0</v>
      </c>
      <c r="F15" s="7">
        <v>0</v>
      </c>
      <c r="G15" s="7">
        <v>0</v>
      </c>
      <c r="H15" s="8">
        <f t="shared" si="1"/>
        <v>0</v>
      </c>
      <c r="I15" s="7">
        <v>0</v>
      </c>
      <c r="J15" s="7">
        <v>0</v>
      </c>
      <c r="K15" s="8">
        <f t="shared" si="2"/>
        <v>0</v>
      </c>
      <c r="L15" s="9">
        <v>0</v>
      </c>
      <c r="M15" s="10">
        <v>0</v>
      </c>
      <c r="N15" s="9">
        <f t="shared" si="3"/>
        <v>0</v>
      </c>
      <c r="O15" s="9">
        <v>0</v>
      </c>
      <c r="P15" s="9">
        <v>0</v>
      </c>
      <c r="Q15" s="9">
        <f t="shared" si="4"/>
        <v>0</v>
      </c>
      <c r="R15" s="9">
        <v>0</v>
      </c>
      <c r="S15" s="9">
        <v>0</v>
      </c>
      <c r="T15" s="9">
        <f t="shared" si="5"/>
        <v>0</v>
      </c>
      <c r="U15" s="9">
        <v>0</v>
      </c>
      <c r="V15" s="9">
        <f t="shared" si="6"/>
        <v>0</v>
      </c>
      <c r="W15" s="9">
        <v>0</v>
      </c>
      <c r="X15" s="9">
        <v>0</v>
      </c>
      <c r="Y15" s="9">
        <f t="shared" si="7"/>
        <v>0</v>
      </c>
      <c r="Z15" s="9">
        <v>0</v>
      </c>
      <c r="AA15" s="9">
        <f t="shared" si="8"/>
        <v>0</v>
      </c>
      <c r="AB15" s="9">
        <v>0</v>
      </c>
      <c r="AC15" s="9">
        <v>0</v>
      </c>
      <c r="AD15" s="9">
        <f t="shared" si="9"/>
        <v>0</v>
      </c>
      <c r="AE15" s="9">
        <v>0</v>
      </c>
      <c r="AF15" s="9">
        <f t="shared" si="10"/>
        <v>0</v>
      </c>
      <c r="AG15" s="9">
        <v>0</v>
      </c>
      <c r="AH15" s="9">
        <f t="shared" si="25"/>
        <v>0</v>
      </c>
      <c r="AI15" s="7">
        <v>0</v>
      </c>
      <c r="AJ15" s="7">
        <v>0</v>
      </c>
      <c r="AK15" s="14">
        <f t="shared" si="11"/>
        <v>0</v>
      </c>
      <c r="AL15" s="7">
        <v>0</v>
      </c>
      <c r="AM15" s="7">
        <v>0</v>
      </c>
      <c r="AN15" s="14">
        <f t="shared" si="12"/>
        <v>0</v>
      </c>
      <c r="AO15" s="7">
        <v>0</v>
      </c>
      <c r="AP15" s="7">
        <v>0</v>
      </c>
      <c r="AQ15" s="14">
        <f t="shared" si="13"/>
        <v>0</v>
      </c>
      <c r="AR15" s="7">
        <v>0</v>
      </c>
      <c r="AS15" s="7">
        <v>0</v>
      </c>
      <c r="AT15" s="14">
        <f t="shared" si="14"/>
        <v>0</v>
      </c>
      <c r="AU15" s="7">
        <v>0</v>
      </c>
      <c r="AV15" s="7">
        <v>0</v>
      </c>
      <c r="AW15" s="14">
        <f t="shared" si="15"/>
        <v>0</v>
      </c>
      <c r="AX15" s="7">
        <v>0</v>
      </c>
      <c r="AY15" s="7">
        <v>0</v>
      </c>
      <c r="AZ15" s="14">
        <f t="shared" si="16"/>
        <v>0</v>
      </c>
      <c r="BA15" s="7">
        <v>0</v>
      </c>
      <c r="BB15" s="7">
        <v>0</v>
      </c>
      <c r="BC15" s="14">
        <f t="shared" si="17"/>
        <v>0</v>
      </c>
      <c r="BD15" s="7">
        <v>0</v>
      </c>
      <c r="BE15" s="7">
        <v>0</v>
      </c>
      <c r="BF15" s="14">
        <f t="shared" si="18"/>
        <v>0</v>
      </c>
      <c r="BG15" s="7">
        <v>0</v>
      </c>
      <c r="BH15" s="7">
        <v>0</v>
      </c>
      <c r="BI15" s="14">
        <f t="shared" si="19"/>
        <v>0</v>
      </c>
      <c r="BJ15" s="7">
        <v>0</v>
      </c>
      <c r="BK15" s="7">
        <v>0</v>
      </c>
      <c r="BL15" s="14">
        <f t="shared" si="20"/>
        <v>0</v>
      </c>
      <c r="BM15" s="7">
        <v>0</v>
      </c>
      <c r="BN15" s="7">
        <v>0</v>
      </c>
      <c r="BO15" s="14">
        <f t="shared" si="21"/>
        <v>0</v>
      </c>
      <c r="BP15" s="7">
        <v>0</v>
      </c>
      <c r="BQ15" s="7">
        <v>0</v>
      </c>
      <c r="BR15" s="14">
        <f t="shared" si="22"/>
        <v>0</v>
      </c>
      <c r="BS15" s="7">
        <v>0</v>
      </c>
      <c r="BT15" s="7">
        <v>0</v>
      </c>
      <c r="BU15" s="14">
        <f t="shared" si="23"/>
        <v>0</v>
      </c>
      <c r="BV15" s="11">
        <v>0</v>
      </c>
      <c r="BW15" s="11">
        <v>0</v>
      </c>
      <c r="BX15" s="15">
        <f t="shared" si="24"/>
        <v>0</v>
      </c>
    </row>
    <row r="16" spans="1:76" x14ac:dyDescent="0.2">
      <c r="A16" s="13" t="s">
        <v>90</v>
      </c>
      <c r="B16" s="7">
        <v>11</v>
      </c>
      <c r="C16" s="7">
        <v>0</v>
      </c>
      <c r="D16" s="7">
        <v>0</v>
      </c>
      <c r="E16" s="8">
        <f t="shared" si="0"/>
        <v>11</v>
      </c>
      <c r="F16" s="7">
        <v>0</v>
      </c>
      <c r="G16" s="7">
        <v>0</v>
      </c>
      <c r="H16" s="8">
        <f t="shared" si="1"/>
        <v>11</v>
      </c>
      <c r="I16" s="7">
        <v>0</v>
      </c>
      <c r="J16" s="7">
        <v>0</v>
      </c>
      <c r="K16" s="8">
        <f t="shared" si="2"/>
        <v>11</v>
      </c>
      <c r="L16" s="9">
        <v>0</v>
      </c>
      <c r="M16" s="10">
        <v>0</v>
      </c>
      <c r="N16" s="9">
        <f t="shared" si="3"/>
        <v>11</v>
      </c>
      <c r="O16" s="9">
        <v>0</v>
      </c>
      <c r="P16" s="9">
        <v>0</v>
      </c>
      <c r="Q16" s="9">
        <f t="shared" si="4"/>
        <v>11</v>
      </c>
      <c r="R16" s="9">
        <v>0</v>
      </c>
      <c r="S16" s="9">
        <v>0</v>
      </c>
      <c r="T16" s="9">
        <f t="shared" si="5"/>
        <v>11</v>
      </c>
      <c r="U16" s="9">
        <v>0</v>
      </c>
      <c r="V16" s="9">
        <f t="shared" si="6"/>
        <v>11</v>
      </c>
      <c r="W16" s="9">
        <v>0</v>
      </c>
      <c r="X16" s="9">
        <v>0</v>
      </c>
      <c r="Y16" s="9">
        <f t="shared" si="7"/>
        <v>11</v>
      </c>
      <c r="Z16" s="9">
        <v>0</v>
      </c>
      <c r="AA16" s="9">
        <f t="shared" si="8"/>
        <v>11</v>
      </c>
      <c r="AB16" s="9">
        <v>0</v>
      </c>
      <c r="AC16" s="9">
        <v>0</v>
      </c>
      <c r="AD16" s="9">
        <f t="shared" si="9"/>
        <v>11</v>
      </c>
      <c r="AE16" s="9">
        <v>0</v>
      </c>
      <c r="AF16" s="9">
        <f t="shared" si="10"/>
        <v>11</v>
      </c>
      <c r="AG16" s="9">
        <v>0</v>
      </c>
      <c r="AH16" s="9">
        <f t="shared" si="25"/>
        <v>11</v>
      </c>
      <c r="AI16" s="7">
        <v>0</v>
      </c>
      <c r="AJ16" s="7">
        <v>0</v>
      </c>
      <c r="AK16" s="14">
        <f t="shared" si="11"/>
        <v>11</v>
      </c>
      <c r="AL16" s="7">
        <v>0</v>
      </c>
      <c r="AM16" s="7">
        <v>0</v>
      </c>
      <c r="AN16" s="14">
        <f t="shared" si="12"/>
        <v>11</v>
      </c>
      <c r="AO16" s="7">
        <v>0</v>
      </c>
      <c r="AP16" s="7">
        <v>0</v>
      </c>
      <c r="AQ16" s="14">
        <f t="shared" si="13"/>
        <v>11</v>
      </c>
      <c r="AR16" s="7">
        <v>0</v>
      </c>
      <c r="AS16" s="7">
        <v>0</v>
      </c>
      <c r="AT16" s="14">
        <f t="shared" si="14"/>
        <v>11</v>
      </c>
      <c r="AU16" s="7">
        <v>0</v>
      </c>
      <c r="AV16" s="7">
        <v>0</v>
      </c>
      <c r="AW16" s="14">
        <f t="shared" si="15"/>
        <v>11</v>
      </c>
      <c r="AX16" s="7">
        <v>0</v>
      </c>
      <c r="AY16" s="7">
        <v>0</v>
      </c>
      <c r="AZ16" s="14">
        <f t="shared" si="16"/>
        <v>11</v>
      </c>
      <c r="BA16" s="7">
        <v>0</v>
      </c>
      <c r="BB16" s="7">
        <v>0</v>
      </c>
      <c r="BC16" s="14">
        <f t="shared" si="17"/>
        <v>11</v>
      </c>
      <c r="BD16" s="7">
        <v>0</v>
      </c>
      <c r="BE16" s="7">
        <v>0</v>
      </c>
      <c r="BF16" s="14">
        <f t="shared" si="18"/>
        <v>11</v>
      </c>
      <c r="BG16" s="7">
        <v>0</v>
      </c>
      <c r="BH16" s="7">
        <v>0</v>
      </c>
      <c r="BI16" s="14">
        <f t="shared" si="19"/>
        <v>11</v>
      </c>
      <c r="BJ16" s="7">
        <v>0</v>
      </c>
      <c r="BK16" s="7">
        <v>0</v>
      </c>
      <c r="BL16" s="14">
        <f t="shared" si="20"/>
        <v>11</v>
      </c>
      <c r="BM16" s="7">
        <v>0</v>
      </c>
      <c r="BN16" s="7">
        <v>0</v>
      </c>
      <c r="BO16" s="14">
        <f t="shared" si="21"/>
        <v>11</v>
      </c>
      <c r="BP16" s="7">
        <v>0</v>
      </c>
      <c r="BQ16" s="7">
        <v>0</v>
      </c>
      <c r="BR16" s="14">
        <f t="shared" si="22"/>
        <v>11</v>
      </c>
      <c r="BS16" s="7">
        <v>0</v>
      </c>
      <c r="BT16" s="7">
        <v>0</v>
      </c>
      <c r="BU16" s="14">
        <f t="shared" si="23"/>
        <v>11</v>
      </c>
      <c r="BV16" s="11">
        <v>0</v>
      </c>
      <c r="BW16" s="11">
        <v>0</v>
      </c>
      <c r="BX16" s="15">
        <f t="shared" si="24"/>
        <v>11</v>
      </c>
    </row>
    <row r="17" spans="1:76" x14ac:dyDescent="0.2">
      <c r="A17" s="13" t="s">
        <v>91</v>
      </c>
      <c r="B17" s="7">
        <v>2</v>
      </c>
      <c r="C17" s="7">
        <v>0</v>
      </c>
      <c r="D17" s="7">
        <v>0</v>
      </c>
      <c r="E17" s="8">
        <f t="shared" si="0"/>
        <v>2</v>
      </c>
      <c r="F17" s="7">
        <v>0</v>
      </c>
      <c r="G17" s="7">
        <v>0</v>
      </c>
      <c r="H17" s="8">
        <f t="shared" si="1"/>
        <v>2</v>
      </c>
      <c r="I17" s="7">
        <v>0</v>
      </c>
      <c r="J17" s="7">
        <v>0</v>
      </c>
      <c r="K17" s="8">
        <f t="shared" si="2"/>
        <v>2</v>
      </c>
      <c r="L17" s="9">
        <v>0</v>
      </c>
      <c r="M17" s="10">
        <v>0</v>
      </c>
      <c r="N17" s="9">
        <f t="shared" si="3"/>
        <v>2</v>
      </c>
      <c r="O17" s="9">
        <v>0</v>
      </c>
      <c r="P17" s="9">
        <v>0</v>
      </c>
      <c r="Q17" s="9">
        <f t="shared" si="4"/>
        <v>2</v>
      </c>
      <c r="R17" s="9">
        <v>0</v>
      </c>
      <c r="S17" s="9">
        <v>0</v>
      </c>
      <c r="T17" s="9">
        <f t="shared" si="5"/>
        <v>2</v>
      </c>
      <c r="U17" s="9">
        <v>0</v>
      </c>
      <c r="V17" s="9">
        <f t="shared" si="6"/>
        <v>2</v>
      </c>
      <c r="W17" s="9">
        <v>0</v>
      </c>
      <c r="X17" s="9">
        <v>0</v>
      </c>
      <c r="Y17" s="9">
        <f t="shared" si="7"/>
        <v>2</v>
      </c>
      <c r="Z17" s="9">
        <v>0</v>
      </c>
      <c r="AA17" s="9">
        <f t="shared" si="8"/>
        <v>2</v>
      </c>
      <c r="AB17" s="9">
        <v>0</v>
      </c>
      <c r="AC17" s="9">
        <v>0</v>
      </c>
      <c r="AD17" s="9">
        <f t="shared" si="9"/>
        <v>2</v>
      </c>
      <c r="AE17" s="9">
        <v>0</v>
      </c>
      <c r="AF17" s="9">
        <f t="shared" si="10"/>
        <v>2</v>
      </c>
      <c r="AG17" s="9">
        <v>0</v>
      </c>
      <c r="AH17" s="9">
        <f t="shared" si="25"/>
        <v>2</v>
      </c>
      <c r="AI17" s="7">
        <v>0</v>
      </c>
      <c r="AJ17" s="7">
        <v>0</v>
      </c>
      <c r="AK17" s="14">
        <f t="shared" si="11"/>
        <v>2</v>
      </c>
      <c r="AL17" s="7">
        <v>0</v>
      </c>
      <c r="AM17" s="7">
        <v>0</v>
      </c>
      <c r="AN17" s="14">
        <f t="shared" si="12"/>
        <v>2</v>
      </c>
      <c r="AO17" s="7">
        <v>0</v>
      </c>
      <c r="AP17" s="7">
        <v>0</v>
      </c>
      <c r="AQ17" s="14">
        <f t="shared" si="13"/>
        <v>2</v>
      </c>
      <c r="AR17" s="7">
        <v>0</v>
      </c>
      <c r="AS17" s="7">
        <v>0</v>
      </c>
      <c r="AT17" s="14">
        <f t="shared" si="14"/>
        <v>2</v>
      </c>
      <c r="AU17" s="7">
        <v>0</v>
      </c>
      <c r="AV17" s="7">
        <v>0</v>
      </c>
      <c r="AW17" s="14">
        <f t="shared" si="15"/>
        <v>2</v>
      </c>
      <c r="AX17" s="7">
        <v>0</v>
      </c>
      <c r="AY17" s="7">
        <v>0</v>
      </c>
      <c r="AZ17" s="14">
        <f t="shared" si="16"/>
        <v>2</v>
      </c>
      <c r="BA17" s="7">
        <v>0</v>
      </c>
      <c r="BB17" s="7">
        <v>0</v>
      </c>
      <c r="BC17" s="14">
        <f t="shared" si="17"/>
        <v>2</v>
      </c>
      <c r="BD17" s="7">
        <v>0</v>
      </c>
      <c r="BE17" s="7">
        <v>0</v>
      </c>
      <c r="BF17" s="14">
        <f t="shared" si="18"/>
        <v>2</v>
      </c>
      <c r="BG17" s="7">
        <v>0</v>
      </c>
      <c r="BH17" s="7">
        <v>0</v>
      </c>
      <c r="BI17" s="14">
        <f t="shared" si="19"/>
        <v>2</v>
      </c>
      <c r="BJ17" s="7">
        <v>0</v>
      </c>
      <c r="BK17" s="7">
        <v>0</v>
      </c>
      <c r="BL17" s="14">
        <f t="shared" si="20"/>
        <v>2</v>
      </c>
      <c r="BM17" s="7">
        <v>0</v>
      </c>
      <c r="BN17" s="7">
        <v>0</v>
      </c>
      <c r="BO17" s="14">
        <f t="shared" si="21"/>
        <v>2</v>
      </c>
      <c r="BP17" s="7">
        <v>0</v>
      </c>
      <c r="BQ17" s="7">
        <v>0</v>
      </c>
      <c r="BR17" s="14">
        <f t="shared" si="22"/>
        <v>2</v>
      </c>
      <c r="BS17" s="7">
        <v>0</v>
      </c>
      <c r="BT17" s="7">
        <v>0</v>
      </c>
      <c r="BU17" s="14">
        <f t="shared" si="23"/>
        <v>2</v>
      </c>
      <c r="BV17" s="11">
        <v>0</v>
      </c>
      <c r="BW17" s="11">
        <v>0</v>
      </c>
      <c r="BX17" s="15">
        <f t="shared" si="24"/>
        <v>2</v>
      </c>
    </row>
    <row r="18" spans="1:76" x14ac:dyDescent="0.2">
      <c r="A18" s="13" t="s">
        <v>92</v>
      </c>
      <c r="B18" s="7">
        <v>4</v>
      </c>
      <c r="C18" s="7">
        <v>0</v>
      </c>
      <c r="D18" s="7">
        <v>0</v>
      </c>
      <c r="E18" s="8">
        <f t="shared" si="0"/>
        <v>4</v>
      </c>
      <c r="F18" s="7">
        <v>0</v>
      </c>
      <c r="G18" s="7">
        <v>0</v>
      </c>
      <c r="H18" s="8">
        <f t="shared" si="1"/>
        <v>4</v>
      </c>
      <c r="I18" s="7">
        <v>0</v>
      </c>
      <c r="J18" s="7">
        <v>0</v>
      </c>
      <c r="K18" s="8">
        <f t="shared" si="2"/>
        <v>4</v>
      </c>
      <c r="L18" s="9">
        <v>0</v>
      </c>
      <c r="M18" s="10">
        <v>0</v>
      </c>
      <c r="N18" s="9">
        <f t="shared" si="3"/>
        <v>4</v>
      </c>
      <c r="O18" s="9">
        <v>0</v>
      </c>
      <c r="P18" s="9">
        <v>0</v>
      </c>
      <c r="Q18" s="9">
        <f t="shared" si="4"/>
        <v>4</v>
      </c>
      <c r="R18" s="9">
        <v>0</v>
      </c>
      <c r="S18" s="9">
        <v>0</v>
      </c>
      <c r="T18" s="9">
        <f t="shared" si="5"/>
        <v>4</v>
      </c>
      <c r="U18" s="9">
        <v>0</v>
      </c>
      <c r="V18" s="9">
        <f t="shared" si="6"/>
        <v>4</v>
      </c>
      <c r="W18" s="9">
        <v>0</v>
      </c>
      <c r="X18" s="9">
        <v>0</v>
      </c>
      <c r="Y18" s="9">
        <f t="shared" si="7"/>
        <v>4</v>
      </c>
      <c r="Z18" s="9">
        <v>0</v>
      </c>
      <c r="AA18" s="9">
        <f t="shared" si="8"/>
        <v>4</v>
      </c>
      <c r="AB18" s="9">
        <v>0</v>
      </c>
      <c r="AC18" s="9">
        <v>0</v>
      </c>
      <c r="AD18" s="9">
        <f t="shared" si="9"/>
        <v>4</v>
      </c>
      <c r="AE18" s="9">
        <v>0</v>
      </c>
      <c r="AF18" s="9">
        <f t="shared" si="10"/>
        <v>4</v>
      </c>
      <c r="AG18" s="9">
        <v>0</v>
      </c>
      <c r="AH18" s="9">
        <f t="shared" si="25"/>
        <v>4</v>
      </c>
      <c r="AI18" s="7">
        <v>0</v>
      </c>
      <c r="AJ18" s="7">
        <v>0</v>
      </c>
      <c r="AK18" s="14">
        <f t="shared" si="11"/>
        <v>4</v>
      </c>
      <c r="AL18" s="7">
        <v>0</v>
      </c>
      <c r="AM18" s="7">
        <v>0</v>
      </c>
      <c r="AN18" s="14">
        <f t="shared" si="12"/>
        <v>4</v>
      </c>
      <c r="AO18" s="7">
        <v>0</v>
      </c>
      <c r="AP18" s="7">
        <v>0</v>
      </c>
      <c r="AQ18" s="14">
        <f t="shared" si="13"/>
        <v>4</v>
      </c>
      <c r="AR18" s="7">
        <v>0</v>
      </c>
      <c r="AS18" s="7">
        <v>0</v>
      </c>
      <c r="AT18" s="14">
        <f t="shared" si="14"/>
        <v>4</v>
      </c>
      <c r="AU18" s="7">
        <v>0</v>
      </c>
      <c r="AV18" s="7">
        <v>0</v>
      </c>
      <c r="AW18" s="14">
        <f t="shared" si="15"/>
        <v>4</v>
      </c>
      <c r="AX18" s="7">
        <v>0</v>
      </c>
      <c r="AY18" s="7">
        <v>0</v>
      </c>
      <c r="AZ18" s="14">
        <f t="shared" si="16"/>
        <v>4</v>
      </c>
      <c r="BA18" s="7">
        <v>0</v>
      </c>
      <c r="BB18" s="7">
        <v>0</v>
      </c>
      <c r="BC18" s="14">
        <f t="shared" si="17"/>
        <v>4</v>
      </c>
      <c r="BD18" s="7">
        <v>0</v>
      </c>
      <c r="BE18" s="7">
        <v>0</v>
      </c>
      <c r="BF18" s="14">
        <f t="shared" si="18"/>
        <v>4</v>
      </c>
      <c r="BG18" s="7">
        <v>0</v>
      </c>
      <c r="BH18" s="7">
        <v>0</v>
      </c>
      <c r="BI18" s="14">
        <f t="shared" si="19"/>
        <v>4</v>
      </c>
      <c r="BJ18" s="7">
        <v>0</v>
      </c>
      <c r="BK18" s="7">
        <v>0</v>
      </c>
      <c r="BL18" s="14">
        <f t="shared" si="20"/>
        <v>4</v>
      </c>
      <c r="BM18" s="7">
        <v>0</v>
      </c>
      <c r="BN18" s="7">
        <v>0</v>
      </c>
      <c r="BO18" s="14">
        <f t="shared" si="21"/>
        <v>4</v>
      </c>
      <c r="BP18" s="7">
        <v>0</v>
      </c>
      <c r="BQ18" s="7">
        <v>0</v>
      </c>
      <c r="BR18" s="14">
        <f t="shared" si="22"/>
        <v>4</v>
      </c>
      <c r="BS18" s="7">
        <v>0</v>
      </c>
      <c r="BT18" s="7">
        <v>0</v>
      </c>
      <c r="BU18" s="14">
        <f t="shared" si="23"/>
        <v>4</v>
      </c>
      <c r="BV18" s="11">
        <v>0</v>
      </c>
      <c r="BW18" s="11">
        <v>0</v>
      </c>
      <c r="BX18" s="15">
        <f t="shared" si="24"/>
        <v>4</v>
      </c>
    </row>
    <row r="19" spans="1:76" x14ac:dyDescent="0.2">
      <c r="A19" s="13" t="s">
        <v>93</v>
      </c>
      <c r="B19" s="7">
        <v>32</v>
      </c>
      <c r="C19" s="7">
        <v>0</v>
      </c>
      <c r="D19" s="7">
        <v>0</v>
      </c>
      <c r="E19" s="8">
        <f t="shared" si="0"/>
        <v>32</v>
      </c>
      <c r="F19" s="7">
        <v>0</v>
      </c>
      <c r="G19" s="7">
        <v>0</v>
      </c>
      <c r="H19" s="8">
        <f t="shared" si="1"/>
        <v>32</v>
      </c>
      <c r="I19" s="7">
        <v>0</v>
      </c>
      <c r="J19" s="7">
        <v>0</v>
      </c>
      <c r="K19" s="8">
        <f t="shared" si="2"/>
        <v>32</v>
      </c>
      <c r="L19" s="9">
        <v>0</v>
      </c>
      <c r="M19" s="10">
        <v>0</v>
      </c>
      <c r="N19" s="9">
        <f t="shared" si="3"/>
        <v>32</v>
      </c>
      <c r="O19" s="9">
        <v>0</v>
      </c>
      <c r="P19" s="9">
        <v>0</v>
      </c>
      <c r="Q19" s="9">
        <f t="shared" si="4"/>
        <v>32</v>
      </c>
      <c r="R19" s="9">
        <v>0</v>
      </c>
      <c r="S19" s="9">
        <v>0</v>
      </c>
      <c r="T19" s="9">
        <f t="shared" si="5"/>
        <v>32</v>
      </c>
      <c r="U19" s="9">
        <v>0</v>
      </c>
      <c r="V19" s="9">
        <f t="shared" si="6"/>
        <v>32</v>
      </c>
      <c r="W19" s="9">
        <v>0</v>
      </c>
      <c r="X19" s="9">
        <v>0</v>
      </c>
      <c r="Y19" s="9">
        <f t="shared" si="7"/>
        <v>32</v>
      </c>
      <c r="Z19" s="9">
        <v>0</v>
      </c>
      <c r="AA19" s="9">
        <f t="shared" si="8"/>
        <v>32</v>
      </c>
      <c r="AB19" s="9">
        <v>0</v>
      </c>
      <c r="AC19" s="9">
        <v>0</v>
      </c>
      <c r="AD19" s="9">
        <f t="shared" si="9"/>
        <v>32</v>
      </c>
      <c r="AE19" s="9">
        <v>0</v>
      </c>
      <c r="AF19" s="9">
        <f t="shared" si="10"/>
        <v>32</v>
      </c>
      <c r="AG19" s="9">
        <v>0</v>
      </c>
      <c r="AH19" s="9">
        <f t="shared" si="25"/>
        <v>32</v>
      </c>
      <c r="AI19" s="7">
        <v>0</v>
      </c>
      <c r="AJ19" s="7">
        <v>0</v>
      </c>
      <c r="AK19" s="14">
        <f t="shared" si="11"/>
        <v>32</v>
      </c>
      <c r="AL19" s="7">
        <v>0</v>
      </c>
      <c r="AM19" s="7">
        <v>0</v>
      </c>
      <c r="AN19" s="14">
        <f t="shared" si="12"/>
        <v>32</v>
      </c>
      <c r="AO19" s="7">
        <v>0</v>
      </c>
      <c r="AP19" s="7">
        <v>0</v>
      </c>
      <c r="AQ19" s="14">
        <f t="shared" si="13"/>
        <v>32</v>
      </c>
      <c r="AR19" s="7">
        <v>0</v>
      </c>
      <c r="AS19" s="7">
        <v>0</v>
      </c>
      <c r="AT19" s="14">
        <f t="shared" si="14"/>
        <v>32</v>
      </c>
      <c r="AU19" s="7">
        <v>0</v>
      </c>
      <c r="AV19" s="7">
        <v>0</v>
      </c>
      <c r="AW19" s="14">
        <f t="shared" si="15"/>
        <v>32</v>
      </c>
      <c r="AX19" s="7">
        <v>0</v>
      </c>
      <c r="AY19" s="7">
        <v>0</v>
      </c>
      <c r="AZ19" s="14">
        <f t="shared" si="16"/>
        <v>32</v>
      </c>
      <c r="BA19" s="7">
        <v>0</v>
      </c>
      <c r="BB19" s="7">
        <v>0</v>
      </c>
      <c r="BC19" s="14">
        <f t="shared" si="17"/>
        <v>32</v>
      </c>
      <c r="BD19" s="7">
        <v>0</v>
      </c>
      <c r="BE19" s="7">
        <v>0</v>
      </c>
      <c r="BF19" s="14">
        <f t="shared" si="18"/>
        <v>32</v>
      </c>
      <c r="BG19" s="7">
        <v>0</v>
      </c>
      <c r="BH19" s="7">
        <v>0</v>
      </c>
      <c r="BI19" s="14">
        <f t="shared" si="19"/>
        <v>32</v>
      </c>
      <c r="BJ19" s="7">
        <v>0</v>
      </c>
      <c r="BK19" s="7">
        <v>0</v>
      </c>
      <c r="BL19" s="14">
        <f t="shared" si="20"/>
        <v>32</v>
      </c>
      <c r="BM19" s="7">
        <v>0</v>
      </c>
      <c r="BN19" s="7">
        <v>0</v>
      </c>
      <c r="BO19" s="14">
        <f t="shared" si="21"/>
        <v>32</v>
      </c>
      <c r="BP19" s="7">
        <v>0</v>
      </c>
      <c r="BQ19" s="7">
        <v>0</v>
      </c>
      <c r="BR19" s="14">
        <f t="shared" si="22"/>
        <v>32</v>
      </c>
      <c r="BS19" s="7">
        <v>0</v>
      </c>
      <c r="BT19" s="7">
        <v>0</v>
      </c>
      <c r="BU19" s="14">
        <f t="shared" si="23"/>
        <v>32</v>
      </c>
      <c r="BV19" s="11">
        <v>0</v>
      </c>
      <c r="BW19" s="11">
        <v>0</v>
      </c>
      <c r="BX19" s="15">
        <f t="shared" si="24"/>
        <v>32</v>
      </c>
    </row>
    <row r="20" spans="1:76" x14ac:dyDescent="0.2">
      <c r="A20" s="13" t="s">
        <v>94</v>
      </c>
      <c r="B20" s="7">
        <v>24</v>
      </c>
      <c r="C20" s="7">
        <v>0</v>
      </c>
      <c r="D20" s="7">
        <v>6</v>
      </c>
      <c r="E20" s="8">
        <f t="shared" si="0"/>
        <v>18</v>
      </c>
      <c r="F20" s="7">
        <v>0</v>
      </c>
      <c r="G20" s="7">
        <v>0</v>
      </c>
      <c r="H20" s="8">
        <f t="shared" si="1"/>
        <v>18</v>
      </c>
      <c r="I20" s="7">
        <v>0</v>
      </c>
      <c r="J20" s="7">
        <v>0</v>
      </c>
      <c r="K20" s="8">
        <f t="shared" si="2"/>
        <v>18</v>
      </c>
      <c r="L20" s="9">
        <v>0</v>
      </c>
      <c r="M20" s="10">
        <v>0</v>
      </c>
      <c r="N20" s="9">
        <f t="shared" si="3"/>
        <v>18</v>
      </c>
      <c r="O20" s="9">
        <v>0</v>
      </c>
      <c r="P20" s="9">
        <v>0</v>
      </c>
      <c r="Q20" s="9">
        <f t="shared" si="4"/>
        <v>18</v>
      </c>
      <c r="R20" s="9">
        <v>0</v>
      </c>
      <c r="S20" s="9">
        <v>0</v>
      </c>
      <c r="T20" s="9">
        <f t="shared" si="5"/>
        <v>18</v>
      </c>
      <c r="U20" s="9">
        <v>0</v>
      </c>
      <c r="V20" s="9">
        <f t="shared" si="6"/>
        <v>18</v>
      </c>
      <c r="W20" s="9">
        <v>0</v>
      </c>
      <c r="X20" s="9">
        <v>0</v>
      </c>
      <c r="Y20" s="9">
        <f t="shared" si="7"/>
        <v>18</v>
      </c>
      <c r="Z20" s="9">
        <v>0</v>
      </c>
      <c r="AA20" s="9">
        <f t="shared" si="8"/>
        <v>18</v>
      </c>
      <c r="AB20" s="9">
        <v>0</v>
      </c>
      <c r="AC20" s="9">
        <v>0</v>
      </c>
      <c r="AD20" s="9">
        <f t="shared" si="9"/>
        <v>18</v>
      </c>
      <c r="AE20" s="9">
        <v>0</v>
      </c>
      <c r="AF20" s="9">
        <f t="shared" si="10"/>
        <v>18</v>
      </c>
      <c r="AG20" s="9">
        <v>0</v>
      </c>
      <c r="AH20" s="9">
        <f t="shared" si="25"/>
        <v>18</v>
      </c>
      <c r="AI20" s="7">
        <v>0</v>
      </c>
      <c r="AJ20" s="7">
        <v>0</v>
      </c>
      <c r="AK20" s="14">
        <f t="shared" si="11"/>
        <v>18</v>
      </c>
      <c r="AL20" s="7">
        <v>0</v>
      </c>
      <c r="AM20" s="7">
        <v>0</v>
      </c>
      <c r="AN20" s="14">
        <f t="shared" si="12"/>
        <v>18</v>
      </c>
      <c r="AO20" s="7">
        <v>0</v>
      </c>
      <c r="AP20" s="7">
        <v>0</v>
      </c>
      <c r="AQ20" s="14">
        <f t="shared" si="13"/>
        <v>18</v>
      </c>
      <c r="AR20" s="7">
        <v>0</v>
      </c>
      <c r="AS20" s="7">
        <v>0</v>
      </c>
      <c r="AT20" s="14">
        <f t="shared" si="14"/>
        <v>18</v>
      </c>
      <c r="AU20" s="7">
        <v>0</v>
      </c>
      <c r="AV20" s="7">
        <v>0</v>
      </c>
      <c r="AW20" s="14">
        <f t="shared" si="15"/>
        <v>18</v>
      </c>
      <c r="AX20" s="7">
        <v>0</v>
      </c>
      <c r="AY20" s="7">
        <v>0</v>
      </c>
      <c r="AZ20" s="14">
        <f t="shared" si="16"/>
        <v>18</v>
      </c>
      <c r="BA20" s="7">
        <v>0</v>
      </c>
      <c r="BB20" s="7">
        <v>0</v>
      </c>
      <c r="BC20" s="14">
        <f t="shared" si="17"/>
        <v>18</v>
      </c>
      <c r="BD20" s="7">
        <v>0</v>
      </c>
      <c r="BE20" s="7">
        <v>0</v>
      </c>
      <c r="BF20" s="14">
        <f t="shared" si="18"/>
        <v>18</v>
      </c>
      <c r="BG20" s="7">
        <v>0</v>
      </c>
      <c r="BH20" s="7">
        <v>0</v>
      </c>
      <c r="BI20" s="14">
        <f t="shared" si="19"/>
        <v>18</v>
      </c>
      <c r="BJ20" s="7">
        <v>0</v>
      </c>
      <c r="BK20" s="7">
        <v>0</v>
      </c>
      <c r="BL20" s="14">
        <f t="shared" si="20"/>
        <v>18</v>
      </c>
      <c r="BM20" s="7">
        <v>0</v>
      </c>
      <c r="BN20" s="7">
        <v>0</v>
      </c>
      <c r="BO20" s="14">
        <f t="shared" si="21"/>
        <v>18</v>
      </c>
      <c r="BP20" s="7">
        <v>0</v>
      </c>
      <c r="BQ20" s="7">
        <v>0</v>
      </c>
      <c r="BR20" s="14">
        <f t="shared" si="22"/>
        <v>18</v>
      </c>
      <c r="BS20" s="7">
        <v>0</v>
      </c>
      <c r="BT20" s="7">
        <v>0</v>
      </c>
      <c r="BU20" s="14">
        <f t="shared" si="23"/>
        <v>18</v>
      </c>
      <c r="BV20" s="11">
        <v>0</v>
      </c>
      <c r="BW20" s="11">
        <v>0</v>
      </c>
      <c r="BX20" s="15">
        <f t="shared" si="24"/>
        <v>18</v>
      </c>
    </row>
    <row r="21" spans="1:76" x14ac:dyDescent="0.2">
      <c r="A21" s="13" t="s">
        <v>95</v>
      </c>
      <c r="B21" s="7">
        <v>25</v>
      </c>
      <c r="C21" s="7">
        <v>0</v>
      </c>
      <c r="D21" s="7">
        <v>0</v>
      </c>
      <c r="E21" s="8">
        <f t="shared" si="0"/>
        <v>25</v>
      </c>
      <c r="F21" s="7">
        <v>0</v>
      </c>
      <c r="G21" s="7">
        <v>0</v>
      </c>
      <c r="H21" s="8">
        <f t="shared" si="1"/>
        <v>25</v>
      </c>
      <c r="I21" s="7">
        <v>0</v>
      </c>
      <c r="J21" s="7">
        <v>0</v>
      </c>
      <c r="K21" s="8">
        <f t="shared" si="2"/>
        <v>25</v>
      </c>
      <c r="L21" s="9">
        <v>0</v>
      </c>
      <c r="M21" s="10">
        <v>0</v>
      </c>
      <c r="N21" s="9">
        <f t="shared" si="3"/>
        <v>25</v>
      </c>
      <c r="O21" s="9">
        <v>0</v>
      </c>
      <c r="P21" s="9">
        <v>0</v>
      </c>
      <c r="Q21" s="9">
        <f t="shared" si="4"/>
        <v>25</v>
      </c>
      <c r="R21" s="9">
        <v>0</v>
      </c>
      <c r="S21" s="9">
        <v>0</v>
      </c>
      <c r="T21" s="9">
        <f t="shared" si="5"/>
        <v>25</v>
      </c>
      <c r="U21" s="9">
        <v>0</v>
      </c>
      <c r="V21" s="9">
        <f t="shared" si="6"/>
        <v>25</v>
      </c>
      <c r="W21" s="9">
        <v>0</v>
      </c>
      <c r="X21" s="9">
        <v>0</v>
      </c>
      <c r="Y21" s="9">
        <f t="shared" si="7"/>
        <v>25</v>
      </c>
      <c r="Z21" s="9">
        <v>0</v>
      </c>
      <c r="AA21" s="9">
        <f t="shared" si="8"/>
        <v>25</v>
      </c>
      <c r="AB21" s="9">
        <v>0</v>
      </c>
      <c r="AC21" s="9">
        <v>0</v>
      </c>
      <c r="AD21" s="9">
        <f t="shared" si="9"/>
        <v>25</v>
      </c>
      <c r="AE21" s="9">
        <v>0</v>
      </c>
      <c r="AF21" s="9">
        <f t="shared" si="10"/>
        <v>25</v>
      </c>
      <c r="AG21" s="9">
        <v>0</v>
      </c>
      <c r="AH21" s="9">
        <f t="shared" si="25"/>
        <v>25</v>
      </c>
      <c r="AI21" s="7">
        <v>0</v>
      </c>
      <c r="AJ21" s="7">
        <v>0</v>
      </c>
      <c r="AK21" s="14">
        <f t="shared" si="11"/>
        <v>25</v>
      </c>
      <c r="AL21" s="7">
        <v>0</v>
      </c>
      <c r="AM21" s="7">
        <v>0</v>
      </c>
      <c r="AN21" s="14">
        <f t="shared" si="12"/>
        <v>25</v>
      </c>
      <c r="AO21" s="7">
        <v>0</v>
      </c>
      <c r="AP21" s="7">
        <v>0</v>
      </c>
      <c r="AQ21" s="14">
        <f t="shared" si="13"/>
        <v>25</v>
      </c>
      <c r="AR21" s="7">
        <v>0</v>
      </c>
      <c r="AS21" s="7">
        <v>0</v>
      </c>
      <c r="AT21" s="14">
        <f t="shared" si="14"/>
        <v>25</v>
      </c>
      <c r="AU21" s="7">
        <v>0</v>
      </c>
      <c r="AV21" s="7">
        <v>0</v>
      </c>
      <c r="AW21" s="14">
        <f t="shared" si="15"/>
        <v>25</v>
      </c>
      <c r="AX21" s="7">
        <v>0</v>
      </c>
      <c r="AY21" s="7">
        <v>0</v>
      </c>
      <c r="AZ21" s="14">
        <f t="shared" si="16"/>
        <v>25</v>
      </c>
      <c r="BA21" s="7">
        <v>0</v>
      </c>
      <c r="BB21" s="7">
        <v>0</v>
      </c>
      <c r="BC21" s="14">
        <f t="shared" si="17"/>
        <v>25</v>
      </c>
      <c r="BD21" s="7">
        <v>0</v>
      </c>
      <c r="BE21" s="7">
        <v>0</v>
      </c>
      <c r="BF21" s="14">
        <f t="shared" si="18"/>
        <v>25</v>
      </c>
      <c r="BG21" s="7">
        <v>0</v>
      </c>
      <c r="BH21" s="7">
        <v>0</v>
      </c>
      <c r="BI21" s="14">
        <f t="shared" si="19"/>
        <v>25</v>
      </c>
      <c r="BJ21" s="7">
        <v>0</v>
      </c>
      <c r="BK21" s="7">
        <v>0</v>
      </c>
      <c r="BL21" s="14">
        <f t="shared" si="20"/>
        <v>25</v>
      </c>
      <c r="BM21" s="7">
        <v>0</v>
      </c>
      <c r="BN21" s="7">
        <v>0</v>
      </c>
      <c r="BO21" s="14">
        <f t="shared" si="21"/>
        <v>25</v>
      </c>
      <c r="BP21" s="7">
        <v>0</v>
      </c>
      <c r="BQ21" s="7">
        <v>0</v>
      </c>
      <c r="BR21" s="14">
        <f t="shared" si="22"/>
        <v>25</v>
      </c>
      <c r="BS21" s="7">
        <v>0</v>
      </c>
      <c r="BT21" s="7">
        <v>0</v>
      </c>
      <c r="BU21" s="14">
        <f t="shared" si="23"/>
        <v>25</v>
      </c>
      <c r="BV21" s="11">
        <v>0</v>
      </c>
      <c r="BW21" s="11">
        <v>0</v>
      </c>
      <c r="BX21" s="15">
        <f t="shared" si="24"/>
        <v>25</v>
      </c>
    </row>
    <row r="22" spans="1:76" x14ac:dyDescent="0.2">
      <c r="A22" s="13" t="s">
        <v>96</v>
      </c>
      <c r="B22" s="7">
        <v>27</v>
      </c>
      <c r="C22" s="7">
        <v>0</v>
      </c>
      <c r="D22" s="7">
        <v>0</v>
      </c>
      <c r="E22" s="8">
        <f t="shared" si="0"/>
        <v>27</v>
      </c>
      <c r="F22" s="7">
        <v>0</v>
      </c>
      <c r="G22" s="7">
        <v>0</v>
      </c>
      <c r="H22" s="8">
        <f t="shared" si="1"/>
        <v>27</v>
      </c>
      <c r="I22" s="7">
        <v>0</v>
      </c>
      <c r="J22" s="7">
        <v>0</v>
      </c>
      <c r="K22" s="8">
        <f t="shared" si="2"/>
        <v>27</v>
      </c>
      <c r="L22" s="9">
        <v>0</v>
      </c>
      <c r="M22" s="10">
        <v>0</v>
      </c>
      <c r="N22" s="9">
        <f t="shared" si="3"/>
        <v>27</v>
      </c>
      <c r="O22" s="9">
        <v>0</v>
      </c>
      <c r="P22" s="9">
        <v>0</v>
      </c>
      <c r="Q22" s="9">
        <f t="shared" si="4"/>
        <v>27</v>
      </c>
      <c r="R22" s="9">
        <v>0</v>
      </c>
      <c r="S22" s="9">
        <v>0</v>
      </c>
      <c r="T22" s="9">
        <f t="shared" si="5"/>
        <v>27</v>
      </c>
      <c r="U22" s="9">
        <v>0</v>
      </c>
      <c r="V22" s="9">
        <f t="shared" si="6"/>
        <v>27</v>
      </c>
      <c r="W22" s="9">
        <v>0</v>
      </c>
      <c r="X22" s="9">
        <v>0</v>
      </c>
      <c r="Y22" s="9">
        <f t="shared" si="7"/>
        <v>27</v>
      </c>
      <c r="Z22" s="9">
        <v>0</v>
      </c>
      <c r="AA22" s="9">
        <f t="shared" si="8"/>
        <v>27</v>
      </c>
      <c r="AB22" s="9">
        <v>0</v>
      </c>
      <c r="AC22" s="9">
        <v>0</v>
      </c>
      <c r="AD22" s="9">
        <f t="shared" si="9"/>
        <v>27</v>
      </c>
      <c r="AE22" s="9">
        <v>0</v>
      </c>
      <c r="AF22" s="9">
        <f t="shared" si="10"/>
        <v>27</v>
      </c>
      <c r="AG22" s="9">
        <v>0</v>
      </c>
      <c r="AH22" s="9">
        <f t="shared" si="25"/>
        <v>27</v>
      </c>
      <c r="AI22" s="7">
        <v>0</v>
      </c>
      <c r="AJ22" s="7">
        <v>0</v>
      </c>
      <c r="AK22" s="14">
        <f t="shared" si="11"/>
        <v>27</v>
      </c>
      <c r="AL22" s="7">
        <v>0</v>
      </c>
      <c r="AM22" s="7">
        <v>0</v>
      </c>
      <c r="AN22" s="14">
        <f t="shared" si="12"/>
        <v>27</v>
      </c>
      <c r="AO22" s="7">
        <v>0</v>
      </c>
      <c r="AP22" s="7">
        <v>0</v>
      </c>
      <c r="AQ22" s="14">
        <f t="shared" si="13"/>
        <v>27</v>
      </c>
      <c r="AR22" s="7">
        <v>0</v>
      </c>
      <c r="AS22" s="7">
        <v>0</v>
      </c>
      <c r="AT22" s="14">
        <f t="shared" si="14"/>
        <v>27</v>
      </c>
      <c r="AU22" s="7">
        <v>0</v>
      </c>
      <c r="AV22" s="7">
        <v>0</v>
      </c>
      <c r="AW22" s="14">
        <f t="shared" si="15"/>
        <v>27</v>
      </c>
      <c r="AX22" s="7">
        <v>0</v>
      </c>
      <c r="AY22" s="7">
        <v>0</v>
      </c>
      <c r="AZ22" s="14">
        <f t="shared" si="16"/>
        <v>27</v>
      </c>
      <c r="BA22" s="7">
        <v>0</v>
      </c>
      <c r="BB22" s="7">
        <v>0</v>
      </c>
      <c r="BC22" s="14">
        <f t="shared" si="17"/>
        <v>27</v>
      </c>
      <c r="BD22" s="7">
        <v>0</v>
      </c>
      <c r="BE22" s="7">
        <v>0</v>
      </c>
      <c r="BF22" s="14">
        <f t="shared" si="18"/>
        <v>27</v>
      </c>
      <c r="BG22" s="7">
        <v>0</v>
      </c>
      <c r="BH22" s="7">
        <v>8</v>
      </c>
      <c r="BI22" s="14">
        <f t="shared" si="19"/>
        <v>19</v>
      </c>
      <c r="BJ22" s="7">
        <v>0</v>
      </c>
      <c r="BK22" s="7">
        <v>0</v>
      </c>
      <c r="BL22" s="14">
        <f t="shared" si="20"/>
        <v>19</v>
      </c>
      <c r="BM22" s="7">
        <v>0</v>
      </c>
      <c r="BN22" s="7">
        <v>0</v>
      </c>
      <c r="BO22" s="14">
        <f t="shared" si="21"/>
        <v>19</v>
      </c>
      <c r="BP22" s="7">
        <v>0</v>
      </c>
      <c r="BQ22" s="7">
        <v>0</v>
      </c>
      <c r="BR22" s="14">
        <f t="shared" si="22"/>
        <v>19</v>
      </c>
      <c r="BS22" s="7">
        <v>0</v>
      </c>
      <c r="BT22" s="7">
        <v>0</v>
      </c>
      <c r="BU22" s="14">
        <f t="shared" si="23"/>
        <v>19</v>
      </c>
      <c r="BV22" s="11">
        <v>0</v>
      </c>
      <c r="BW22" s="11">
        <v>0</v>
      </c>
      <c r="BX22" s="15">
        <f t="shared" si="24"/>
        <v>19</v>
      </c>
    </row>
    <row r="23" spans="1:76" x14ac:dyDescent="0.2">
      <c r="A23" s="13" t="s">
        <v>97</v>
      </c>
      <c r="B23" s="7">
        <v>3</v>
      </c>
      <c r="C23" s="7">
        <v>0</v>
      </c>
      <c r="D23" s="7">
        <v>0</v>
      </c>
      <c r="E23" s="8">
        <f t="shared" si="0"/>
        <v>3</v>
      </c>
      <c r="F23" s="7">
        <v>0</v>
      </c>
      <c r="G23" s="7">
        <v>0</v>
      </c>
      <c r="H23" s="8">
        <f t="shared" si="1"/>
        <v>3</v>
      </c>
      <c r="I23" s="7">
        <v>0</v>
      </c>
      <c r="J23" s="7">
        <v>0</v>
      </c>
      <c r="K23" s="8">
        <f t="shared" si="2"/>
        <v>3</v>
      </c>
      <c r="L23" s="9">
        <v>0</v>
      </c>
      <c r="M23" s="10">
        <v>0</v>
      </c>
      <c r="N23" s="9">
        <f t="shared" si="3"/>
        <v>3</v>
      </c>
      <c r="O23" s="9">
        <v>0</v>
      </c>
      <c r="P23" s="9">
        <v>0</v>
      </c>
      <c r="Q23" s="9">
        <f t="shared" si="4"/>
        <v>3</v>
      </c>
      <c r="R23" s="9">
        <v>0</v>
      </c>
      <c r="S23" s="9">
        <v>0</v>
      </c>
      <c r="T23" s="9">
        <f t="shared" si="5"/>
        <v>3</v>
      </c>
      <c r="U23" s="9">
        <v>0</v>
      </c>
      <c r="V23" s="9">
        <f t="shared" si="6"/>
        <v>3</v>
      </c>
      <c r="W23" s="9">
        <v>0</v>
      </c>
      <c r="X23" s="9">
        <v>0</v>
      </c>
      <c r="Y23" s="9">
        <f t="shared" si="7"/>
        <v>3</v>
      </c>
      <c r="Z23" s="9">
        <v>0</v>
      </c>
      <c r="AA23" s="9">
        <f t="shared" si="8"/>
        <v>3</v>
      </c>
      <c r="AB23" s="9">
        <v>0</v>
      </c>
      <c r="AC23" s="9">
        <v>0</v>
      </c>
      <c r="AD23" s="9">
        <f t="shared" si="9"/>
        <v>3</v>
      </c>
      <c r="AE23" s="9">
        <v>0</v>
      </c>
      <c r="AF23" s="9">
        <f t="shared" si="10"/>
        <v>3</v>
      </c>
      <c r="AG23" s="9">
        <v>0</v>
      </c>
      <c r="AH23" s="9">
        <f t="shared" si="25"/>
        <v>3</v>
      </c>
      <c r="AI23" s="7">
        <v>0</v>
      </c>
      <c r="AJ23" s="7">
        <v>0</v>
      </c>
      <c r="AK23" s="14">
        <f t="shared" si="11"/>
        <v>3</v>
      </c>
      <c r="AL23" s="7">
        <v>0</v>
      </c>
      <c r="AM23" s="7">
        <v>0</v>
      </c>
      <c r="AN23" s="14">
        <f t="shared" si="12"/>
        <v>3</v>
      </c>
      <c r="AO23" s="7">
        <v>0</v>
      </c>
      <c r="AP23" s="7">
        <v>0</v>
      </c>
      <c r="AQ23" s="14">
        <f t="shared" si="13"/>
        <v>3</v>
      </c>
      <c r="AR23" s="7">
        <v>0</v>
      </c>
      <c r="AS23" s="7">
        <v>0</v>
      </c>
      <c r="AT23" s="14">
        <f t="shared" si="14"/>
        <v>3</v>
      </c>
      <c r="AU23" s="7">
        <v>0</v>
      </c>
      <c r="AV23" s="7">
        <v>0</v>
      </c>
      <c r="AW23" s="14">
        <f t="shared" si="15"/>
        <v>3</v>
      </c>
      <c r="AX23" s="7">
        <v>0</v>
      </c>
      <c r="AY23" s="7">
        <v>0</v>
      </c>
      <c r="AZ23" s="14">
        <f t="shared" si="16"/>
        <v>3</v>
      </c>
      <c r="BA23" s="7">
        <v>0</v>
      </c>
      <c r="BB23" s="7">
        <v>0</v>
      </c>
      <c r="BC23" s="14">
        <f t="shared" si="17"/>
        <v>3</v>
      </c>
      <c r="BD23" s="7">
        <v>0</v>
      </c>
      <c r="BE23" s="7">
        <v>0</v>
      </c>
      <c r="BF23" s="14">
        <f t="shared" si="18"/>
        <v>3</v>
      </c>
      <c r="BG23" s="7">
        <v>0</v>
      </c>
      <c r="BH23" s="7">
        <v>0</v>
      </c>
      <c r="BI23" s="14">
        <f t="shared" si="19"/>
        <v>3</v>
      </c>
      <c r="BJ23" s="7">
        <v>0</v>
      </c>
      <c r="BK23" s="7">
        <v>0</v>
      </c>
      <c r="BL23" s="14">
        <f t="shared" si="20"/>
        <v>3</v>
      </c>
      <c r="BM23" s="7">
        <v>0</v>
      </c>
      <c r="BN23" s="7">
        <v>0</v>
      </c>
      <c r="BO23" s="14">
        <f t="shared" si="21"/>
        <v>3</v>
      </c>
      <c r="BP23" s="7">
        <v>0</v>
      </c>
      <c r="BQ23" s="7">
        <v>0</v>
      </c>
      <c r="BR23" s="14">
        <f t="shared" si="22"/>
        <v>3</v>
      </c>
      <c r="BS23" s="7">
        <v>0</v>
      </c>
      <c r="BT23" s="7">
        <v>0</v>
      </c>
      <c r="BU23" s="14">
        <f t="shared" si="23"/>
        <v>3</v>
      </c>
      <c r="BV23" s="11">
        <v>0</v>
      </c>
      <c r="BW23" s="11">
        <v>0</v>
      </c>
      <c r="BX23" s="15">
        <f t="shared" si="24"/>
        <v>3</v>
      </c>
    </row>
    <row r="24" spans="1:76" x14ac:dyDescent="0.2">
      <c r="A24" s="13" t="s">
        <v>98</v>
      </c>
      <c r="B24" s="7">
        <v>15</v>
      </c>
      <c r="C24" s="7">
        <v>0</v>
      </c>
      <c r="D24" s="7">
        <v>1</v>
      </c>
      <c r="E24" s="8">
        <f t="shared" si="0"/>
        <v>14</v>
      </c>
      <c r="F24" s="7">
        <v>0</v>
      </c>
      <c r="G24" s="7">
        <v>0</v>
      </c>
      <c r="H24" s="8">
        <f t="shared" si="1"/>
        <v>14</v>
      </c>
      <c r="I24" s="7">
        <v>0</v>
      </c>
      <c r="J24" s="7">
        <v>0</v>
      </c>
      <c r="K24" s="8">
        <f t="shared" si="2"/>
        <v>14</v>
      </c>
      <c r="L24" s="9">
        <v>0</v>
      </c>
      <c r="M24" s="10">
        <v>0</v>
      </c>
      <c r="N24" s="9">
        <f t="shared" si="3"/>
        <v>14</v>
      </c>
      <c r="O24" s="9">
        <v>0</v>
      </c>
      <c r="P24" s="9">
        <v>0</v>
      </c>
      <c r="Q24" s="9">
        <f t="shared" si="4"/>
        <v>14</v>
      </c>
      <c r="R24" s="9">
        <v>0</v>
      </c>
      <c r="S24" s="9">
        <v>0</v>
      </c>
      <c r="T24" s="9">
        <f t="shared" si="5"/>
        <v>14</v>
      </c>
      <c r="U24" s="9">
        <v>0</v>
      </c>
      <c r="V24" s="9">
        <f t="shared" si="6"/>
        <v>14</v>
      </c>
      <c r="W24" s="9">
        <v>0</v>
      </c>
      <c r="X24" s="9">
        <v>0</v>
      </c>
      <c r="Y24" s="9">
        <f t="shared" si="7"/>
        <v>14</v>
      </c>
      <c r="Z24" s="9">
        <v>0</v>
      </c>
      <c r="AA24" s="9">
        <f t="shared" si="8"/>
        <v>14</v>
      </c>
      <c r="AB24" s="9">
        <v>0</v>
      </c>
      <c r="AC24" s="9">
        <v>0</v>
      </c>
      <c r="AD24" s="9">
        <f t="shared" si="9"/>
        <v>14</v>
      </c>
      <c r="AE24" s="9">
        <v>0</v>
      </c>
      <c r="AF24" s="9">
        <f t="shared" si="10"/>
        <v>14</v>
      </c>
      <c r="AG24" s="9">
        <v>0</v>
      </c>
      <c r="AH24" s="9">
        <f t="shared" si="25"/>
        <v>14</v>
      </c>
      <c r="AI24" s="7">
        <v>0</v>
      </c>
      <c r="AJ24" s="7">
        <v>0</v>
      </c>
      <c r="AK24" s="14">
        <f t="shared" si="11"/>
        <v>14</v>
      </c>
      <c r="AL24" s="7">
        <v>0</v>
      </c>
      <c r="AM24" s="7">
        <v>0</v>
      </c>
      <c r="AN24" s="14">
        <f t="shared" si="12"/>
        <v>14</v>
      </c>
      <c r="AO24" s="7">
        <v>0</v>
      </c>
      <c r="AP24" s="7">
        <v>0</v>
      </c>
      <c r="AQ24" s="14">
        <f t="shared" si="13"/>
        <v>14</v>
      </c>
      <c r="AR24" s="7">
        <v>0</v>
      </c>
      <c r="AS24" s="7">
        <v>0</v>
      </c>
      <c r="AT24" s="14">
        <f t="shared" si="14"/>
        <v>14</v>
      </c>
      <c r="AU24" s="7">
        <v>0</v>
      </c>
      <c r="AV24" s="7">
        <v>0</v>
      </c>
      <c r="AW24" s="14">
        <f t="shared" si="15"/>
        <v>14</v>
      </c>
      <c r="AX24" s="7">
        <v>0</v>
      </c>
      <c r="AY24" s="7">
        <v>0</v>
      </c>
      <c r="AZ24" s="14">
        <f t="shared" si="16"/>
        <v>14</v>
      </c>
      <c r="BA24" s="7">
        <v>0</v>
      </c>
      <c r="BB24" s="7">
        <v>0</v>
      </c>
      <c r="BC24" s="14">
        <f t="shared" si="17"/>
        <v>14</v>
      </c>
      <c r="BD24" s="7">
        <v>0</v>
      </c>
      <c r="BE24" s="7">
        <v>0</v>
      </c>
      <c r="BF24" s="14">
        <f t="shared" si="18"/>
        <v>14</v>
      </c>
      <c r="BG24" s="7">
        <v>0</v>
      </c>
      <c r="BH24" s="7">
        <v>0</v>
      </c>
      <c r="BI24" s="14">
        <f t="shared" si="19"/>
        <v>14</v>
      </c>
      <c r="BJ24" s="7">
        <v>0</v>
      </c>
      <c r="BK24" s="7">
        <v>0</v>
      </c>
      <c r="BL24" s="14">
        <f t="shared" si="20"/>
        <v>14</v>
      </c>
      <c r="BM24" s="7">
        <v>0</v>
      </c>
      <c r="BN24" s="7">
        <v>0</v>
      </c>
      <c r="BO24" s="14">
        <f t="shared" si="21"/>
        <v>14</v>
      </c>
      <c r="BP24" s="7">
        <v>0</v>
      </c>
      <c r="BQ24" s="7">
        <v>0</v>
      </c>
      <c r="BR24" s="14">
        <f t="shared" si="22"/>
        <v>14</v>
      </c>
      <c r="BS24" s="7">
        <v>0</v>
      </c>
      <c r="BT24" s="7">
        <v>0</v>
      </c>
      <c r="BU24" s="14">
        <f t="shared" si="23"/>
        <v>14</v>
      </c>
      <c r="BV24" s="11">
        <v>0</v>
      </c>
      <c r="BW24" s="11">
        <v>0</v>
      </c>
      <c r="BX24" s="15">
        <f t="shared" si="24"/>
        <v>14</v>
      </c>
    </row>
    <row r="25" spans="1:76" x14ac:dyDescent="0.2">
      <c r="A25" s="5" t="s">
        <v>99</v>
      </c>
      <c r="B25" s="7">
        <v>26</v>
      </c>
      <c r="C25" s="7">
        <v>24</v>
      </c>
      <c r="D25" s="7">
        <v>6</v>
      </c>
      <c r="E25" s="8">
        <f t="shared" si="0"/>
        <v>44</v>
      </c>
      <c r="F25" s="7">
        <v>24</v>
      </c>
      <c r="G25" s="7">
        <v>49</v>
      </c>
      <c r="H25" s="8">
        <f t="shared" si="1"/>
        <v>19</v>
      </c>
      <c r="I25" s="7">
        <v>24</v>
      </c>
      <c r="J25" s="7">
        <v>0</v>
      </c>
      <c r="K25" s="8">
        <f t="shared" si="2"/>
        <v>43</v>
      </c>
      <c r="L25" s="9">
        <v>0</v>
      </c>
      <c r="M25" s="10">
        <v>2</v>
      </c>
      <c r="N25" s="9">
        <f t="shared" si="3"/>
        <v>41</v>
      </c>
      <c r="O25" s="9">
        <v>0</v>
      </c>
      <c r="P25" s="9">
        <v>16</v>
      </c>
      <c r="Q25" s="9">
        <f t="shared" si="4"/>
        <v>25</v>
      </c>
      <c r="R25" s="9">
        <v>20</v>
      </c>
      <c r="S25" s="9">
        <v>0</v>
      </c>
      <c r="T25" s="9">
        <f t="shared" si="5"/>
        <v>45</v>
      </c>
      <c r="U25" s="9">
        <v>0</v>
      </c>
      <c r="V25" s="9">
        <f t="shared" si="6"/>
        <v>45</v>
      </c>
      <c r="W25" s="9">
        <v>0</v>
      </c>
      <c r="X25" s="9">
        <v>2</v>
      </c>
      <c r="Y25" s="9">
        <f t="shared" si="7"/>
        <v>43</v>
      </c>
      <c r="Z25" s="9">
        <v>0</v>
      </c>
      <c r="AA25" s="9">
        <f t="shared" si="8"/>
        <v>43</v>
      </c>
      <c r="AB25" s="9">
        <v>0</v>
      </c>
      <c r="AC25" s="9">
        <v>0</v>
      </c>
      <c r="AD25" s="9">
        <f t="shared" si="9"/>
        <v>43</v>
      </c>
      <c r="AE25" s="9">
        <v>0</v>
      </c>
      <c r="AF25" s="9">
        <f t="shared" si="10"/>
        <v>43</v>
      </c>
      <c r="AG25" s="9">
        <v>0</v>
      </c>
      <c r="AH25" s="9">
        <f t="shared" si="25"/>
        <v>43</v>
      </c>
      <c r="AI25" s="7">
        <v>0</v>
      </c>
      <c r="AJ25" s="7">
        <v>3</v>
      </c>
      <c r="AK25" s="14">
        <f t="shared" si="11"/>
        <v>40</v>
      </c>
      <c r="AL25" s="7">
        <v>0</v>
      </c>
      <c r="AM25" s="7">
        <v>12</v>
      </c>
      <c r="AN25" s="14">
        <f t="shared" si="12"/>
        <v>28</v>
      </c>
      <c r="AO25" s="7">
        <v>24</v>
      </c>
      <c r="AP25" s="7">
        <v>0</v>
      </c>
      <c r="AQ25" s="14">
        <f t="shared" si="13"/>
        <v>52</v>
      </c>
      <c r="AR25" s="7">
        <v>0</v>
      </c>
      <c r="AS25" s="7">
        <v>0</v>
      </c>
      <c r="AT25" s="14">
        <f t="shared" si="14"/>
        <v>52</v>
      </c>
      <c r="AU25" s="7">
        <v>0</v>
      </c>
      <c r="AV25" s="7">
        <v>0</v>
      </c>
      <c r="AW25" s="14">
        <f t="shared" si="15"/>
        <v>52</v>
      </c>
      <c r="AX25" s="7">
        <v>0</v>
      </c>
      <c r="AY25" s="7">
        <v>14</v>
      </c>
      <c r="AZ25" s="14">
        <f t="shared" si="16"/>
        <v>38</v>
      </c>
      <c r="BA25" s="7">
        <v>0</v>
      </c>
      <c r="BB25" s="7">
        <v>0</v>
      </c>
      <c r="BC25" s="14">
        <f t="shared" si="17"/>
        <v>38</v>
      </c>
      <c r="BD25" s="7">
        <v>0</v>
      </c>
      <c r="BE25" s="7">
        <v>17</v>
      </c>
      <c r="BF25" s="14">
        <f t="shared" si="18"/>
        <v>21</v>
      </c>
      <c r="BG25" s="7">
        <v>0</v>
      </c>
      <c r="BH25" s="7">
        <v>1</v>
      </c>
      <c r="BI25" s="14">
        <f t="shared" si="19"/>
        <v>20</v>
      </c>
      <c r="BJ25" s="7">
        <v>24</v>
      </c>
      <c r="BK25" s="7">
        <v>0</v>
      </c>
      <c r="BL25" s="14">
        <f t="shared" si="20"/>
        <v>44</v>
      </c>
      <c r="BM25" s="7">
        <v>0</v>
      </c>
      <c r="BN25" s="7">
        <v>0</v>
      </c>
      <c r="BO25" s="14">
        <f t="shared" si="21"/>
        <v>44</v>
      </c>
      <c r="BP25" s="7">
        <v>0</v>
      </c>
      <c r="BQ25" s="7">
        <v>8</v>
      </c>
      <c r="BR25" s="14">
        <f t="shared" si="22"/>
        <v>36</v>
      </c>
      <c r="BS25" s="7">
        <v>0</v>
      </c>
      <c r="BT25" s="7">
        <v>0</v>
      </c>
      <c r="BU25" s="14">
        <f t="shared" si="23"/>
        <v>36</v>
      </c>
      <c r="BV25" s="11">
        <v>0</v>
      </c>
      <c r="BW25" s="12">
        <v>2</v>
      </c>
      <c r="BX25" s="15">
        <f t="shared" si="24"/>
        <v>34</v>
      </c>
    </row>
    <row r="26" spans="1:76" x14ac:dyDescent="0.2">
      <c r="A26" s="5" t="s">
        <v>100</v>
      </c>
      <c r="B26" s="7">
        <v>141</v>
      </c>
      <c r="C26" s="7">
        <v>60</v>
      </c>
      <c r="D26" s="7">
        <v>70</v>
      </c>
      <c r="E26" s="8">
        <f t="shared" si="0"/>
        <v>131</v>
      </c>
      <c r="F26" s="7">
        <v>0</v>
      </c>
      <c r="G26" s="7">
        <v>81</v>
      </c>
      <c r="H26" s="8">
        <f t="shared" si="1"/>
        <v>50</v>
      </c>
      <c r="I26" s="7">
        <v>120</v>
      </c>
      <c r="J26" s="7">
        <v>4</v>
      </c>
      <c r="K26" s="8">
        <f t="shared" si="2"/>
        <v>166</v>
      </c>
      <c r="L26" s="9">
        <v>0</v>
      </c>
      <c r="M26" s="10">
        <v>70</v>
      </c>
      <c r="N26" s="9">
        <f t="shared" si="3"/>
        <v>96</v>
      </c>
      <c r="O26" s="9">
        <v>90</v>
      </c>
      <c r="P26" s="9">
        <v>58</v>
      </c>
      <c r="Q26" s="9">
        <f t="shared" si="4"/>
        <v>128</v>
      </c>
      <c r="R26" s="9">
        <v>0</v>
      </c>
      <c r="S26" s="9">
        <v>23</v>
      </c>
      <c r="T26" s="9">
        <f t="shared" si="5"/>
        <v>105</v>
      </c>
      <c r="U26" s="9">
        <v>50</v>
      </c>
      <c r="V26" s="9">
        <f t="shared" si="6"/>
        <v>55</v>
      </c>
      <c r="W26" s="9">
        <v>90</v>
      </c>
      <c r="X26" s="9">
        <v>42</v>
      </c>
      <c r="Y26" s="9">
        <f t="shared" si="7"/>
        <v>103</v>
      </c>
      <c r="Z26" s="9">
        <v>5</v>
      </c>
      <c r="AA26" s="9">
        <f t="shared" si="8"/>
        <v>98</v>
      </c>
      <c r="AB26" s="9">
        <v>90</v>
      </c>
      <c r="AC26" s="9">
        <v>63</v>
      </c>
      <c r="AD26" s="9">
        <f t="shared" si="9"/>
        <v>125</v>
      </c>
      <c r="AE26" s="9">
        <v>12</v>
      </c>
      <c r="AF26" s="9">
        <f t="shared" si="10"/>
        <v>113</v>
      </c>
      <c r="AG26" s="9">
        <v>0</v>
      </c>
      <c r="AH26" s="9">
        <f t="shared" si="25"/>
        <v>113</v>
      </c>
      <c r="AI26" s="7">
        <v>0</v>
      </c>
      <c r="AJ26" s="7">
        <v>68</v>
      </c>
      <c r="AK26" s="14">
        <f t="shared" si="11"/>
        <v>45</v>
      </c>
      <c r="AL26" s="7">
        <v>150</v>
      </c>
      <c r="AM26" s="7">
        <v>92</v>
      </c>
      <c r="AN26" s="14">
        <f t="shared" si="12"/>
        <v>103</v>
      </c>
      <c r="AO26" s="7">
        <v>0</v>
      </c>
      <c r="AP26" s="7">
        <v>25</v>
      </c>
      <c r="AQ26" s="14">
        <f t="shared" si="13"/>
        <v>78</v>
      </c>
      <c r="AR26" s="7">
        <v>120</v>
      </c>
      <c r="AS26" s="7">
        <v>7</v>
      </c>
      <c r="AT26" s="14">
        <f t="shared" si="14"/>
        <v>191</v>
      </c>
      <c r="AU26" s="7">
        <v>0</v>
      </c>
      <c r="AV26" s="7">
        <v>17</v>
      </c>
      <c r="AW26" s="14">
        <f t="shared" si="15"/>
        <v>174</v>
      </c>
      <c r="AX26" s="7">
        <v>0</v>
      </c>
      <c r="AY26" s="7">
        <v>23</v>
      </c>
      <c r="AZ26" s="14">
        <f t="shared" si="16"/>
        <v>151</v>
      </c>
      <c r="BA26" s="7">
        <v>60</v>
      </c>
      <c r="BB26" s="7">
        <v>40</v>
      </c>
      <c r="BC26" s="14">
        <f t="shared" si="17"/>
        <v>171</v>
      </c>
      <c r="BD26" s="7">
        <v>0</v>
      </c>
      <c r="BE26" s="7">
        <v>27</v>
      </c>
      <c r="BF26" s="14">
        <f t="shared" si="18"/>
        <v>144</v>
      </c>
      <c r="BG26" s="7">
        <v>0</v>
      </c>
      <c r="BH26" s="7">
        <v>11</v>
      </c>
      <c r="BI26" s="14">
        <f t="shared" si="19"/>
        <v>133</v>
      </c>
      <c r="BJ26" s="7">
        <v>60</v>
      </c>
      <c r="BK26" s="7">
        <v>12</v>
      </c>
      <c r="BL26" s="14">
        <f t="shared" si="20"/>
        <v>181</v>
      </c>
      <c r="BM26" s="7">
        <v>0</v>
      </c>
      <c r="BN26" s="7">
        <v>26</v>
      </c>
      <c r="BO26" s="14">
        <f t="shared" si="21"/>
        <v>155</v>
      </c>
      <c r="BP26" s="7">
        <v>0</v>
      </c>
      <c r="BQ26" s="7">
        <v>25</v>
      </c>
      <c r="BR26" s="14">
        <f t="shared" si="22"/>
        <v>130</v>
      </c>
      <c r="BS26" s="7">
        <v>60</v>
      </c>
      <c r="BT26" s="7">
        <v>30</v>
      </c>
      <c r="BU26" s="14">
        <f t="shared" si="23"/>
        <v>160</v>
      </c>
      <c r="BV26" s="11">
        <v>0</v>
      </c>
      <c r="BW26" s="12">
        <v>15</v>
      </c>
      <c r="BX26" s="15">
        <f t="shared" si="24"/>
        <v>145</v>
      </c>
    </row>
    <row r="27" spans="1:76" x14ac:dyDescent="0.2">
      <c r="A27" s="5" t="s">
        <v>101</v>
      </c>
      <c r="B27" s="7">
        <v>106</v>
      </c>
      <c r="C27" s="7">
        <v>90</v>
      </c>
      <c r="D27" s="7">
        <v>72</v>
      </c>
      <c r="E27" s="8">
        <f t="shared" si="0"/>
        <v>124</v>
      </c>
      <c r="F27" s="7">
        <v>0</v>
      </c>
      <c r="G27" s="7">
        <v>9</v>
      </c>
      <c r="H27" s="8">
        <f t="shared" si="1"/>
        <v>115</v>
      </c>
      <c r="I27" s="7">
        <v>60</v>
      </c>
      <c r="J27" s="7">
        <v>0</v>
      </c>
      <c r="K27" s="8">
        <f t="shared" si="2"/>
        <v>175</v>
      </c>
      <c r="L27" s="9">
        <v>0</v>
      </c>
      <c r="M27" s="10">
        <v>57</v>
      </c>
      <c r="N27" s="9">
        <f t="shared" si="3"/>
        <v>118</v>
      </c>
      <c r="O27" s="9">
        <v>60</v>
      </c>
      <c r="P27" s="9">
        <v>5</v>
      </c>
      <c r="Q27" s="9">
        <f t="shared" si="4"/>
        <v>173</v>
      </c>
      <c r="R27" s="9">
        <v>0</v>
      </c>
      <c r="S27" s="9">
        <v>8</v>
      </c>
      <c r="T27" s="9">
        <f t="shared" si="5"/>
        <v>165</v>
      </c>
      <c r="U27" s="9">
        <v>27</v>
      </c>
      <c r="V27" s="9">
        <f t="shared" si="6"/>
        <v>138</v>
      </c>
      <c r="W27" s="9">
        <v>60</v>
      </c>
      <c r="X27" s="9">
        <v>4</v>
      </c>
      <c r="Y27" s="9">
        <f t="shared" si="7"/>
        <v>194</v>
      </c>
      <c r="Z27" s="9">
        <v>6</v>
      </c>
      <c r="AA27" s="9">
        <f t="shared" si="8"/>
        <v>188</v>
      </c>
      <c r="AB27" s="9">
        <v>0</v>
      </c>
      <c r="AC27" s="9">
        <v>6</v>
      </c>
      <c r="AD27" s="9">
        <f t="shared" si="9"/>
        <v>182</v>
      </c>
      <c r="AE27" s="9">
        <v>0</v>
      </c>
      <c r="AF27" s="9">
        <f t="shared" si="10"/>
        <v>182</v>
      </c>
      <c r="AG27" s="9">
        <v>4</v>
      </c>
      <c r="AH27" s="9">
        <f t="shared" si="25"/>
        <v>178</v>
      </c>
      <c r="AI27" s="7">
        <v>0</v>
      </c>
      <c r="AJ27" s="7">
        <v>12</v>
      </c>
      <c r="AK27" s="14">
        <f t="shared" si="11"/>
        <v>166</v>
      </c>
      <c r="AL27" s="7">
        <v>0</v>
      </c>
      <c r="AM27" s="7">
        <v>34</v>
      </c>
      <c r="AN27" s="14">
        <f t="shared" si="12"/>
        <v>132</v>
      </c>
      <c r="AO27" s="7">
        <v>0</v>
      </c>
      <c r="AP27" s="7">
        <v>19</v>
      </c>
      <c r="AQ27" s="14">
        <f t="shared" si="13"/>
        <v>113</v>
      </c>
      <c r="AR27" s="7">
        <v>60</v>
      </c>
      <c r="AS27" s="7">
        <v>18</v>
      </c>
      <c r="AT27" s="14">
        <f t="shared" si="14"/>
        <v>155</v>
      </c>
      <c r="AU27" s="7">
        <v>0</v>
      </c>
      <c r="AV27" s="7">
        <v>0</v>
      </c>
      <c r="AW27" s="14">
        <f t="shared" si="15"/>
        <v>155</v>
      </c>
      <c r="AX27" s="7">
        <v>0</v>
      </c>
      <c r="AY27" s="7">
        <v>49</v>
      </c>
      <c r="AZ27" s="14">
        <f t="shared" si="16"/>
        <v>106</v>
      </c>
      <c r="BA27" s="7">
        <v>60</v>
      </c>
      <c r="BB27" s="7">
        <v>32</v>
      </c>
      <c r="BC27" s="14">
        <f t="shared" si="17"/>
        <v>134</v>
      </c>
      <c r="BD27" s="7">
        <v>0</v>
      </c>
      <c r="BE27" s="7">
        <v>30</v>
      </c>
      <c r="BF27" s="14">
        <f t="shared" si="18"/>
        <v>104</v>
      </c>
      <c r="BG27" s="7">
        <v>0</v>
      </c>
      <c r="BH27" s="7">
        <v>31</v>
      </c>
      <c r="BI27" s="14">
        <f t="shared" si="19"/>
        <v>73</v>
      </c>
      <c r="BJ27" s="7">
        <v>90</v>
      </c>
      <c r="BK27" s="7">
        <v>36</v>
      </c>
      <c r="BL27" s="14">
        <f t="shared" si="20"/>
        <v>127</v>
      </c>
      <c r="BM27" s="7">
        <v>0</v>
      </c>
      <c r="BN27" s="7">
        <v>0</v>
      </c>
      <c r="BO27" s="14">
        <f t="shared" si="21"/>
        <v>127</v>
      </c>
      <c r="BP27" s="7">
        <v>0</v>
      </c>
      <c r="BQ27" s="7">
        <v>96</v>
      </c>
      <c r="BR27" s="14">
        <f t="shared" si="22"/>
        <v>31</v>
      </c>
      <c r="BS27" s="7">
        <v>150</v>
      </c>
      <c r="BT27" s="7">
        <v>90</v>
      </c>
      <c r="BU27" s="17">
        <f t="shared" si="23"/>
        <v>91</v>
      </c>
      <c r="BV27" s="11">
        <v>0</v>
      </c>
      <c r="BW27" s="12">
        <v>39</v>
      </c>
      <c r="BX27" s="18">
        <f t="shared" si="24"/>
        <v>52</v>
      </c>
    </row>
    <row r="28" spans="1:76" x14ac:dyDescent="0.2">
      <c r="A28" s="5" t="s">
        <v>102</v>
      </c>
      <c r="B28" s="7">
        <v>54</v>
      </c>
      <c r="C28" s="7">
        <v>60</v>
      </c>
      <c r="D28" s="7">
        <v>13</v>
      </c>
      <c r="E28" s="8">
        <f t="shared" si="0"/>
        <v>101</v>
      </c>
      <c r="F28" s="7">
        <v>0</v>
      </c>
      <c r="G28" s="7">
        <v>21</v>
      </c>
      <c r="H28" s="8">
        <f t="shared" si="1"/>
        <v>80</v>
      </c>
      <c r="I28" s="7">
        <v>0</v>
      </c>
      <c r="J28" s="7">
        <v>0</v>
      </c>
      <c r="K28" s="8">
        <f t="shared" si="2"/>
        <v>80</v>
      </c>
      <c r="L28" s="9">
        <v>0</v>
      </c>
      <c r="M28" s="10">
        <v>7</v>
      </c>
      <c r="N28" s="9">
        <f t="shared" si="3"/>
        <v>73</v>
      </c>
      <c r="O28" s="9">
        <v>0</v>
      </c>
      <c r="P28" s="9">
        <v>5</v>
      </c>
      <c r="Q28" s="9">
        <f t="shared" si="4"/>
        <v>68</v>
      </c>
      <c r="R28" s="9">
        <v>0</v>
      </c>
      <c r="S28" s="9">
        <v>0</v>
      </c>
      <c r="T28" s="9">
        <f t="shared" si="5"/>
        <v>68</v>
      </c>
      <c r="U28" s="9">
        <v>5</v>
      </c>
      <c r="V28" s="9">
        <f t="shared" si="6"/>
        <v>63</v>
      </c>
      <c r="W28" s="9">
        <v>120</v>
      </c>
      <c r="X28" s="9">
        <v>4</v>
      </c>
      <c r="Y28" s="9">
        <f t="shared" si="7"/>
        <v>179</v>
      </c>
      <c r="Z28" s="9">
        <v>0</v>
      </c>
      <c r="AA28" s="9">
        <f t="shared" si="8"/>
        <v>179</v>
      </c>
      <c r="AB28" s="9">
        <v>0</v>
      </c>
      <c r="AC28" s="9">
        <v>0</v>
      </c>
      <c r="AD28" s="9">
        <f t="shared" si="9"/>
        <v>179</v>
      </c>
      <c r="AE28" s="9">
        <v>0</v>
      </c>
      <c r="AF28" s="9">
        <f t="shared" si="10"/>
        <v>179</v>
      </c>
      <c r="AG28" s="9">
        <v>0</v>
      </c>
      <c r="AH28" s="9">
        <f t="shared" si="25"/>
        <v>179</v>
      </c>
      <c r="AI28" s="7">
        <v>0</v>
      </c>
      <c r="AJ28" s="7">
        <v>0</v>
      </c>
      <c r="AK28" s="14">
        <f t="shared" si="11"/>
        <v>179</v>
      </c>
      <c r="AL28" s="7">
        <v>0</v>
      </c>
      <c r="AM28" s="7">
        <v>21</v>
      </c>
      <c r="AN28" s="14">
        <f t="shared" si="12"/>
        <v>158</v>
      </c>
      <c r="AO28" s="7">
        <v>0</v>
      </c>
      <c r="AP28" s="7">
        <v>5</v>
      </c>
      <c r="AQ28" s="14">
        <f t="shared" si="13"/>
        <v>153</v>
      </c>
      <c r="AR28" s="7">
        <v>0</v>
      </c>
      <c r="AS28" s="7">
        <v>0</v>
      </c>
      <c r="AT28" s="14">
        <f t="shared" si="14"/>
        <v>153</v>
      </c>
      <c r="AU28" s="7">
        <v>0</v>
      </c>
      <c r="AV28" s="7">
        <v>4</v>
      </c>
      <c r="AW28" s="14">
        <f t="shared" si="15"/>
        <v>149</v>
      </c>
      <c r="AX28" s="7">
        <v>0</v>
      </c>
      <c r="AY28" s="7">
        <v>1</v>
      </c>
      <c r="AZ28" s="14">
        <f t="shared" si="16"/>
        <v>148</v>
      </c>
      <c r="BA28" s="7">
        <v>0</v>
      </c>
      <c r="BB28" s="7">
        <v>2</v>
      </c>
      <c r="BC28" s="14">
        <f t="shared" si="17"/>
        <v>146</v>
      </c>
      <c r="BD28" s="7">
        <v>0</v>
      </c>
      <c r="BE28" s="7">
        <v>8</v>
      </c>
      <c r="BF28" s="14">
        <f t="shared" si="18"/>
        <v>138</v>
      </c>
      <c r="BG28" s="7">
        <v>0</v>
      </c>
      <c r="BH28" s="7">
        <v>4</v>
      </c>
      <c r="BI28" s="14">
        <f t="shared" si="19"/>
        <v>134</v>
      </c>
      <c r="BJ28" s="7">
        <v>0</v>
      </c>
      <c r="BK28" s="7">
        <v>4</v>
      </c>
      <c r="BL28" s="14">
        <f t="shared" si="20"/>
        <v>130</v>
      </c>
      <c r="BM28" s="7">
        <v>0</v>
      </c>
      <c r="BN28" s="7">
        <v>0</v>
      </c>
      <c r="BO28" s="14">
        <f t="shared" si="21"/>
        <v>130</v>
      </c>
      <c r="BP28" s="7">
        <v>0</v>
      </c>
      <c r="BQ28" s="7">
        <v>0</v>
      </c>
      <c r="BR28" s="14">
        <f t="shared" si="22"/>
        <v>130</v>
      </c>
      <c r="BS28" s="7">
        <v>0</v>
      </c>
      <c r="BT28" s="7">
        <v>18</v>
      </c>
      <c r="BU28" s="14">
        <f t="shared" si="23"/>
        <v>112</v>
      </c>
      <c r="BV28" s="11">
        <v>0</v>
      </c>
      <c r="BW28" s="12">
        <v>2</v>
      </c>
      <c r="BX28" s="15">
        <f t="shared" si="24"/>
        <v>110</v>
      </c>
    </row>
    <row r="29" spans="1:76" x14ac:dyDescent="0.2">
      <c r="A29" s="5" t="s">
        <v>103</v>
      </c>
      <c r="B29" s="7">
        <v>76</v>
      </c>
      <c r="C29" s="7">
        <v>60</v>
      </c>
      <c r="D29" s="7">
        <v>3</v>
      </c>
      <c r="E29" s="8">
        <f t="shared" si="0"/>
        <v>133</v>
      </c>
      <c r="F29" s="7">
        <v>0</v>
      </c>
      <c r="G29" s="7">
        <v>8</v>
      </c>
      <c r="H29" s="8">
        <f t="shared" si="1"/>
        <v>125</v>
      </c>
      <c r="I29" s="7">
        <v>0</v>
      </c>
      <c r="J29" s="7">
        <v>20</v>
      </c>
      <c r="K29" s="8">
        <f t="shared" si="2"/>
        <v>105</v>
      </c>
      <c r="L29" s="9">
        <v>0</v>
      </c>
      <c r="M29" s="10">
        <v>23</v>
      </c>
      <c r="N29" s="9">
        <f t="shared" si="3"/>
        <v>82</v>
      </c>
      <c r="O29" s="9">
        <v>0</v>
      </c>
      <c r="P29" s="9">
        <v>7</v>
      </c>
      <c r="Q29" s="9">
        <f t="shared" si="4"/>
        <v>75</v>
      </c>
      <c r="R29" s="9">
        <v>0</v>
      </c>
      <c r="S29" s="9">
        <v>0</v>
      </c>
      <c r="T29" s="9">
        <f t="shared" si="5"/>
        <v>75</v>
      </c>
      <c r="U29" s="9">
        <v>10</v>
      </c>
      <c r="V29" s="9">
        <f t="shared" si="6"/>
        <v>65</v>
      </c>
      <c r="W29" s="9">
        <v>0</v>
      </c>
      <c r="X29" s="9">
        <v>6</v>
      </c>
      <c r="Y29" s="9">
        <f t="shared" si="7"/>
        <v>59</v>
      </c>
      <c r="Z29" s="9">
        <v>0</v>
      </c>
      <c r="AA29" s="9">
        <f t="shared" si="8"/>
        <v>59</v>
      </c>
      <c r="AB29" s="9">
        <v>30</v>
      </c>
      <c r="AC29" s="9">
        <v>0</v>
      </c>
      <c r="AD29" s="9">
        <f t="shared" si="9"/>
        <v>89</v>
      </c>
      <c r="AE29" s="9">
        <v>2</v>
      </c>
      <c r="AF29" s="9">
        <f t="shared" si="10"/>
        <v>87</v>
      </c>
      <c r="AG29" s="9">
        <v>12</v>
      </c>
      <c r="AH29" s="9">
        <f t="shared" si="25"/>
        <v>75</v>
      </c>
      <c r="AI29" s="7">
        <v>0</v>
      </c>
      <c r="AJ29" s="7">
        <v>18</v>
      </c>
      <c r="AK29" s="14">
        <f t="shared" si="11"/>
        <v>57</v>
      </c>
      <c r="AL29" s="7">
        <v>30</v>
      </c>
      <c r="AM29" s="7">
        <v>0</v>
      </c>
      <c r="AN29" s="14">
        <f t="shared" si="12"/>
        <v>87</v>
      </c>
      <c r="AO29" s="7">
        <v>0</v>
      </c>
      <c r="AP29" s="7">
        <v>5</v>
      </c>
      <c r="AQ29" s="14">
        <f t="shared" si="13"/>
        <v>82</v>
      </c>
      <c r="AR29" s="7">
        <v>0</v>
      </c>
      <c r="AS29" s="7">
        <v>0</v>
      </c>
      <c r="AT29" s="14">
        <f t="shared" si="14"/>
        <v>82</v>
      </c>
      <c r="AU29" s="7">
        <v>0</v>
      </c>
      <c r="AV29" s="7">
        <v>5</v>
      </c>
      <c r="AW29" s="14">
        <f t="shared" si="15"/>
        <v>77</v>
      </c>
      <c r="AX29" s="7">
        <v>0</v>
      </c>
      <c r="AY29" s="7">
        <v>0</v>
      </c>
      <c r="AZ29" s="14">
        <f t="shared" si="16"/>
        <v>77</v>
      </c>
      <c r="BA29" s="7">
        <v>30</v>
      </c>
      <c r="BB29" s="7">
        <v>26</v>
      </c>
      <c r="BC29" s="14">
        <f t="shared" si="17"/>
        <v>81</v>
      </c>
      <c r="BD29" s="7">
        <v>0</v>
      </c>
      <c r="BE29" s="7">
        <v>26</v>
      </c>
      <c r="BF29" s="17">
        <f t="shared" si="18"/>
        <v>55</v>
      </c>
      <c r="BG29" s="7">
        <v>0</v>
      </c>
      <c r="BH29" s="7">
        <v>5</v>
      </c>
      <c r="BI29" s="17">
        <f t="shared" si="19"/>
        <v>50</v>
      </c>
      <c r="BJ29" s="7">
        <v>30</v>
      </c>
      <c r="BK29" s="7">
        <v>0</v>
      </c>
      <c r="BL29" s="17">
        <f t="shared" si="20"/>
        <v>80</v>
      </c>
      <c r="BM29" s="7">
        <v>0</v>
      </c>
      <c r="BN29" s="7">
        <v>0</v>
      </c>
      <c r="BO29" s="17">
        <f t="shared" si="21"/>
        <v>80</v>
      </c>
      <c r="BP29" s="7">
        <v>0</v>
      </c>
      <c r="BQ29" s="7">
        <v>9</v>
      </c>
      <c r="BR29" s="17">
        <f t="shared" si="22"/>
        <v>71</v>
      </c>
      <c r="BS29" s="7">
        <v>30</v>
      </c>
      <c r="BT29" s="7">
        <v>20</v>
      </c>
      <c r="BU29" s="17">
        <f t="shared" si="23"/>
        <v>81</v>
      </c>
      <c r="BV29" s="11">
        <v>0</v>
      </c>
      <c r="BW29" s="12">
        <v>7</v>
      </c>
      <c r="BX29" s="18">
        <f t="shared" si="24"/>
        <v>74</v>
      </c>
    </row>
    <row r="30" spans="1:76" x14ac:dyDescent="0.2">
      <c r="A30" s="5" t="s">
        <v>104</v>
      </c>
      <c r="B30" s="7">
        <v>30</v>
      </c>
      <c r="C30" s="7">
        <v>30</v>
      </c>
      <c r="D30" s="7">
        <v>0</v>
      </c>
      <c r="E30" s="8">
        <f t="shared" si="0"/>
        <v>60</v>
      </c>
      <c r="F30" s="7">
        <v>0</v>
      </c>
      <c r="G30" s="7">
        <v>0</v>
      </c>
      <c r="H30" s="8">
        <f t="shared" si="1"/>
        <v>60</v>
      </c>
      <c r="I30" s="7">
        <v>0</v>
      </c>
      <c r="J30" s="7">
        <v>0</v>
      </c>
      <c r="K30" s="8">
        <f t="shared" si="2"/>
        <v>60</v>
      </c>
      <c r="L30" s="9">
        <v>0</v>
      </c>
      <c r="M30" s="10">
        <v>0</v>
      </c>
      <c r="N30" s="9">
        <f t="shared" si="3"/>
        <v>60</v>
      </c>
      <c r="O30" s="9">
        <v>0</v>
      </c>
      <c r="P30" s="9">
        <v>14</v>
      </c>
      <c r="Q30" s="9">
        <f t="shared" si="4"/>
        <v>46</v>
      </c>
      <c r="R30" s="9">
        <v>0</v>
      </c>
      <c r="S30" s="9">
        <v>0</v>
      </c>
      <c r="T30" s="9">
        <f t="shared" si="5"/>
        <v>46</v>
      </c>
      <c r="U30" s="9">
        <v>0</v>
      </c>
      <c r="V30" s="9">
        <f t="shared" si="6"/>
        <v>46</v>
      </c>
      <c r="W30" s="9">
        <v>90</v>
      </c>
      <c r="X30" s="9">
        <v>1</v>
      </c>
      <c r="Y30" s="9">
        <f t="shared" si="7"/>
        <v>135</v>
      </c>
      <c r="Z30" s="9">
        <v>0</v>
      </c>
      <c r="AA30" s="9">
        <f t="shared" si="8"/>
        <v>135</v>
      </c>
      <c r="AB30" s="9">
        <v>0</v>
      </c>
      <c r="AC30" s="9">
        <v>0</v>
      </c>
      <c r="AD30" s="9">
        <f t="shared" si="9"/>
        <v>135</v>
      </c>
      <c r="AE30" s="9">
        <v>0</v>
      </c>
      <c r="AF30" s="9">
        <f t="shared" si="10"/>
        <v>135</v>
      </c>
      <c r="AG30" s="9">
        <v>2</v>
      </c>
      <c r="AH30" s="9">
        <f t="shared" si="25"/>
        <v>133</v>
      </c>
      <c r="AI30" s="7">
        <v>0</v>
      </c>
      <c r="AJ30" s="7">
        <v>0</v>
      </c>
      <c r="AK30" s="14">
        <f t="shared" si="11"/>
        <v>133</v>
      </c>
      <c r="AL30" s="7">
        <v>0</v>
      </c>
      <c r="AM30" s="7">
        <v>4</v>
      </c>
      <c r="AN30" s="14">
        <f t="shared" si="12"/>
        <v>129</v>
      </c>
      <c r="AO30" s="7">
        <v>0</v>
      </c>
      <c r="AP30" s="7">
        <v>0</v>
      </c>
      <c r="AQ30" s="14">
        <f t="shared" si="13"/>
        <v>129</v>
      </c>
      <c r="AR30" s="7">
        <v>0</v>
      </c>
      <c r="AS30" s="7">
        <v>0</v>
      </c>
      <c r="AT30" s="14">
        <f t="shared" si="14"/>
        <v>129</v>
      </c>
      <c r="AU30" s="7">
        <v>0</v>
      </c>
      <c r="AV30" s="7">
        <v>0</v>
      </c>
      <c r="AW30" s="14">
        <f t="shared" si="15"/>
        <v>129</v>
      </c>
      <c r="AX30" s="7">
        <v>0</v>
      </c>
      <c r="AY30" s="7">
        <v>1</v>
      </c>
      <c r="AZ30" s="14">
        <f t="shared" si="16"/>
        <v>128</v>
      </c>
      <c r="BA30" s="7">
        <v>0</v>
      </c>
      <c r="BB30" s="7">
        <v>0</v>
      </c>
      <c r="BC30" s="14">
        <f t="shared" si="17"/>
        <v>128</v>
      </c>
      <c r="BD30" s="7">
        <v>0</v>
      </c>
      <c r="BE30" s="7">
        <v>9</v>
      </c>
      <c r="BF30" s="14">
        <f t="shared" si="18"/>
        <v>119</v>
      </c>
      <c r="BG30" s="7">
        <v>0</v>
      </c>
      <c r="BH30" s="7">
        <v>4</v>
      </c>
      <c r="BI30" s="14">
        <f t="shared" si="19"/>
        <v>115</v>
      </c>
      <c r="BJ30" s="7">
        <v>0</v>
      </c>
      <c r="BK30" s="7">
        <v>0</v>
      </c>
      <c r="BL30" s="14">
        <f t="shared" si="20"/>
        <v>115</v>
      </c>
      <c r="BM30" s="7">
        <v>0</v>
      </c>
      <c r="BN30" s="7">
        <v>0</v>
      </c>
      <c r="BO30" s="14">
        <f t="shared" si="21"/>
        <v>115</v>
      </c>
      <c r="BP30" s="7">
        <v>0</v>
      </c>
      <c r="BQ30" s="7">
        <v>0</v>
      </c>
      <c r="BR30" s="14">
        <f t="shared" si="22"/>
        <v>115</v>
      </c>
      <c r="BS30" s="7">
        <v>0</v>
      </c>
      <c r="BT30" s="7">
        <v>0</v>
      </c>
      <c r="BU30" s="14">
        <f t="shared" si="23"/>
        <v>115</v>
      </c>
      <c r="BV30" s="11">
        <v>0</v>
      </c>
      <c r="BW30" s="11">
        <v>0</v>
      </c>
      <c r="BX30" s="15">
        <f t="shared" si="24"/>
        <v>115</v>
      </c>
    </row>
    <row r="31" spans="1:76" x14ac:dyDescent="0.2">
      <c r="A31" s="5" t="s">
        <v>105</v>
      </c>
      <c r="B31" s="7">
        <v>4</v>
      </c>
      <c r="C31" s="7">
        <v>1</v>
      </c>
      <c r="D31" s="7">
        <v>0</v>
      </c>
      <c r="E31" s="8">
        <f t="shared" si="0"/>
        <v>5</v>
      </c>
      <c r="F31" s="7">
        <v>0</v>
      </c>
      <c r="G31" s="7">
        <v>0</v>
      </c>
      <c r="H31" s="8">
        <f t="shared" si="1"/>
        <v>5</v>
      </c>
      <c r="I31" s="7">
        <v>0</v>
      </c>
      <c r="J31" s="7">
        <v>0</v>
      </c>
      <c r="K31" s="8">
        <f t="shared" si="2"/>
        <v>5</v>
      </c>
      <c r="L31" s="9">
        <v>0</v>
      </c>
      <c r="M31" s="10">
        <v>4</v>
      </c>
      <c r="N31" s="9">
        <f t="shared" si="3"/>
        <v>1</v>
      </c>
      <c r="O31" s="9">
        <v>3</v>
      </c>
      <c r="P31" s="9">
        <v>0</v>
      </c>
      <c r="Q31" s="9">
        <f t="shared" si="4"/>
        <v>4</v>
      </c>
      <c r="R31" s="9">
        <v>1</v>
      </c>
      <c r="S31" s="9">
        <v>0</v>
      </c>
      <c r="T31" s="9">
        <f t="shared" si="5"/>
        <v>5</v>
      </c>
      <c r="U31" s="9">
        <v>2</v>
      </c>
      <c r="V31" s="9">
        <f t="shared" si="6"/>
        <v>3</v>
      </c>
      <c r="W31" s="9">
        <v>0</v>
      </c>
      <c r="X31" s="9">
        <v>0</v>
      </c>
      <c r="Y31" s="9">
        <f t="shared" si="7"/>
        <v>3</v>
      </c>
      <c r="Z31" s="9">
        <v>0</v>
      </c>
      <c r="AA31" s="9">
        <f t="shared" si="8"/>
        <v>3</v>
      </c>
      <c r="AB31" s="9">
        <v>2</v>
      </c>
      <c r="AC31" s="9">
        <v>0</v>
      </c>
      <c r="AD31" s="9">
        <f t="shared" si="9"/>
        <v>5</v>
      </c>
      <c r="AE31" s="9">
        <v>0</v>
      </c>
      <c r="AF31" s="9">
        <f t="shared" si="10"/>
        <v>5</v>
      </c>
      <c r="AG31" s="9">
        <v>0</v>
      </c>
      <c r="AH31" s="9">
        <f t="shared" si="25"/>
        <v>5</v>
      </c>
      <c r="AI31" s="7">
        <v>0</v>
      </c>
      <c r="AJ31" s="7">
        <v>0</v>
      </c>
      <c r="AK31" s="14">
        <f t="shared" si="11"/>
        <v>5</v>
      </c>
      <c r="AL31" s="7">
        <v>1</v>
      </c>
      <c r="AM31" s="7">
        <v>6</v>
      </c>
      <c r="AN31" s="14">
        <f t="shared" si="12"/>
        <v>0</v>
      </c>
      <c r="AO31" s="7">
        <v>5</v>
      </c>
      <c r="AP31" s="7">
        <v>1</v>
      </c>
      <c r="AQ31" s="14">
        <f t="shared" si="13"/>
        <v>4</v>
      </c>
      <c r="AR31" s="7">
        <v>0</v>
      </c>
      <c r="AS31" s="7">
        <v>0</v>
      </c>
      <c r="AT31" s="14">
        <f t="shared" si="14"/>
        <v>4</v>
      </c>
      <c r="AU31" s="7">
        <v>1</v>
      </c>
      <c r="AV31" s="7">
        <v>0</v>
      </c>
      <c r="AW31" s="14">
        <f t="shared" si="15"/>
        <v>5</v>
      </c>
      <c r="AX31" s="7">
        <v>0</v>
      </c>
      <c r="AY31" s="7">
        <v>2</v>
      </c>
      <c r="AZ31" s="14">
        <f t="shared" si="16"/>
        <v>3</v>
      </c>
      <c r="BA31" s="7">
        <v>2</v>
      </c>
      <c r="BB31" s="7">
        <v>1</v>
      </c>
      <c r="BC31" s="14">
        <f t="shared" si="17"/>
        <v>4</v>
      </c>
      <c r="BD31" s="7">
        <v>1</v>
      </c>
      <c r="BE31" s="7">
        <v>1</v>
      </c>
      <c r="BF31" s="14">
        <f t="shared" si="18"/>
        <v>4</v>
      </c>
      <c r="BG31" s="7">
        <v>0</v>
      </c>
      <c r="BH31" s="7">
        <v>0</v>
      </c>
      <c r="BI31" s="14">
        <f t="shared" si="19"/>
        <v>4</v>
      </c>
      <c r="BJ31" s="7">
        <v>0</v>
      </c>
      <c r="BK31" s="7">
        <v>0</v>
      </c>
      <c r="BL31" s="14">
        <f t="shared" si="20"/>
        <v>4</v>
      </c>
      <c r="BM31" s="7">
        <v>0</v>
      </c>
      <c r="BN31" s="7">
        <v>0</v>
      </c>
      <c r="BO31" s="14">
        <f t="shared" si="21"/>
        <v>4</v>
      </c>
      <c r="BP31" s="7">
        <v>1</v>
      </c>
      <c r="BQ31" s="7">
        <v>0</v>
      </c>
      <c r="BR31" s="14">
        <f t="shared" si="22"/>
        <v>5</v>
      </c>
      <c r="BS31" s="7">
        <v>0</v>
      </c>
      <c r="BT31" s="7">
        <v>3</v>
      </c>
      <c r="BU31" s="14">
        <f t="shared" si="23"/>
        <v>2</v>
      </c>
      <c r="BV31" s="12">
        <v>3</v>
      </c>
      <c r="BW31" s="11">
        <v>0</v>
      </c>
      <c r="BX31" s="15">
        <f t="shared" si="24"/>
        <v>5</v>
      </c>
    </row>
    <row r="32" spans="1:76" x14ac:dyDescent="0.2">
      <c r="A32" s="5" t="s">
        <v>106</v>
      </c>
      <c r="B32" s="7">
        <v>0</v>
      </c>
      <c r="C32" s="7">
        <v>0</v>
      </c>
      <c r="D32" s="7">
        <v>0</v>
      </c>
      <c r="E32" s="8">
        <f t="shared" si="0"/>
        <v>0</v>
      </c>
      <c r="F32" s="7">
        <v>0</v>
      </c>
      <c r="G32" s="7">
        <v>0</v>
      </c>
      <c r="H32" s="8">
        <f t="shared" si="1"/>
        <v>0</v>
      </c>
      <c r="I32" s="7">
        <v>0</v>
      </c>
      <c r="J32" s="7">
        <v>0</v>
      </c>
      <c r="K32" s="8">
        <f t="shared" si="2"/>
        <v>0</v>
      </c>
      <c r="L32" s="9">
        <v>0</v>
      </c>
      <c r="M32" s="10">
        <v>0</v>
      </c>
      <c r="N32" s="9">
        <f t="shared" si="3"/>
        <v>0</v>
      </c>
      <c r="O32" s="9">
        <v>1</v>
      </c>
      <c r="P32" s="9">
        <v>1</v>
      </c>
      <c r="Q32" s="9">
        <f t="shared" si="4"/>
        <v>0</v>
      </c>
      <c r="R32" s="9">
        <v>0</v>
      </c>
      <c r="S32" s="9">
        <v>0</v>
      </c>
      <c r="T32" s="9">
        <f t="shared" si="5"/>
        <v>0</v>
      </c>
      <c r="U32" s="9">
        <v>0</v>
      </c>
      <c r="V32" s="9">
        <f t="shared" si="6"/>
        <v>0</v>
      </c>
      <c r="W32" s="9">
        <v>0</v>
      </c>
      <c r="X32" s="9">
        <v>0</v>
      </c>
      <c r="Y32" s="9">
        <f t="shared" si="7"/>
        <v>0</v>
      </c>
      <c r="Z32" s="9">
        <v>0</v>
      </c>
      <c r="AA32" s="9">
        <f t="shared" si="8"/>
        <v>0</v>
      </c>
      <c r="AB32" s="9">
        <v>0</v>
      </c>
      <c r="AC32" s="9">
        <v>0</v>
      </c>
      <c r="AD32" s="9">
        <f t="shared" si="9"/>
        <v>0</v>
      </c>
      <c r="AE32" s="9">
        <v>0</v>
      </c>
      <c r="AF32" s="9">
        <f t="shared" si="10"/>
        <v>0</v>
      </c>
      <c r="AG32" s="9">
        <v>0</v>
      </c>
      <c r="AH32" s="9">
        <f t="shared" si="25"/>
        <v>0</v>
      </c>
      <c r="AI32" s="7">
        <v>0</v>
      </c>
      <c r="AJ32" s="7">
        <v>0</v>
      </c>
      <c r="AK32" s="14">
        <f t="shared" si="11"/>
        <v>0</v>
      </c>
      <c r="AL32" s="7">
        <v>1</v>
      </c>
      <c r="AM32" s="7">
        <v>1</v>
      </c>
      <c r="AN32" s="14">
        <f t="shared" si="12"/>
        <v>0</v>
      </c>
      <c r="AO32" s="7">
        <v>2</v>
      </c>
      <c r="AP32" s="7">
        <v>2</v>
      </c>
      <c r="AQ32" s="14">
        <f t="shared" si="13"/>
        <v>0</v>
      </c>
      <c r="AR32" s="7">
        <v>0</v>
      </c>
      <c r="AS32" s="7">
        <v>0</v>
      </c>
      <c r="AT32" s="14">
        <f t="shared" si="14"/>
        <v>0</v>
      </c>
      <c r="AU32" s="7">
        <v>0</v>
      </c>
      <c r="AV32" s="7">
        <v>0</v>
      </c>
      <c r="AW32" s="14">
        <f t="shared" si="15"/>
        <v>0</v>
      </c>
      <c r="AX32" s="7">
        <v>0</v>
      </c>
      <c r="AY32" s="7">
        <v>0</v>
      </c>
      <c r="AZ32" s="14">
        <f t="shared" si="16"/>
        <v>0</v>
      </c>
      <c r="BA32" s="7">
        <v>0</v>
      </c>
      <c r="BB32" s="7">
        <v>0</v>
      </c>
      <c r="BC32" s="14">
        <f t="shared" si="17"/>
        <v>0</v>
      </c>
      <c r="BD32" s="7">
        <v>0</v>
      </c>
      <c r="BE32" s="7">
        <v>0</v>
      </c>
      <c r="BF32" s="14">
        <f t="shared" si="18"/>
        <v>0</v>
      </c>
      <c r="BG32" s="7">
        <v>0</v>
      </c>
      <c r="BH32" s="7">
        <v>0</v>
      </c>
      <c r="BI32" s="14">
        <f t="shared" si="19"/>
        <v>0</v>
      </c>
      <c r="BJ32" s="7">
        <v>0</v>
      </c>
      <c r="BK32" s="7">
        <v>0</v>
      </c>
      <c r="BL32" s="14">
        <f t="shared" si="20"/>
        <v>0</v>
      </c>
      <c r="BM32" s="7">
        <v>0</v>
      </c>
      <c r="BN32" s="7">
        <v>0</v>
      </c>
      <c r="BO32" s="14">
        <f t="shared" si="21"/>
        <v>0</v>
      </c>
      <c r="BP32" s="7">
        <v>0</v>
      </c>
      <c r="BQ32" s="7">
        <v>0</v>
      </c>
      <c r="BR32" s="14">
        <f t="shared" si="22"/>
        <v>0</v>
      </c>
      <c r="BS32" s="7">
        <v>0</v>
      </c>
      <c r="BT32" s="7">
        <v>0</v>
      </c>
      <c r="BU32" s="14">
        <f t="shared" si="23"/>
        <v>0</v>
      </c>
      <c r="BV32" s="11">
        <v>0</v>
      </c>
      <c r="BW32" s="11">
        <v>0</v>
      </c>
      <c r="BX32" s="15">
        <f t="shared" si="24"/>
        <v>0</v>
      </c>
    </row>
    <row r="33" spans="1:76" x14ac:dyDescent="0.2">
      <c r="A33" s="5" t="s">
        <v>107</v>
      </c>
      <c r="B33" s="7">
        <v>0</v>
      </c>
      <c r="C33" s="7">
        <v>0</v>
      </c>
      <c r="D33" s="7">
        <v>0</v>
      </c>
      <c r="E33" s="8">
        <f t="shared" si="0"/>
        <v>0</v>
      </c>
      <c r="F33" s="7">
        <v>0</v>
      </c>
      <c r="G33" s="7">
        <v>0</v>
      </c>
      <c r="H33" s="8">
        <f t="shared" si="1"/>
        <v>0</v>
      </c>
      <c r="I33" s="7">
        <v>0</v>
      </c>
      <c r="J33" s="7">
        <v>0</v>
      </c>
      <c r="K33" s="8">
        <f t="shared" si="2"/>
        <v>0</v>
      </c>
      <c r="L33" s="9">
        <v>0</v>
      </c>
      <c r="M33" s="10">
        <v>0</v>
      </c>
      <c r="N33" s="9">
        <f t="shared" si="3"/>
        <v>0</v>
      </c>
      <c r="O33" s="9">
        <v>0</v>
      </c>
      <c r="P33" s="9">
        <v>0</v>
      </c>
      <c r="Q33" s="9">
        <f t="shared" si="4"/>
        <v>0</v>
      </c>
      <c r="R33" s="9">
        <v>0</v>
      </c>
      <c r="S33" s="9">
        <v>0</v>
      </c>
      <c r="T33" s="9">
        <f t="shared" si="5"/>
        <v>0</v>
      </c>
      <c r="U33" s="9">
        <v>0</v>
      </c>
      <c r="V33" s="9">
        <f t="shared" si="6"/>
        <v>0</v>
      </c>
      <c r="W33" s="9">
        <v>0</v>
      </c>
      <c r="X33" s="9">
        <v>0</v>
      </c>
      <c r="Y33" s="9">
        <f t="shared" si="7"/>
        <v>0</v>
      </c>
      <c r="Z33" s="9">
        <v>0</v>
      </c>
      <c r="AA33" s="9">
        <f t="shared" si="8"/>
        <v>0</v>
      </c>
      <c r="AB33" s="9">
        <v>0</v>
      </c>
      <c r="AC33" s="9">
        <v>0</v>
      </c>
      <c r="AD33" s="9">
        <f t="shared" si="9"/>
        <v>0</v>
      </c>
      <c r="AE33" s="9">
        <v>0</v>
      </c>
      <c r="AF33" s="9">
        <f t="shared" si="10"/>
        <v>0</v>
      </c>
      <c r="AG33" s="9">
        <v>0</v>
      </c>
      <c r="AH33" s="9">
        <f t="shared" si="25"/>
        <v>0</v>
      </c>
      <c r="AI33" s="7">
        <v>0</v>
      </c>
      <c r="AJ33" s="7">
        <v>0</v>
      </c>
      <c r="AK33" s="14">
        <f t="shared" si="11"/>
        <v>0</v>
      </c>
      <c r="AL33" s="7">
        <v>0</v>
      </c>
      <c r="AM33" s="7">
        <v>0</v>
      </c>
      <c r="AN33" s="14">
        <f t="shared" si="12"/>
        <v>0</v>
      </c>
      <c r="AO33" s="7">
        <v>0</v>
      </c>
      <c r="AP33" s="7">
        <v>0</v>
      </c>
      <c r="AQ33" s="14">
        <f t="shared" si="13"/>
        <v>0</v>
      </c>
      <c r="AR33" s="7">
        <v>0</v>
      </c>
      <c r="AS33" s="7">
        <v>0</v>
      </c>
      <c r="AT33" s="14">
        <f t="shared" si="14"/>
        <v>0</v>
      </c>
      <c r="AU33" s="7">
        <v>0</v>
      </c>
      <c r="AV33" s="7">
        <v>0</v>
      </c>
      <c r="AW33" s="14">
        <f t="shared" si="15"/>
        <v>0</v>
      </c>
      <c r="AX33" s="7">
        <v>0</v>
      </c>
      <c r="AY33" s="7">
        <v>0</v>
      </c>
      <c r="AZ33" s="14">
        <f t="shared" si="16"/>
        <v>0</v>
      </c>
      <c r="BA33" s="7">
        <v>0</v>
      </c>
      <c r="BB33" s="7">
        <v>0</v>
      </c>
      <c r="BC33" s="14">
        <f t="shared" si="17"/>
        <v>0</v>
      </c>
      <c r="BD33" s="7">
        <v>0</v>
      </c>
      <c r="BE33" s="7">
        <v>0</v>
      </c>
      <c r="BF33" s="14">
        <f t="shared" si="18"/>
        <v>0</v>
      </c>
      <c r="BG33" s="7">
        <v>0</v>
      </c>
      <c r="BH33" s="7">
        <v>0</v>
      </c>
      <c r="BI33" s="14">
        <f t="shared" si="19"/>
        <v>0</v>
      </c>
      <c r="BJ33" s="7">
        <v>0</v>
      </c>
      <c r="BK33" s="7">
        <v>0</v>
      </c>
      <c r="BL33" s="14">
        <f t="shared" si="20"/>
        <v>0</v>
      </c>
      <c r="BM33" s="7">
        <v>0</v>
      </c>
      <c r="BN33" s="7">
        <v>0</v>
      </c>
      <c r="BO33" s="14">
        <f t="shared" si="21"/>
        <v>0</v>
      </c>
      <c r="BP33" s="7">
        <v>0</v>
      </c>
      <c r="BQ33" s="7">
        <v>0</v>
      </c>
      <c r="BR33" s="14">
        <f t="shared" si="22"/>
        <v>0</v>
      </c>
      <c r="BS33" s="7">
        <v>0</v>
      </c>
      <c r="BT33" s="7">
        <v>0</v>
      </c>
      <c r="BU33" s="14">
        <f t="shared" si="23"/>
        <v>0</v>
      </c>
      <c r="BV33" s="11">
        <v>0</v>
      </c>
      <c r="BW33" s="11">
        <v>0</v>
      </c>
      <c r="BX33" s="15">
        <f t="shared" si="24"/>
        <v>0</v>
      </c>
    </row>
    <row r="34" spans="1:76" x14ac:dyDescent="0.2">
      <c r="A34" s="5" t="s">
        <v>108</v>
      </c>
      <c r="B34" s="7">
        <v>0</v>
      </c>
      <c r="C34" s="7">
        <v>0</v>
      </c>
      <c r="D34" s="7">
        <v>0</v>
      </c>
      <c r="E34" s="8">
        <f t="shared" si="0"/>
        <v>0</v>
      </c>
      <c r="F34" s="7">
        <v>0</v>
      </c>
      <c r="G34" s="7">
        <v>0</v>
      </c>
      <c r="H34" s="8">
        <f t="shared" si="1"/>
        <v>0</v>
      </c>
      <c r="I34" s="7">
        <v>0</v>
      </c>
      <c r="J34" s="7">
        <v>0</v>
      </c>
      <c r="K34" s="8">
        <f t="shared" si="2"/>
        <v>0</v>
      </c>
      <c r="L34" s="9">
        <v>0</v>
      </c>
      <c r="M34" s="10">
        <v>0</v>
      </c>
      <c r="N34" s="9">
        <f t="shared" si="3"/>
        <v>0</v>
      </c>
      <c r="O34" s="9">
        <v>0</v>
      </c>
      <c r="P34" s="9">
        <v>0</v>
      </c>
      <c r="Q34" s="9">
        <f t="shared" si="4"/>
        <v>0</v>
      </c>
      <c r="R34" s="9">
        <v>0</v>
      </c>
      <c r="S34" s="9">
        <v>0</v>
      </c>
      <c r="T34" s="9">
        <f t="shared" si="5"/>
        <v>0</v>
      </c>
      <c r="U34" s="9">
        <v>0</v>
      </c>
      <c r="V34" s="9">
        <f t="shared" si="6"/>
        <v>0</v>
      </c>
      <c r="W34" s="9">
        <v>0</v>
      </c>
      <c r="X34" s="9">
        <v>0</v>
      </c>
      <c r="Y34" s="9">
        <f t="shared" si="7"/>
        <v>0</v>
      </c>
      <c r="Z34" s="9">
        <v>0</v>
      </c>
      <c r="AA34" s="9">
        <f t="shared" si="8"/>
        <v>0</v>
      </c>
      <c r="AB34" s="9">
        <v>0</v>
      </c>
      <c r="AC34" s="9">
        <v>0</v>
      </c>
      <c r="AD34" s="9">
        <f t="shared" si="9"/>
        <v>0</v>
      </c>
      <c r="AE34" s="9">
        <v>0</v>
      </c>
      <c r="AF34" s="9">
        <f t="shared" si="10"/>
        <v>0</v>
      </c>
      <c r="AG34" s="9">
        <v>0</v>
      </c>
      <c r="AH34" s="9">
        <f t="shared" si="25"/>
        <v>0</v>
      </c>
      <c r="AI34" s="7">
        <v>0</v>
      </c>
      <c r="AJ34" s="7">
        <v>0</v>
      </c>
      <c r="AK34" s="14">
        <f t="shared" si="11"/>
        <v>0</v>
      </c>
      <c r="AL34" s="7">
        <v>0</v>
      </c>
      <c r="AM34" s="7">
        <v>0</v>
      </c>
      <c r="AN34" s="14">
        <f t="shared" si="12"/>
        <v>0</v>
      </c>
      <c r="AO34" s="7">
        <v>0</v>
      </c>
      <c r="AP34" s="7">
        <v>0</v>
      </c>
      <c r="AQ34" s="14">
        <f t="shared" si="13"/>
        <v>0</v>
      </c>
      <c r="AR34" s="7">
        <v>0</v>
      </c>
      <c r="AS34" s="7">
        <v>0</v>
      </c>
      <c r="AT34" s="14">
        <f t="shared" si="14"/>
        <v>0</v>
      </c>
      <c r="AU34" s="7">
        <v>0</v>
      </c>
      <c r="AV34" s="7">
        <v>0</v>
      </c>
      <c r="AW34" s="14">
        <f t="shared" si="15"/>
        <v>0</v>
      </c>
      <c r="AX34" s="7">
        <v>0</v>
      </c>
      <c r="AY34" s="7">
        <v>0</v>
      </c>
      <c r="AZ34" s="14">
        <f t="shared" si="16"/>
        <v>0</v>
      </c>
      <c r="BA34" s="7">
        <v>0</v>
      </c>
      <c r="BB34" s="7">
        <v>0</v>
      </c>
      <c r="BC34" s="14">
        <f t="shared" si="17"/>
        <v>0</v>
      </c>
      <c r="BD34" s="7">
        <v>0</v>
      </c>
      <c r="BE34" s="7">
        <v>0</v>
      </c>
      <c r="BF34" s="14">
        <f t="shared" si="18"/>
        <v>0</v>
      </c>
      <c r="BG34" s="7">
        <v>0</v>
      </c>
      <c r="BH34" s="7">
        <v>0</v>
      </c>
      <c r="BI34" s="14">
        <f t="shared" si="19"/>
        <v>0</v>
      </c>
      <c r="BJ34" s="7">
        <v>0</v>
      </c>
      <c r="BK34" s="7">
        <v>0</v>
      </c>
      <c r="BL34" s="14">
        <f t="shared" si="20"/>
        <v>0</v>
      </c>
      <c r="BM34" s="7">
        <v>0</v>
      </c>
      <c r="BN34" s="7">
        <v>0</v>
      </c>
      <c r="BO34" s="14">
        <f t="shared" si="21"/>
        <v>0</v>
      </c>
      <c r="BP34" s="7">
        <v>0</v>
      </c>
      <c r="BQ34" s="7">
        <v>0</v>
      </c>
      <c r="BR34" s="14">
        <f t="shared" si="22"/>
        <v>0</v>
      </c>
      <c r="BS34" s="7">
        <v>0</v>
      </c>
      <c r="BT34" s="7">
        <v>0</v>
      </c>
      <c r="BU34" s="14">
        <f t="shared" si="23"/>
        <v>0</v>
      </c>
      <c r="BV34" s="11">
        <v>0</v>
      </c>
      <c r="BW34" s="11">
        <v>0</v>
      </c>
      <c r="BX34" s="15">
        <f t="shared" si="24"/>
        <v>0</v>
      </c>
    </row>
    <row r="35" spans="1:76" x14ac:dyDescent="0.2">
      <c r="A35" s="13" t="s">
        <v>109</v>
      </c>
      <c r="B35" s="7">
        <v>2</v>
      </c>
      <c r="C35" s="7">
        <v>0</v>
      </c>
      <c r="D35" s="7">
        <v>0</v>
      </c>
      <c r="E35" s="8">
        <f t="shared" si="0"/>
        <v>2</v>
      </c>
      <c r="F35" s="7">
        <v>0</v>
      </c>
      <c r="G35" s="7">
        <v>0</v>
      </c>
      <c r="H35" s="8">
        <f t="shared" si="1"/>
        <v>2</v>
      </c>
      <c r="I35" s="7">
        <v>0</v>
      </c>
      <c r="J35" s="7">
        <v>0</v>
      </c>
      <c r="K35" s="8">
        <f t="shared" si="2"/>
        <v>2</v>
      </c>
      <c r="L35" s="9">
        <v>0</v>
      </c>
      <c r="M35" s="10">
        <v>0</v>
      </c>
      <c r="N35" s="9">
        <f t="shared" si="3"/>
        <v>2</v>
      </c>
      <c r="O35" s="9">
        <v>0</v>
      </c>
      <c r="P35" s="9">
        <v>0</v>
      </c>
      <c r="Q35" s="9">
        <f t="shared" si="4"/>
        <v>2</v>
      </c>
      <c r="R35" s="9">
        <v>0</v>
      </c>
      <c r="S35" s="9">
        <v>0</v>
      </c>
      <c r="T35" s="9">
        <f t="shared" si="5"/>
        <v>2</v>
      </c>
      <c r="U35" s="9">
        <v>0</v>
      </c>
      <c r="V35" s="9">
        <f t="shared" si="6"/>
        <v>2</v>
      </c>
      <c r="W35" s="9">
        <v>0</v>
      </c>
      <c r="X35" s="9">
        <v>0</v>
      </c>
      <c r="Y35" s="9">
        <f t="shared" si="7"/>
        <v>2</v>
      </c>
      <c r="Z35" s="9">
        <v>0</v>
      </c>
      <c r="AA35" s="9">
        <f t="shared" si="8"/>
        <v>2</v>
      </c>
      <c r="AB35" s="9">
        <v>0</v>
      </c>
      <c r="AC35" s="9">
        <v>0</v>
      </c>
      <c r="AD35" s="9">
        <f t="shared" si="9"/>
        <v>2</v>
      </c>
      <c r="AE35" s="9">
        <v>0</v>
      </c>
      <c r="AF35" s="9">
        <f t="shared" si="10"/>
        <v>2</v>
      </c>
      <c r="AG35" s="9">
        <v>0</v>
      </c>
      <c r="AH35" s="9">
        <f t="shared" si="25"/>
        <v>2</v>
      </c>
      <c r="AI35" s="7">
        <v>0</v>
      </c>
      <c r="AJ35" s="7">
        <v>0</v>
      </c>
      <c r="AK35" s="14">
        <f t="shared" si="11"/>
        <v>2</v>
      </c>
      <c r="AL35" s="7">
        <v>0</v>
      </c>
      <c r="AM35" s="7">
        <v>0</v>
      </c>
      <c r="AN35" s="14">
        <f t="shared" si="12"/>
        <v>2</v>
      </c>
      <c r="AO35" s="7">
        <v>0</v>
      </c>
      <c r="AP35" s="7">
        <v>0</v>
      </c>
      <c r="AQ35" s="14">
        <f t="shared" si="13"/>
        <v>2</v>
      </c>
      <c r="AR35" s="7">
        <v>0</v>
      </c>
      <c r="AS35" s="7">
        <v>0</v>
      </c>
      <c r="AT35" s="14">
        <f t="shared" si="14"/>
        <v>2</v>
      </c>
      <c r="AU35" s="7">
        <v>0</v>
      </c>
      <c r="AV35" s="7">
        <v>0</v>
      </c>
      <c r="AW35" s="14">
        <f t="shared" si="15"/>
        <v>2</v>
      </c>
      <c r="AX35" s="7">
        <v>0</v>
      </c>
      <c r="AY35" s="7">
        <v>0</v>
      </c>
      <c r="AZ35" s="14">
        <f t="shared" si="16"/>
        <v>2</v>
      </c>
      <c r="BA35" s="7">
        <v>0</v>
      </c>
      <c r="BB35" s="7">
        <v>0</v>
      </c>
      <c r="BC35" s="14">
        <f t="shared" si="17"/>
        <v>2</v>
      </c>
      <c r="BD35" s="7">
        <v>0</v>
      </c>
      <c r="BE35" s="7">
        <v>0</v>
      </c>
      <c r="BF35" s="14">
        <f t="shared" si="18"/>
        <v>2</v>
      </c>
      <c r="BG35" s="7">
        <v>0</v>
      </c>
      <c r="BH35" s="7">
        <v>0</v>
      </c>
      <c r="BI35" s="14">
        <f t="shared" si="19"/>
        <v>2</v>
      </c>
      <c r="BJ35" s="7">
        <v>0</v>
      </c>
      <c r="BK35" s="7">
        <v>0</v>
      </c>
      <c r="BL35" s="14">
        <f t="shared" si="20"/>
        <v>2</v>
      </c>
      <c r="BM35" s="7">
        <v>0</v>
      </c>
      <c r="BN35" s="7">
        <v>0</v>
      </c>
      <c r="BO35" s="14">
        <f t="shared" si="21"/>
        <v>2</v>
      </c>
      <c r="BP35" s="7">
        <v>0</v>
      </c>
      <c r="BQ35" s="7">
        <v>0</v>
      </c>
      <c r="BR35" s="14">
        <f t="shared" si="22"/>
        <v>2</v>
      </c>
      <c r="BS35" s="7">
        <v>0</v>
      </c>
      <c r="BT35" s="7">
        <v>0</v>
      </c>
      <c r="BU35" s="14">
        <f t="shared" si="23"/>
        <v>2</v>
      </c>
      <c r="BV35" s="11">
        <v>0</v>
      </c>
      <c r="BW35" s="11">
        <v>0</v>
      </c>
      <c r="BX35" s="15">
        <f t="shared" si="24"/>
        <v>2</v>
      </c>
    </row>
    <row r="36" spans="1:76" x14ac:dyDescent="0.2">
      <c r="A36" s="13" t="s">
        <v>110</v>
      </c>
      <c r="B36" s="7">
        <v>1</v>
      </c>
      <c r="C36" s="7">
        <v>0</v>
      </c>
      <c r="D36" s="7">
        <v>0</v>
      </c>
      <c r="E36" s="8">
        <f t="shared" si="0"/>
        <v>1</v>
      </c>
      <c r="F36" s="7">
        <v>0</v>
      </c>
      <c r="G36" s="7">
        <v>0</v>
      </c>
      <c r="H36" s="8">
        <f t="shared" si="1"/>
        <v>1</v>
      </c>
      <c r="I36" s="7">
        <v>0</v>
      </c>
      <c r="J36" s="7">
        <v>0</v>
      </c>
      <c r="K36" s="8">
        <f t="shared" si="2"/>
        <v>1</v>
      </c>
      <c r="L36" s="9">
        <v>0</v>
      </c>
      <c r="M36" s="10">
        <v>0</v>
      </c>
      <c r="N36" s="9">
        <f t="shared" si="3"/>
        <v>1</v>
      </c>
      <c r="O36" s="9">
        <v>0</v>
      </c>
      <c r="P36" s="9">
        <v>0</v>
      </c>
      <c r="Q36" s="9">
        <f t="shared" si="4"/>
        <v>1</v>
      </c>
      <c r="R36" s="9">
        <v>0</v>
      </c>
      <c r="S36" s="9">
        <v>0</v>
      </c>
      <c r="T36" s="9">
        <f t="shared" si="5"/>
        <v>1</v>
      </c>
      <c r="U36" s="9">
        <v>0</v>
      </c>
      <c r="V36" s="9">
        <f t="shared" si="6"/>
        <v>1</v>
      </c>
      <c r="W36" s="9">
        <v>0</v>
      </c>
      <c r="X36" s="9">
        <v>0</v>
      </c>
      <c r="Y36" s="9">
        <f t="shared" si="7"/>
        <v>1</v>
      </c>
      <c r="Z36" s="9">
        <v>0</v>
      </c>
      <c r="AA36" s="9">
        <f t="shared" si="8"/>
        <v>1</v>
      </c>
      <c r="AB36" s="9">
        <v>0</v>
      </c>
      <c r="AC36" s="9">
        <v>0</v>
      </c>
      <c r="AD36" s="9">
        <f t="shared" si="9"/>
        <v>1</v>
      </c>
      <c r="AE36" s="9">
        <v>0</v>
      </c>
      <c r="AF36" s="9">
        <f t="shared" si="10"/>
        <v>1</v>
      </c>
      <c r="AG36" s="9">
        <v>0</v>
      </c>
      <c r="AH36" s="9">
        <f t="shared" si="25"/>
        <v>1</v>
      </c>
      <c r="AI36" s="7">
        <v>0</v>
      </c>
      <c r="AJ36" s="7">
        <v>0</v>
      </c>
      <c r="AK36" s="14">
        <f t="shared" si="11"/>
        <v>1</v>
      </c>
      <c r="AL36" s="7">
        <v>0</v>
      </c>
      <c r="AM36" s="7">
        <v>0</v>
      </c>
      <c r="AN36" s="14">
        <f t="shared" si="12"/>
        <v>1</v>
      </c>
      <c r="AO36" s="7">
        <v>0</v>
      </c>
      <c r="AP36" s="7">
        <v>0</v>
      </c>
      <c r="AQ36" s="14">
        <f t="shared" si="13"/>
        <v>1</v>
      </c>
      <c r="AR36" s="7">
        <v>0</v>
      </c>
      <c r="AS36" s="7">
        <v>0</v>
      </c>
      <c r="AT36" s="14">
        <f t="shared" si="14"/>
        <v>1</v>
      </c>
      <c r="AU36" s="7">
        <v>0</v>
      </c>
      <c r="AV36" s="7">
        <v>0</v>
      </c>
      <c r="AW36" s="14">
        <f t="shared" si="15"/>
        <v>1</v>
      </c>
      <c r="AX36" s="7">
        <v>0</v>
      </c>
      <c r="AY36" s="7">
        <v>0</v>
      </c>
      <c r="AZ36" s="14">
        <f t="shared" si="16"/>
        <v>1</v>
      </c>
      <c r="BA36" s="7">
        <v>0</v>
      </c>
      <c r="BB36" s="7">
        <v>0</v>
      </c>
      <c r="BC36" s="14">
        <f t="shared" si="17"/>
        <v>1</v>
      </c>
      <c r="BD36" s="7">
        <v>0</v>
      </c>
      <c r="BE36" s="7">
        <v>0</v>
      </c>
      <c r="BF36" s="14">
        <f t="shared" si="18"/>
        <v>1</v>
      </c>
      <c r="BG36" s="7">
        <v>0</v>
      </c>
      <c r="BH36" s="7">
        <v>0</v>
      </c>
      <c r="BI36" s="14">
        <f t="shared" si="19"/>
        <v>1</v>
      </c>
      <c r="BJ36" s="7">
        <v>0</v>
      </c>
      <c r="BK36" s="7">
        <v>0</v>
      </c>
      <c r="BL36" s="14">
        <f t="shared" si="20"/>
        <v>1</v>
      </c>
      <c r="BM36" s="7">
        <v>0</v>
      </c>
      <c r="BN36" s="7">
        <v>0</v>
      </c>
      <c r="BO36" s="14">
        <f t="shared" si="21"/>
        <v>1</v>
      </c>
      <c r="BP36" s="7">
        <v>0</v>
      </c>
      <c r="BQ36" s="7">
        <v>0</v>
      </c>
      <c r="BR36" s="14">
        <f t="shared" si="22"/>
        <v>1</v>
      </c>
      <c r="BS36" s="7">
        <v>0</v>
      </c>
      <c r="BT36" s="7">
        <v>0</v>
      </c>
      <c r="BU36" s="14">
        <f t="shared" si="23"/>
        <v>1</v>
      </c>
      <c r="BV36" s="11">
        <v>0</v>
      </c>
      <c r="BW36" s="11">
        <v>0</v>
      </c>
      <c r="BX36" s="15">
        <f t="shared" si="24"/>
        <v>1</v>
      </c>
    </row>
    <row r="37" spans="1:76" x14ac:dyDescent="0.2">
      <c r="A37" s="13" t="s">
        <v>111</v>
      </c>
      <c r="B37" s="7">
        <v>1</v>
      </c>
      <c r="C37" s="7">
        <v>0</v>
      </c>
      <c r="D37" s="7">
        <v>0</v>
      </c>
      <c r="E37" s="8">
        <f t="shared" si="0"/>
        <v>1</v>
      </c>
      <c r="F37" s="7">
        <v>0</v>
      </c>
      <c r="G37" s="7">
        <v>0</v>
      </c>
      <c r="H37" s="8">
        <f t="shared" si="1"/>
        <v>1</v>
      </c>
      <c r="I37" s="7">
        <v>0</v>
      </c>
      <c r="J37" s="7">
        <v>0</v>
      </c>
      <c r="K37" s="8">
        <f t="shared" si="2"/>
        <v>1</v>
      </c>
      <c r="L37" s="9">
        <v>0</v>
      </c>
      <c r="M37" s="10">
        <v>0</v>
      </c>
      <c r="N37" s="9">
        <f t="shared" si="3"/>
        <v>1</v>
      </c>
      <c r="O37" s="9">
        <v>0</v>
      </c>
      <c r="P37" s="9">
        <v>0</v>
      </c>
      <c r="Q37" s="9">
        <f t="shared" si="4"/>
        <v>1</v>
      </c>
      <c r="R37" s="9">
        <v>0</v>
      </c>
      <c r="S37" s="9">
        <v>0</v>
      </c>
      <c r="T37" s="9">
        <f t="shared" si="5"/>
        <v>1</v>
      </c>
      <c r="U37" s="9">
        <v>0</v>
      </c>
      <c r="V37" s="9">
        <f t="shared" si="6"/>
        <v>1</v>
      </c>
      <c r="W37" s="9">
        <v>0</v>
      </c>
      <c r="X37" s="9">
        <v>0</v>
      </c>
      <c r="Y37" s="9">
        <f t="shared" si="7"/>
        <v>1</v>
      </c>
      <c r="Z37" s="9">
        <v>0</v>
      </c>
      <c r="AA37" s="9">
        <f t="shared" si="8"/>
        <v>1</v>
      </c>
      <c r="AB37" s="9">
        <v>0</v>
      </c>
      <c r="AC37" s="9">
        <v>0</v>
      </c>
      <c r="AD37" s="9">
        <f t="shared" si="9"/>
        <v>1</v>
      </c>
      <c r="AE37" s="9">
        <v>0</v>
      </c>
      <c r="AF37" s="9">
        <f t="shared" si="10"/>
        <v>1</v>
      </c>
      <c r="AG37" s="9">
        <v>0</v>
      </c>
      <c r="AH37" s="9">
        <f t="shared" si="25"/>
        <v>1</v>
      </c>
      <c r="AI37" s="7">
        <v>0</v>
      </c>
      <c r="AJ37" s="7">
        <v>0</v>
      </c>
      <c r="AK37" s="14">
        <f t="shared" si="11"/>
        <v>1</v>
      </c>
      <c r="AL37" s="7">
        <v>0</v>
      </c>
      <c r="AM37" s="7">
        <v>0</v>
      </c>
      <c r="AN37" s="14">
        <f t="shared" si="12"/>
        <v>1</v>
      </c>
      <c r="AO37" s="7">
        <v>0</v>
      </c>
      <c r="AP37" s="7">
        <v>0</v>
      </c>
      <c r="AQ37" s="14">
        <f t="shared" si="13"/>
        <v>1</v>
      </c>
      <c r="AR37" s="7">
        <v>0</v>
      </c>
      <c r="AS37" s="7">
        <v>0</v>
      </c>
      <c r="AT37" s="14">
        <f t="shared" si="14"/>
        <v>1</v>
      </c>
      <c r="AU37" s="7">
        <v>0</v>
      </c>
      <c r="AV37" s="7">
        <v>0</v>
      </c>
      <c r="AW37" s="14">
        <f t="shared" si="15"/>
        <v>1</v>
      </c>
      <c r="AX37" s="7">
        <v>0</v>
      </c>
      <c r="AY37" s="7">
        <v>0</v>
      </c>
      <c r="AZ37" s="14">
        <f t="shared" si="16"/>
        <v>1</v>
      </c>
      <c r="BA37" s="7">
        <v>0</v>
      </c>
      <c r="BB37" s="7">
        <v>0</v>
      </c>
      <c r="BC37" s="14">
        <f t="shared" si="17"/>
        <v>1</v>
      </c>
      <c r="BD37" s="7">
        <v>0</v>
      </c>
      <c r="BE37" s="7">
        <v>0</v>
      </c>
      <c r="BF37" s="14">
        <f t="shared" si="18"/>
        <v>1</v>
      </c>
      <c r="BG37" s="7">
        <v>0</v>
      </c>
      <c r="BH37" s="7">
        <v>0</v>
      </c>
      <c r="BI37" s="14">
        <f t="shared" si="19"/>
        <v>1</v>
      </c>
      <c r="BJ37" s="7">
        <v>0</v>
      </c>
      <c r="BK37" s="7">
        <v>0</v>
      </c>
      <c r="BL37" s="14">
        <f t="shared" si="20"/>
        <v>1</v>
      </c>
      <c r="BM37" s="7">
        <v>0</v>
      </c>
      <c r="BN37" s="7">
        <v>0</v>
      </c>
      <c r="BO37" s="14">
        <f t="shared" si="21"/>
        <v>1</v>
      </c>
      <c r="BP37" s="7">
        <v>0</v>
      </c>
      <c r="BQ37" s="7">
        <v>0</v>
      </c>
      <c r="BR37" s="14">
        <f t="shared" si="22"/>
        <v>1</v>
      </c>
      <c r="BS37" s="7">
        <v>0</v>
      </c>
      <c r="BT37" s="7">
        <v>0</v>
      </c>
      <c r="BU37" s="14">
        <f t="shared" si="23"/>
        <v>1</v>
      </c>
      <c r="BV37" s="11">
        <v>0</v>
      </c>
      <c r="BW37" s="11">
        <v>0</v>
      </c>
      <c r="BX37" s="15">
        <f t="shared" si="24"/>
        <v>1</v>
      </c>
    </row>
    <row r="38" spans="1:76" x14ac:dyDescent="0.2">
      <c r="A38" s="13" t="s">
        <v>112</v>
      </c>
      <c r="B38" s="7">
        <v>1</v>
      </c>
      <c r="C38" s="7">
        <v>0</v>
      </c>
      <c r="D38" s="7">
        <v>0</v>
      </c>
      <c r="E38" s="8">
        <f t="shared" si="0"/>
        <v>1</v>
      </c>
      <c r="F38" s="7">
        <v>0</v>
      </c>
      <c r="G38" s="7">
        <v>0</v>
      </c>
      <c r="H38" s="8">
        <f t="shared" si="1"/>
        <v>1</v>
      </c>
      <c r="I38" s="7">
        <v>0</v>
      </c>
      <c r="J38" s="7">
        <v>0</v>
      </c>
      <c r="K38" s="8">
        <f t="shared" si="2"/>
        <v>1</v>
      </c>
      <c r="L38" s="9">
        <v>0</v>
      </c>
      <c r="M38" s="10">
        <v>0</v>
      </c>
      <c r="N38" s="9">
        <f t="shared" si="3"/>
        <v>1</v>
      </c>
      <c r="O38" s="9">
        <v>0</v>
      </c>
      <c r="P38" s="9">
        <v>0</v>
      </c>
      <c r="Q38" s="9">
        <f t="shared" si="4"/>
        <v>1</v>
      </c>
      <c r="R38" s="9">
        <v>0</v>
      </c>
      <c r="S38" s="9">
        <v>0</v>
      </c>
      <c r="T38" s="9">
        <f t="shared" si="5"/>
        <v>1</v>
      </c>
      <c r="U38" s="9">
        <v>0</v>
      </c>
      <c r="V38" s="9">
        <f t="shared" si="6"/>
        <v>1</v>
      </c>
      <c r="W38" s="9">
        <v>0</v>
      </c>
      <c r="X38" s="9">
        <v>0</v>
      </c>
      <c r="Y38" s="9">
        <f t="shared" si="7"/>
        <v>1</v>
      </c>
      <c r="Z38" s="9">
        <v>0</v>
      </c>
      <c r="AA38" s="9">
        <f t="shared" si="8"/>
        <v>1</v>
      </c>
      <c r="AB38" s="9">
        <v>0</v>
      </c>
      <c r="AC38" s="9">
        <v>0</v>
      </c>
      <c r="AD38" s="9">
        <f t="shared" si="9"/>
        <v>1</v>
      </c>
      <c r="AE38" s="9">
        <v>0</v>
      </c>
      <c r="AF38" s="9">
        <f t="shared" si="10"/>
        <v>1</v>
      </c>
      <c r="AG38" s="9">
        <v>0</v>
      </c>
      <c r="AH38" s="9">
        <f t="shared" si="25"/>
        <v>1</v>
      </c>
      <c r="AI38" s="7">
        <v>0</v>
      </c>
      <c r="AJ38" s="7">
        <v>0</v>
      </c>
      <c r="AK38" s="14">
        <f t="shared" si="11"/>
        <v>1</v>
      </c>
      <c r="AL38" s="7">
        <v>0</v>
      </c>
      <c r="AM38" s="7">
        <v>0</v>
      </c>
      <c r="AN38" s="14">
        <f t="shared" si="12"/>
        <v>1</v>
      </c>
      <c r="AO38" s="7">
        <v>0</v>
      </c>
      <c r="AP38" s="7">
        <v>0</v>
      </c>
      <c r="AQ38" s="14">
        <f t="shared" si="13"/>
        <v>1</v>
      </c>
      <c r="AR38" s="7">
        <v>0</v>
      </c>
      <c r="AS38" s="7">
        <v>0</v>
      </c>
      <c r="AT38" s="14">
        <f t="shared" si="14"/>
        <v>1</v>
      </c>
      <c r="AU38" s="7">
        <v>0</v>
      </c>
      <c r="AV38" s="7">
        <v>0</v>
      </c>
      <c r="AW38" s="14">
        <f t="shared" si="15"/>
        <v>1</v>
      </c>
      <c r="AX38" s="7">
        <v>0</v>
      </c>
      <c r="AY38" s="7">
        <v>0</v>
      </c>
      <c r="AZ38" s="14">
        <f t="shared" si="16"/>
        <v>1</v>
      </c>
      <c r="BA38" s="7">
        <v>0</v>
      </c>
      <c r="BB38" s="7">
        <v>1</v>
      </c>
      <c r="BC38" s="14">
        <f t="shared" si="17"/>
        <v>0</v>
      </c>
      <c r="BD38" s="7">
        <v>0</v>
      </c>
      <c r="BE38" s="7">
        <v>0</v>
      </c>
      <c r="BF38" s="14">
        <f t="shared" si="18"/>
        <v>0</v>
      </c>
      <c r="BG38" s="7">
        <v>0</v>
      </c>
      <c r="BH38" s="7">
        <v>0</v>
      </c>
      <c r="BI38" s="14">
        <f t="shared" si="19"/>
        <v>0</v>
      </c>
      <c r="BJ38" s="7">
        <v>0</v>
      </c>
      <c r="BK38" s="7">
        <v>0</v>
      </c>
      <c r="BL38" s="14">
        <f t="shared" si="20"/>
        <v>0</v>
      </c>
      <c r="BM38" s="7">
        <v>0</v>
      </c>
      <c r="BN38" s="7">
        <v>0</v>
      </c>
      <c r="BO38" s="14">
        <f t="shared" si="21"/>
        <v>0</v>
      </c>
      <c r="BP38" s="7">
        <v>0</v>
      </c>
      <c r="BQ38" s="7">
        <v>0</v>
      </c>
      <c r="BR38" s="14">
        <f t="shared" si="22"/>
        <v>0</v>
      </c>
      <c r="BS38" s="7">
        <v>0</v>
      </c>
      <c r="BT38" s="7">
        <v>0</v>
      </c>
      <c r="BU38" s="14">
        <f t="shared" si="23"/>
        <v>0</v>
      </c>
      <c r="BV38" s="11">
        <v>0</v>
      </c>
      <c r="BW38" s="11">
        <v>0</v>
      </c>
      <c r="BX38" s="15">
        <f t="shared" si="24"/>
        <v>0</v>
      </c>
    </row>
    <row r="39" spans="1:76" x14ac:dyDescent="0.2">
      <c r="A39" s="13" t="s">
        <v>113</v>
      </c>
      <c r="B39" s="7">
        <v>1</v>
      </c>
      <c r="C39" s="7">
        <v>0</v>
      </c>
      <c r="D39" s="7">
        <v>0</v>
      </c>
      <c r="E39" s="8">
        <f t="shared" si="0"/>
        <v>1</v>
      </c>
      <c r="F39" s="7">
        <v>0</v>
      </c>
      <c r="G39" s="7">
        <v>0</v>
      </c>
      <c r="H39" s="8">
        <f t="shared" si="1"/>
        <v>1</v>
      </c>
      <c r="I39" s="7">
        <v>0</v>
      </c>
      <c r="J39" s="7">
        <v>0</v>
      </c>
      <c r="K39" s="8">
        <f t="shared" si="2"/>
        <v>1</v>
      </c>
      <c r="L39" s="9">
        <v>0</v>
      </c>
      <c r="M39" s="10">
        <v>0</v>
      </c>
      <c r="N39" s="9">
        <f t="shared" si="3"/>
        <v>1</v>
      </c>
      <c r="O39" s="9">
        <v>0</v>
      </c>
      <c r="P39" s="9">
        <v>0</v>
      </c>
      <c r="Q39" s="9">
        <f t="shared" si="4"/>
        <v>1</v>
      </c>
      <c r="R39" s="9">
        <v>0</v>
      </c>
      <c r="S39" s="9">
        <v>0</v>
      </c>
      <c r="T39" s="9">
        <f t="shared" si="5"/>
        <v>1</v>
      </c>
      <c r="U39" s="9">
        <v>0</v>
      </c>
      <c r="V39" s="9">
        <f t="shared" si="6"/>
        <v>1</v>
      </c>
      <c r="W39" s="9">
        <v>0</v>
      </c>
      <c r="X39" s="9">
        <v>0</v>
      </c>
      <c r="Y39" s="9">
        <f t="shared" si="7"/>
        <v>1</v>
      </c>
      <c r="Z39" s="9">
        <v>0</v>
      </c>
      <c r="AA39" s="9">
        <f t="shared" si="8"/>
        <v>1</v>
      </c>
      <c r="AB39" s="9">
        <v>0</v>
      </c>
      <c r="AC39" s="9">
        <v>0</v>
      </c>
      <c r="AD39" s="9">
        <f t="shared" si="9"/>
        <v>1</v>
      </c>
      <c r="AE39" s="9">
        <v>0</v>
      </c>
      <c r="AF39" s="9">
        <f t="shared" si="10"/>
        <v>1</v>
      </c>
      <c r="AG39" s="9">
        <v>0</v>
      </c>
      <c r="AH39" s="9">
        <f t="shared" si="25"/>
        <v>1</v>
      </c>
      <c r="AI39" s="7">
        <v>0</v>
      </c>
      <c r="AJ39" s="7">
        <v>0</v>
      </c>
      <c r="AK39" s="14">
        <f t="shared" si="11"/>
        <v>1</v>
      </c>
      <c r="AL39" s="7">
        <v>0</v>
      </c>
      <c r="AM39" s="7">
        <v>0</v>
      </c>
      <c r="AN39" s="14">
        <f t="shared" si="12"/>
        <v>1</v>
      </c>
      <c r="AO39" s="7">
        <v>0</v>
      </c>
      <c r="AP39" s="7">
        <v>0</v>
      </c>
      <c r="AQ39" s="14">
        <f t="shared" si="13"/>
        <v>1</v>
      </c>
      <c r="AR39" s="7">
        <v>0</v>
      </c>
      <c r="AS39" s="7">
        <v>0</v>
      </c>
      <c r="AT39" s="14">
        <f t="shared" si="14"/>
        <v>1</v>
      </c>
      <c r="AU39" s="7">
        <v>0</v>
      </c>
      <c r="AV39" s="7">
        <v>0</v>
      </c>
      <c r="AW39" s="14">
        <f t="shared" si="15"/>
        <v>1</v>
      </c>
      <c r="AX39" s="7">
        <v>0</v>
      </c>
      <c r="AY39" s="7">
        <v>0</v>
      </c>
      <c r="AZ39" s="14">
        <f t="shared" si="16"/>
        <v>1</v>
      </c>
      <c r="BA39" s="7">
        <v>0</v>
      </c>
      <c r="BB39" s="7">
        <v>0</v>
      </c>
      <c r="BC39" s="14">
        <f t="shared" si="17"/>
        <v>1</v>
      </c>
      <c r="BD39" s="7">
        <v>0</v>
      </c>
      <c r="BE39" s="7">
        <v>0</v>
      </c>
      <c r="BF39" s="14">
        <f t="shared" si="18"/>
        <v>1</v>
      </c>
      <c r="BG39" s="7">
        <v>0</v>
      </c>
      <c r="BH39" s="7">
        <v>0</v>
      </c>
      <c r="BI39" s="14">
        <f t="shared" si="19"/>
        <v>1</v>
      </c>
      <c r="BJ39" s="7">
        <v>0</v>
      </c>
      <c r="BK39" s="7">
        <v>0</v>
      </c>
      <c r="BL39" s="14">
        <f t="shared" si="20"/>
        <v>1</v>
      </c>
      <c r="BM39" s="7">
        <v>0</v>
      </c>
      <c r="BN39" s="7">
        <v>0</v>
      </c>
      <c r="BO39" s="14">
        <f t="shared" si="21"/>
        <v>1</v>
      </c>
      <c r="BP39" s="7">
        <v>0</v>
      </c>
      <c r="BQ39" s="7">
        <v>0</v>
      </c>
      <c r="BR39" s="14">
        <f t="shared" si="22"/>
        <v>1</v>
      </c>
      <c r="BS39" s="7">
        <v>0</v>
      </c>
      <c r="BT39" s="7">
        <v>0</v>
      </c>
      <c r="BU39" s="14">
        <f t="shared" si="23"/>
        <v>1</v>
      </c>
      <c r="BV39" s="11">
        <v>0</v>
      </c>
      <c r="BW39" s="11">
        <v>0</v>
      </c>
      <c r="BX39" s="15">
        <f t="shared" si="24"/>
        <v>1</v>
      </c>
    </row>
    <row r="40" spans="1:76" x14ac:dyDescent="0.2">
      <c r="A40" s="13" t="s">
        <v>114</v>
      </c>
      <c r="B40" s="7">
        <v>1</v>
      </c>
      <c r="C40" s="7">
        <v>0</v>
      </c>
      <c r="D40" s="7">
        <v>0</v>
      </c>
      <c r="E40" s="8">
        <f t="shared" si="0"/>
        <v>1</v>
      </c>
      <c r="F40" s="7">
        <v>0</v>
      </c>
      <c r="G40" s="7">
        <v>0</v>
      </c>
      <c r="H40" s="8">
        <f t="shared" si="1"/>
        <v>1</v>
      </c>
      <c r="I40" s="7">
        <v>0</v>
      </c>
      <c r="J40" s="7">
        <v>0</v>
      </c>
      <c r="K40" s="8">
        <f t="shared" si="2"/>
        <v>1</v>
      </c>
      <c r="L40" s="9">
        <v>0</v>
      </c>
      <c r="M40" s="10">
        <v>0</v>
      </c>
      <c r="N40" s="9">
        <f t="shared" si="3"/>
        <v>1</v>
      </c>
      <c r="O40" s="9">
        <v>0</v>
      </c>
      <c r="P40" s="9">
        <v>0</v>
      </c>
      <c r="Q40" s="9">
        <f t="shared" si="4"/>
        <v>1</v>
      </c>
      <c r="R40" s="9">
        <v>0</v>
      </c>
      <c r="S40" s="9">
        <v>0</v>
      </c>
      <c r="T40" s="9">
        <f t="shared" si="5"/>
        <v>1</v>
      </c>
      <c r="U40" s="9">
        <v>0</v>
      </c>
      <c r="V40" s="9">
        <f t="shared" si="6"/>
        <v>1</v>
      </c>
      <c r="W40" s="9">
        <v>0</v>
      </c>
      <c r="X40" s="9">
        <v>0</v>
      </c>
      <c r="Y40" s="9">
        <f t="shared" si="7"/>
        <v>1</v>
      </c>
      <c r="Z40" s="9">
        <v>0</v>
      </c>
      <c r="AA40" s="9">
        <f t="shared" si="8"/>
        <v>1</v>
      </c>
      <c r="AB40" s="9">
        <v>0</v>
      </c>
      <c r="AC40" s="9">
        <v>0</v>
      </c>
      <c r="AD40" s="9">
        <f t="shared" si="9"/>
        <v>1</v>
      </c>
      <c r="AE40" s="9">
        <v>0</v>
      </c>
      <c r="AF40" s="9">
        <f t="shared" si="10"/>
        <v>1</v>
      </c>
      <c r="AG40" s="9">
        <v>0</v>
      </c>
      <c r="AH40" s="9">
        <f t="shared" si="25"/>
        <v>1</v>
      </c>
      <c r="AI40" s="7">
        <v>0</v>
      </c>
      <c r="AJ40" s="7">
        <v>0</v>
      </c>
      <c r="AK40" s="14">
        <f t="shared" si="11"/>
        <v>1</v>
      </c>
      <c r="AL40" s="7">
        <v>0</v>
      </c>
      <c r="AM40" s="7">
        <v>0</v>
      </c>
      <c r="AN40" s="14">
        <f t="shared" si="12"/>
        <v>1</v>
      </c>
      <c r="AO40" s="7">
        <v>0</v>
      </c>
      <c r="AP40" s="7">
        <v>0</v>
      </c>
      <c r="AQ40" s="14">
        <f t="shared" si="13"/>
        <v>1</v>
      </c>
      <c r="AR40" s="7">
        <v>0</v>
      </c>
      <c r="AS40" s="7">
        <v>0</v>
      </c>
      <c r="AT40" s="14">
        <f t="shared" si="14"/>
        <v>1</v>
      </c>
      <c r="AU40" s="7">
        <v>0</v>
      </c>
      <c r="AV40" s="7">
        <v>0</v>
      </c>
      <c r="AW40" s="14">
        <f t="shared" si="15"/>
        <v>1</v>
      </c>
      <c r="AX40" s="7">
        <v>0</v>
      </c>
      <c r="AY40" s="7">
        <v>0</v>
      </c>
      <c r="AZ40" s="14">
        <f t="shared" si="16"/>
        <v>1</v>
      </c>
      <c r="BA40" s="7">
        <v>0</v>
      </c>
      <c r="BB40" s="7">
        <v>0</v>
      </c>
      <c r="BC40" s="14">
        <f t="shared" si="17"/>
        <v>1</v>
      </c>
      <c r="BD40" s="7">
        <v>0</v>
      </c>
      <c r="BE40" s="7">
        <v>0</v>
      </c>
      <c r="BF40" s="14">
        <f t="shared" si="18"/>
        <v>1</v>
      </c>
      <c r="BG40" s="7">
        <v>0</v>
      </c>
      <c r="BH40" s="7">
        <v>0</v>
      </c>
      <c r="BI40" s="14">
        <f t="shared" si="19"/>
        <v>1</v>
      </c>
      <c r="BJ40" s="7">
        <v>0</v>
      </c>
      <c r="BK40" s="7">
        <v>0</v>
      </c>
      <c r="BL40" s="14">
        <f t="shared" si="20"/>
        <v>1</v>
      </c>
      <c r="BM40" s="7">
        <v>0</v>
      </c>
      <c r="BN40" s="7">
        <v>0</v>
      </c>
      <c r="BO40" s="14">
        <f t="shared" si="21"/>
        <v>1</v>
      </c>
      <c r="BP40" s="7">
        <v>0</v>
      </c>
      <c r="BQ40" s="7">
        <v>0</v>
      </c>
      <c r="BR40" s="14">
        <f t="shared" si="22"/>
        <v>1</v>
      </c>
      <c r="BS40" s="7">
        <v>0</v>
      </c>
      <c r="BT40" s="7">
        <v>0</v>
      </c>
      <c r="BU40" s="14">
        <f t="shared" si="23"/>
        <v>1</v>
      </c>
      <c r="BV40" s="11">
        <v>0</v>
      </c>
      <c r="BW40" s="11">
        <v>0</v>
      </c>
      <c r="BX40" s="15">
        <f t="shared" si="24"/>
        <v>1</v>
      </c>
    </row>
    <row r="41" spans="1:76" x14ac:dyDescent="0.2">
      <c r="A41" s="5" t="s">
        <v>115</v>
      </c>
      <c r="B41" s="7">
        <v>3</v>
      </c>
      <c r="C41" s="7">
        <v>0</v>
      </c>
      <c r="D41" s="7">
        <v>0</v>
      </c>
      <c r="E41" s="8">
        <f t="shared" si="0"/>
        <v>3</v>
      </c>
      <c r="F41" s="7">
        <v>0</v>
      </c>
      <c r="G41" s="7">
        <v>0</v>
      </c>
      <c r="H41" s="8">
        <f t="shared" si="1"/>
        <v>3</v>
      </c>
      <c r="I41" s="7">
        <v>0</v>
      </c>
      <c r="J41" s="7">
        <v>0</v>
      </c>
      <c r="K41" s="8">
        <f t="shared" si="2"/>
        <v>3</v>
      </c>
      <c r="L41" s="9">
        <v>0</v>
      </c>
      <c r="M41" s="10">
        <v>0</v>
      </c>
      <c r="N41" s="9">
        <f t="shared" si="3"/>
        <v>3</v>
      </c>
      <c r="O41" s="9">
        <v>0</v>
      </c>
      <c r="P41" s="9">
        <v>0</v>
      </c>
      <c r="Q41" s="9">
        <f t="shared" si="4"/>
        <v>3</v>
      </c>
      <c r="R41" s="9">
        <v>0</v>
      </c>
      <c r="S41" s="9">
        <v>0</v>
      </c>
      <c r="T41" s="9">
        <f t="shared" si="5"/>
        <v>3</v>
      </c>
      <c r="U41" s="9">
        <v>0</v>
      </c>
      <c r="V41" s="9">
        <f t="shared" si="6"/>
        <v>3</v>
      </c>
      <c r="W41" s="9">
        <v>0</v>
      </c>
      <c r="X41" s="9">
        <v>0</v>
      </c>
      <c r="Y41" s="9">
        <f t="shared" si="7"/>
        <v>3</v>
      </c>
      <c r="Z41" s="9">
        <v>0</v>
      </c>
      <c r="AA41" s="9">
        <f t="shared" si="8"/>
        <v>3</v>
      </c>
      <c r="AB41" s="9">
        <v>0</v>
      </c>
      <c r="AC41" s="9">
        <v>1</v>
      </c>
      <c r="AD41" s="9">
        <f t="shared" si="9"/>
        <v>2</v>
      </c>
      <c r="AE41" s="9">
        <v>0</v>
      </c>
      <c r="AF41" s="9">
        <f t="shared" si="10"/>
        <v>2</v>
      </c>
      <c r="AG41" s="9">
        <v>0</v>
      </c>
      <c r="AH41" s="9">
        <f t="shared" si="25"/>
        <v>2</v>
      </c>
      <c r="AI41" s="7">
        <v>0</v>
      </c>
      <c r="AJ41" s="7">
        <v>0</v>
      </c>
      <c r="AK41" s="14">
        <f t="shared" si="11"/>
        <v>2</v>
      </c>
      <c r="AL41" s="7">
        <v>0</v>
      </c>
      <c r="AM41" s="7">
        <v>0</v>
      </c>
      <c r="AN41" s="14">
        <f t="shared" si="12"/>
        <v>2</v>
      </c>
      <c r="AO41" s="7">
        <v>1</v>
      </c>
      <c r="AP41" s="7">
        <v>0</v>
      </c>
      <c r="AQ41" s="14">
        <f t="shared" si="13"/>
        <v>3</v>
      </c>
      <c r="AR41" s="7">
        <v>0</v>
      </c>
      <c r="AS41" s="7">
        <v>0</v>
      </c>
      <c r="AT41" s="14">
        <f t="shared" si="14"/>
        <v>3</v>
      </c>
      <c r="AU41" s="7">
        <v>0</v>
      </c>
      <c r="AV41" s="7">
        <v>0</v>
      </c>
      <c r="AW41" s="14">
        <f t="shared" si="15"/>
        <v>3</v>
      </c>
      <c r="AX41" s="7">
        <v>0</v>
      </c>
      <c r="AY41" s="7">
        <v>0</v>
      </c>
      <c r="AZ41" s="14">
        <f t="shared" si="16"/>
        <v>3</v>
      </c>
      <c r="BA41" s="7">
        <v>0</v>
      </c>
      <c r="BB41" s="7">
        <v>0</v>
      </c>
      <c r="BC41" s="14">
        <f t="shared" si="17"/>
        <v>3</v>
      </c>
      <c r="BD41" s="7">
        <v>0</v>
      </c>
      <c r="BE41" s="7">
        <v>0</v>
      </c>
      <c r="BF41" s="14">
        <f t="shared" si="18"/>
        <v>3</v>
      </c>
      <c r="BG41" s="7">
        <v>0</v>
      </c>
      <c r="BH41" s="7">
        <v>0</v>
      </c>
      <c r="BI41" s="14">
        <f t="shared" si="19"/>
        <v>3</v>
      </c>
      <c r="BJ41" s="7">
        <v>0</v>
      </c>
      <c r="BK41" s="7">
        <v>0</v>
      </c>
      <c r="BL41" s="14">
        <f t="shared" si="20"/>
        <v>3</v>
      </c>
      <c r="BM41" s="7">
        <v>0</v>
      </c>
      <c r="BN41" s="7">
        <v>0</v>
      </c>
      <c r="BO41" s="14">
        <f t="shared" si="21"/>
        <v>3</v>
      </c>
      <c r="BP41" s="7">
        <v>0</v>
      </c>
      <c r="BQ41" s="7">
        <v>2</v>
      </c>
      <c r="BR41" s="14">
        <f t="shared" si="22"/>
        <v>1</v>
      </c>
      <c r="BS41" s="7">
        <v>0</v>
      </c>
      <c r="BT41" s="7">
        <v>1</v>
      </c>
      <c r="BU41" s="14">
        <f t="shared" si="23"/>
        <v>0</v>
      </c>
      <c r="BV41" s="12">
        <v>3</v>
      </c>
      <c r="BW41" s="11">
        <v>0</v>
      </c>
      <c r="BX41" s="15">
        <f t="shared" si="24"/>
        <v>3</v>
      </c>
    </row>
    <row r="42" spans="1:76" x14ac:dyDescent="0.2">
      <c r="A42" s="5" t="s">
        <v>116</v>
      </c>
      <c r="B42" s="7">
        <v>40</v>
      </c>
      <c r="C42" s="7">
        <v>0</v>
      </c>
      <c r="D42" s="7">
        <v>3</v>
      </c>
      <c r="E42" s="8">
        <f t="shared" si="0"/>
        <v>37</v>
      </c>
      <c r="F42" s="7">
        <v>0</v>
      </c>
      <c r="G42" s="7">
        <v>3</v>
      </c>
      <c r="H42" s="8">
        <f t="shared" si="1"/>
        <v>34</v>
      </c>
      <c r="I42" s="7">
        <v>0</v>
      </c>
      <c r="J42" s="7">
        <v>0</v>
      </c>
      <c r="K42" s="8">
        <f t="shared" si="2"/>
        <v>34</v>
      </c>
      <c r="L42" s="9">
        <v>0</v>
      </c>
      <c r="M42" s="10">
        <v>9</v>
      </c>
      <c r="N42" s="9">
        <f t="shared" si="3"/>
        <v>25</v>
      </c>
      <c r="O42" s="9">
        <v>0</v>
      </c>
      <c r="P42" s="9">
        <v>15</v>
      </c>
      <c r="Q42" s="9">
        <f t="shared" si="4"/>
        <v>10</v>
      </c>
      <c r="R42" s="9">
        <v>20</v>
      </c>
      <c r="S42" s="9">
        <v>4</v>
      </c>
      <c r="T42" s="9">
        <f t="shared" si="5"/>
        <v>26</v>
      </c>
      <c r="U42" s="9">
        <v>2</v>
      </c>
      <c r="V42" s="9">
        <f t="shared" si="6"/>
        <v>24</v>
      </c>
      <c r="W42" s="9">
        <v>0</v>
      </c>
      <c r="X42" s="9">
        <v>16</v>
      </c>
      <c r="Y42" s="9">
        <f t="shared" si="7"/>
        <v>8</v>
      </c>
      <c r="Z42" s="9">
        <v>0</v>
      </c>
      <c r="AA42" s="9">
        <f t="shared" si="8"/>
        <v>8</v>
      </c>
      <c r="AB42" s="9">
        <v>40</v>
      </c>
      <c r="AC42" s="9">
        <v>3</v>
      </c>
      <c r="AD42" s="9">
        <f t="shared" si="9"/>
        <v>45</v>
      </c>
      <c r="AE42" s="9">
        <v>2</v>
      </c>
      <c r="AF42" s="9">
        <f t="shared" si="10"/>
        <v>43</v>
      </c>
      <c r="AG42" s="9">
        <v>0</v>
      </c>
      <c r="AH42" s="9">
        <f t="shared" si="25"/>
        <v>43</v>
      </c>
      <c r="AI42" s="7">
        <v>0</v>
      </c>
      <c r="AJ42" s="7">
        <v>3</v>
      </c>
      <c r="AK42" s="14">
        <f t="shared" si="11"/>
        <v>40</v>
      </c>
      <c r="AL42" s="7">
        <v>0</v>
      </c>
      <c r="AM42" s="7">
        <v>3</v>
      </c>
      <c r="AN42" s="14">
        <f t="shared" si="12"/>
        <v>37</v>
      </c>
      <c r="AO42" s="7">
        <v>0</v>
      </c>
      <c r="AP42" s="7">
        <v>0</v>
      </c>
      <c r="AQ42" s="14">
        <f t="shared" si="13"/>
        <v>37</v>
      </c>
      <c r="AR42" s="7">
        <v>0</v>
      </c>
      <c r="AS42" s="7">
        <v>0</v>
      </c>
      <c r="AT42" s="14">
        <f t="shared" si="14"/>
        <v>37</v>
      </c>
      <c r="AU42" s="7">
        <v>0</v>
      </c>
      <c r="AV42" s="7">
        <v>14</v>
      </c>
      <c r="AW42" s="14">
        <f t="shared" si="15"/>
        <v>23</v>
      </c>
      <c r="AX42" s="7">
        <v>0</v>
      </c>
      <c r="AY42" s="7">
        <v>7</v>
      </c>
      <c r="AZ42" s="14">
        <f t="shared" si="16"/>
        <v>16</v>
      </c>
      <c r="BA42" s="7">
        <v>20</v>
      </c>
      <c r="BB42" s="7">
        <v>6</v>
      </c>
      <c r="BC42" s="14">
        <f t="shared" si="17"/>
        <v>30</v>
      </c>
      <c r="BD42" s="7">
        <v>0</v>
      </c>
      <c r="BE42" s="7">
        <v>1</v>
      </c>
      <c r="BF42" s="14">
        <f t="shared" si="18"/>
        <v>29</v>
      </c>
      <c r="BG42" s="7">
        <v>0</v>
      </c>
      <c r="BH42" s="7">
        <v>0</v>
      </c>
      <c r="BI42" s="14">
        <f t="shared" si="19"/>
        <v>29</v>
      </c>
      <c r="BJ42" s="7">
        <v>0</v>
      </c>
      <c r="BK42" s="7">
        <v>0</v>
      </c>
      <c r="BL42" s="14">
        <f t="shared" si="20"/>
        <v>29</v>
      </c>
      <c r="BM42" s="7">
        <v>0</v>
      </c>
      <c r="BN42" s="7">
        <v>2</v>
      </c>
      <c r="BO42" s="14">
        <f t="shared" si="21"/>
        <v>27</v>
      </c>
      <c r="BP42" s="7">
        <v>0</v>
      </c>
      <c r="BQ42" s="7">
        <v>9</v>
      </c>
      <c r="BR42" s="14">
        <f t="shared" si="22"/>
        <v>18</v>
      </c>
      <c r="BS42" s="7">
        <v>0</v>
      </c>
      <c r="BT42" s="7">
        <v>0</v>
      </c>
      <c r="BU42" s="14">
        <f t="shared" si="23"/>
        <v>18</v>
      </c>
      <c r="BV42" s="12">
        <v>20</v>
      </c>
      <c r="BW42" s="11">
        <v>0</v>
      </c>
      <c r="BX42" s="15">
        <f t="shared" si="24"/>
        <v>38</v>
      </c>
    </row>
    <row r="43" spans="1:76" x14ac:dyDescent="0.2">
      <c r="A43" s="5" t="s">
        <v>117</v>
      </c>
      <c r="B43" s="7">
        <v>2</v>
      </c>
      <c r="C43" s="7">
        <v>0</v>
      </c>
      <c r="D43" s="7">
        <v>0</v>
      </c>
      <c r="E43" s="8">
        <f t="shared" si="0"/>
        <v>2</v>
      </c>
      <c r="F43" s="7">
        <v>0</v>
      </c>
      <c r="G43" s="7">
        <v>0</v>
      </c>
      <c r="H43" s="8">
        <f t="shared" si="1"/>
        <v>2</v>
      </c>
      <c r="I43" s="7">
        <v>0</v>
      </c>
      <c r="J43" s="7">
        <v>0</v>
      </c>
      <c r="K43" s="8">
        <f t="shared" si="2"/>
        <v>2</v>
      </c>
      <c r="L43" s="9">
        <v>0</v>
      </c>
      <c r="M43" s="10">
        <v>0</v>
      </c>
      <c r="N43" s="9">
        <f t="shared" si="3"/>
        <v>2</v>
      </c>
      <c r="O43" s="9">
        <v>0</v>
      </c>
      <c r="P43" s="9">
        <v>0</v>
      </c>
      <c r="Q43" s="9">
        <f t="shared" si="4"/>
        <v>2</v>
      </c>
      <c r="R43" s="9">
        <v>0</v>
      </c>
      <c r="S43" s="9">
        <v>0</v>
      </c>
      <c r="T43" s="9">
        <f t="shared" si="5"/>
        <v>2</v>
      </c>
      <c r="U43" s="9">
        <v>0</v>
      </c>
      <c r="V43" s="9">
        <f t="shared" si="6"/>
        <v>2</v>
      </c>
      <c r="W43" s="9">
        <v>0</v>
      </c>
      <c r="X43" s="9">
        <v>0</v>
      </c>
      <c r="Y43" s="9">
        <f t="shared" si="7"/>
        <v>2</v>
      </c>
      <c r="Z43" s="9">
        <v>0</v>
      </c>
      <c r="AA43" s="9">
        <f t="shared" si="8"/>
        <v>2</v>
      </c>
      <c r="AB43" s="9">
        <v>0</v>
      </c>
      <c r="AC43" s="9">
        <v>0</v>
      </c>
      <c r="AD43" s="9">
        <f t="shared" si="9"/>
        <v>2</v>
      </c>
      <c r="AE43" s="9">
        <v>0</v>
      </c>
      <c r="AF43" s="9">
        <f t="shared" si="10"/>
        <v>2</v>
      </c>
      <c r="AG43" s="9">
        <v>0</v>
      </c>
      <c r="AH43" s="9">
        <f t="shared" si="25"/>
        <v>2</v>
      </c>
      <c r="AI43" s="7">
        <v>0</v>
      </c>
      <c r="AJ43" s="7">
        <v>1</v>
      </c>
      <c r="AK43" s="14">
        <f t="shared" si="11"/>
        <v>1</v>
      </c>
      <c r="AL43" s="7">
        <v>1</v>
      </c>
      <c r="AM43" s="7">
        <v>0</v>
      </c>
      <c r="AN43" s="14">
        <f t="shared" si="12"/>
        <v>2</v>
      </c>
      <c r="AO43" s="7">
        <v>0</v>
      </c>
      <c r="AP43" s="7">
        <v>1</v>
      </c>
      <c r="AQ43" s="14">
        <f t="shared" si="13"/>
        <v>1</v>
      </c>
      <c r="AR43" s="7">
        <v>0</v>
      </c>
      <c r="AS43" s="7">
        <v>0</v>
      </c>
      <c r="AT43" s="14">
        <f t="shared" si="14"/>
        <v>1</v>
      </c>
      <c r="AU43" s="7">
        <v>1</v>
      </c>
      <c r="AV43" s="7">
        <v>0</v>
      </c>
      <c r="AW43" s="14">
        <f t="shared" si="15"/>
        <v>2</v>
      </c>
      <c r="AX43" s="7">
        <v>0</v>
      </c>
      <c r="AY43" s="7">
        <v>1</v>
      </c>
      <c r="AZ43" s="14">
        <f t="shared" si="16"/>
        <v>1</v>
      </c>
      <c r="BA43" s="7">
        <v>1</v>
      </c>
      <c r="BB43" s="7">
        <v>0</v>
      </c>
      <c r="BC43" s="14">
        <f t="shared" si="17"/>
        <v>2</v>
      </c>
      <c r="BD43" s="7">
        <v>0</v>
      </c>
      <c r="BE43" s="7">
        <v>0</v>
      </c>
      <c r="BF43" s="14">
        <f t="shared" si="18"/>
        <v>2</v>
      </c>
      <c r="BG43" s="7">
        <v>0</v>
      </c>
      <c r="BH43" s="7">
        <v>0</v>
      </c>
      <c r="BI43" s="14">
        <f t="shared" si="19"/>
        <v>2</v>
      </c>
      <c r="BJ43" s="7">
        <v>0</v>
      </c>
      <c r="BK43" s="7">
        <v>0</v>
      </c>
      <c r="BL43" s="14">
        <f t="shared" si="20"/>
        <v>2</v>
      </c>
      <c r="BM43" s="7">
        <v>0</v>
      </c>
      <c r="BN43" s="7">
        <v>0</v>
      </c>
      <c r="BO43" s="14">
        <f t="shared" si="21"/>
        <v>2</v>
      </c>
      <c r="BP43" s="7">
        <v>0</v>
      </c>
      <c r="BQ43" s="7">
        <v>0</v>
      </c>
      <c r="BR43" s="14">
        <f t="shared" si="22"/>
        <v>2</v>
      </c>
      <c r="BS43" s="7">
        <v>0</v>
      </c>
      <c r="BT43" s="7">
        <v>0</v>
      </c>
      <c r="BU43" s="14">
        <f t="shared" si="23"/>
        <v>2</v>
      </c>
      <c r="BV43" s="11">
        <v>0</v>
      </c>
      <c r="BW43" s="11">
        <v>0</v>
      </c>
      <c r="BX43" s="15">
        <f t="shared" si="24"/>
        <v>2</v>
      </c>
    </row>
    <row r="44" spans="1:76" x14ac:dyDescent="0.2">
      <c r="A44" s="5" t="s">
        <v>118</v>
      </c>
      <c r="B44" s="7">
        <v>13</v>
      </c>
      <c r="C44" s="7">
        <v>20</v>
      </c>
      <c r="D44" s="7">
        <v>4</v>
      </c>
      <c r="E44" s="8">
        <f t="shared" si="0"/>
        <v>29</v>
      </c>
      <c r="F44" s="7">
        <v>0</v>
      </c>
      <c r="G44" s="7">
        <v>7</v>
      </c>
      <c r="H44" s="8">
        <f t="shared" si="1"/>
        <v>22</v>
      </c>
      <c r="I44" s="7">
        <v>0</v>
      </c>
      <c r="J44" s="7">
        <v>0</v>
      </c>
      <c r="K44" s="8">
        <f t="shared" si="2"/>
        <v>22</v>
      </c>
      <c r="L44" s="9">
        <v>0</v>
      </c>
      <c r="M44" s="10">
        <v>8</v>
      </c>
      <c r="N44" s="9">
        <f t="shared" si="3"/>
        <v>14</v>
      </c>
      <c r="O44" s="9">
        <v>20</v>
      </c>
      <c r="P44" s="9">
        <v>0</v>
      </c>
      <c r="Q44" s="9">
        <f t="shared" si="4"/>
        <v>34</v>
      </c>
      <c r="R44" s="9">
        <v>20</v>
      </c>
      <c r="S44" s="9">
        <v>0</v>
      </c>
      <c r="T44" s="9">
        <f t="shared" si="5"/>
        <v>54</v>
      </c>
      <c r="U44" s="9">
        <v>6</v>
      </c>
      <c r="V44" s="9">
        <f t="shared" si="6"/>
        <v>48</v>
      </c>
      <c r="W44" s="9">
        <v>0</v>
      </c>
      <c r="X44" s="9">
        <v>6</v>
      </c>
      <c r="Y44" s="9">
        <f t="shared" si="7"/>
        <v>42</v>
      </c>
      <c r="Z44" s="9">
        <v>1</v>
      </c>
      <c r="AA44" s="9">
        <f t="shared" si="8"/>
        <v>41</v>
      </c>
      <c r="AB44" s="9">
        <v>0</v>
      </c>
      <c r="AC44" s="9">
        <v>3</v>
      </c>
      <c r="AD44" s="9">
        <f t="shared" si="9"/>
        <v>38</v>
      </c>
      <c r="AE44" s="9">
        <v>6</v>
      </c>
      <c r="AF44" s="9">
        <f t="shared" si="10"/>
        <v>32</v>
      </c>
      <c r="AG44" s="9">
        <v>0</v>
      </c>
      <c r="AH44" s="9">
        <f t="shared" si="25"/>
        <v>32</v>
      </c>
      <c r="AI44" s="7">
        <v>0</v>
      </c>
      <c r="AJ44" s="7">
        <v>13</v>
      </c>
      <c r="AK44" s="14">
        <f t="shared" si="11"/>
        <v>19</v>
      </c>
      <c r="AL44" s="7">
        <v>0</v>
      </c>
      <c r="AM44" s="7">
        <v>12</v>
      </c>
      <c r="AN44" s="14">
        <f t="shared" si="12"/>
        <v>7</v>
      </c>
      <c r="AO44" s="7">
        <v>20</v>
      </c>
      <c r="AP44" s="7">
        <v>4</v>
      </c>
      <c r="AQ44" s="14">
        <f t="shared" si="13"/>
        <v>23</v>
      </c>
      <c r="AR44" s="7">
        <v>0</v>
      </c>
      <c r="AS44" s="7">
        <v>2</v>
      </c>
      <c r="AT44" s="14">
        <f t="shared" si="14"/>
        <v>21</v>
      </c>
      <c r="AU44" s="7">
        <v>0</v>
      </c>
      <c r="AV44" s="7">
        <v>1</v>
      </c>
      <c r="AW44" s="14">
        <f t="shared" si="15"/>
        <v>20</v>
      </c>
      <c r="AX44" s="7">
        <v>10</v>
      </c>
      <c r="AY44" s="7">
        <v>26</v>
      </c>
      <c r="AZ44" s="14">
        <f t="shared" si="16"/>
        <v>4</v>
      </c>
      <c r="BA44" s="7">
        <v>40</v>
      </c>
      <c r="BB44" s="7">
        <v>21</v>
      </c>
      <c r="BC44" s="14">
        <f t="shared" si="17"/>
        <v>23</v>
      </c>
      <c r="BD44" s="7">
        <v>20</v>
      </c>
      <c r="BE44" s="7">
        <v>8</v>
      </c>
      <c r="BF44" s="14">
        <f t="shared" si="18"/>
        <v>35</v>
      </c>
      <c r="BG44" s="7">
        <v>0</v>
      </c>
      <c r="BH44" s="7">
        <v>8</v>
      </c>
      <c r="BI44" s="14">
        <f t="shared" si="19"/>
        <v>27</v>
      </c>
      <c r="BJ44" s="7">
        <v>0</v>
      </c>
      <c r="BK44" s="7">
        <v>1</v>
      </c>
      <c r="BL44" s="14">
        <f t="shared" si="20"/>
        <v>26</v>
      </c>
      <c r="BM44" s="7">
        <v>0</v>
      </c>
      <c r="BN44" s="7">
        <v>1</v>
      </c>
      <c r="BO44" s="14">
        <f t="shared" si="21"/>
        <v>25</v>
      </c>
      <c r="BP44" s="7">
        <v>0</v>
      </c>
      <c r="BQ44" s="7">
        <v>4</v>
      </c>
      <c r="BR44" s="14">
        <f t="shared" si="22"/>
        <v>21</v>
      </c>
      <c r="BS44" s="7">
        <v>0</v>
      </c>
      <c r="BT44" s="7">
        <v>15</v>
      </c>
      <c r="BU44" s="14">
        <f t="shared" si="23"/>
        <v>6</v>
      </c>
      <c r="BV44" s="12">
        <v>20</v>
      </c>
      <c r="BW44" s="12">
        <v>2</v>
      </c>
      <c r="BX44" s="15">
        <f t="shared" si="24"/>
        <v>24</v>
      </c>
    </row>
    <row r="45" spans="1:76" x14ac:dyDescent="0.2">
      <c r="A45" s="13" t="s">
        <v>119</v>
      </c>
      <c r="B45" s="7">
        <v>2</v>
      </c>
      <c r="C45" s="7">
        <v>0</v>
      </c>
      <c r="D45" s="7">
        <v>1</v>
      </c>
      <c r="E45" s="8">
        <f t="shared" si="0"/>
        <v>1</v>
      </c>
      <c r="F45" s="7">
        <v>0</v>
      </c>
      <c r="G45" s="7">
        <v>0</v>
      </c>
      <c r="H45" s="8">
        <f t="shared" si="1"/>
        <v>1</v>
      </c>
      <c r="I45" s="7">
        <v>0</v>
      </c>
      <c r="J45" s="7">
        <v>0</v>
      </c>
      <c r="K45" s="8">
        <f t="shared" si="2"/>
        <v>1</v>
      </c>
      <c r="L45" s="9">
        <v>0</v>
      </c>
      <c r="M45" s="10">
        <v>0</v>
      </c>
      <c r="N45" s="9">
        <f t="shared" si="3"/>
        <v>1</v>
      </c>
      <c r="O45" s="9">
        <v>0</v>
      </c>
      <c r="P45" s="9">
        <v>0</v>
      </c>
      <c r="Q45" s="9">
        <f t="shared" si="4"/>
        <v>1</v>
      </c>
      <c r="R45" s="9">
        <v>0</v>
      </c>
      <c r="S45" s="9">
        <v>0</v>
      </c>
      <c r="T45" s="9">
        <f t="shared" si="5"/>
        <v>1</v>
      </c>
      <c r="U45" s="9">
        <v>0</v>
      </c>
      <c r="V45" s="9">
        <f t="shared" si="6"/>
        <v>1</v>
      </c>
      <c r="W45" s="9">
        <v>0</v>
      </c>
      <c r="X45" s="9">
        <v>0</v>
      </c>
      <c r="Y45" s="9">
        <f t="shared" si="7"/>
        <v>1</v>
      </c>
      <c r="Z45" s="9">
        <v>0</v>
      </c>
      <c r="AA45" s="9">
        <f t="shared" si="8"/>
        <v>1</v>
      </c>
      <c r="AB45" s="9">
        <v>0</v>
      </c>
      <c r="AC45" s="9">
        <v>0</v>
      </c>
      <c r="AD45" s="9">
        <f t="shared" si="9"/>
        <v>1</v>
      </c>
      <c r="AE45" s="9">
        <v>0</v>
      </c>
      <c r="AF45" s="9">
        <f t="shared" si="10"/>
        <v>1</v>
      </c>
      <c r="AG45" s="9">
        <v>0</v>
      </c>
      <c r="AH45" s="9">
        <f t="shared" si="25"/>
        <v>1</v>
      </c>
      <c r="AI45" s="7">
        <v>0</v>
      </c>
      <c r="AJ45" s="7">
        <v>0</v>
      </c>
      <c r="AK45" s="14">
        <f t="shared" si="11"/>
        <v>1</v>
      </c>
      <c r="AL45" s="7">
        <v>0</v>
      </c>
      <c r="AM45" s="7">
        <v>0</v>
      </c>
      <c r="AN45" s="14">
        <f t="shared" si="12"/>
        <v>1</v>
      </c>
      <c r="AO45" s="7">
        <v>0</v>
      </c>
      <c r="AP45" s="7">
        <v>0</v>
      </c>
      <c r="AQ45" s="14">
        <f t="shared" si="13"/>
        <v>1</v>
      </c>
      <c r="AR45" s="7">
        <v>0</v>
      </c>
      <c r="AS45" s="7">
        <v>0</v>
      </c>
      <c r="AT45" s="14">
        <f t="shared" si="14"/>
        <v>1</v>
      </c>
      <c r="AU45" s="7">
        <v>0</v>
      </c>
      <c r="AV45" s="7">
        <v>0</v>
      </c>
      <c r="AW45" s="14">
        <f t="shared" si="15"/>
        <v>1</v>
      </c>
      <c r="AX45" s="7">
        <v>0</v>
      </c>
      <c r="AY45" s="7">
        <v>0</v>
      </c>
      <c r="AZ45" s="14">
        <f t="shared" si="16"/>
        <v>1</v>
      </c>
      <c r="BA45" s="7">
        <v>0</v>
      </c>
      <c r="BB45" s="7">
        <v>0</v>
      </c>
      <c r="BC45" s="14">
        <f t="shared" si="17"/>
        <v>1</v>
      </c>
      <c r="BD45" s="7">
        <v>0</v>
      </c>
      <c r="BE45" s="7">
        <v>0</v>
      </c>
      <c r="BF45" s="14">
        <f t="shared" si="18"/>
        <v>1</v>
      </c>
      <c r="BG45" s="7">
        <v>0</v>
      </c>
      <c r="BH45" s="7">
        <v>0</v>
      </c>
      <c r="BI45" s="14">
        <f t="shared" si="19"/>
        <v>1</v>
      </c>
      <c r="BJ45" s="7">
        <v>0</v>
      </c>
      <c r="BK45" s="7">
        <v>0</v>
      </c>
      <c r="BL45" s="14">
        <f t="shared" si="20"/>
        <v>1</v>
      </c>
      <c r="BM45" s="7">
        <v>0</v>
      </c>
      <c r="BN45" s="7">
        <v>0</v>
      </c>
      <c r="BO45" s="14">
        <f t="shared" si="21"/>
        <v>1</v>
      </c>
      <c r="BP45" s="7">
        <v>0</v>
      </c>
      <c r="BQ45" s="7">
        <v>1</v>
      </c>
      <c r="BR45" s="14">
        <f t="shared" si="22"/>
        <v>0</v>
      </c>
      <c r="BS45" s="7">
        <v>0</v>
      </c>
      <c r="BT45" s="7">
        <v>0</v>
      </c>
      <c r="BU45" s="14">
        <f t="shared" si="23"/>
        <v>0</v>
      </c>
      <c r="BV45" s="12">
        <v>1</v>
      </c>
      <c r="BW45" s="11">
        <v>0</v>
      </c>
      <c r="BX45" s="15">
        <f t="shared" si="24"/>
        <v>1</v>
      </c>
    </row>
    <row r="46" spans="1:76" x14ac:dyDescent="0.2">
      <c r="A46" s="13" t="s">
        <v>120</v>
      </c>
      <c r="B46" s="7">
        <v>4</v>
      </c>
      <c r="C46" s="7">
        <v>10</v>
      </c>
      <c r="D46" s="7">
        <v>5</v>
      </c>
      <c r="E46" s="8">
        <f t="shared" si="0"/>
        <v>9</v>
      </c>
      <c r="F46" s="7">
        <v>0</v>
      </c>
      <c r="G46" s="7">
        <v>2</v>
      </c>
      <c r="H46" s="8">
        <f t="shared" si="1"/>
        <v>7</v>
      </c>
      <c r="I46" s="7">
        <v>0</v>
      </c>
      <c r="J46" s="7">
        <v>0</v>
      </c>
      <c r="K46" s="8">
        <f t="shared" si="2"/>
        <v>7</v>
      </c>
      <c r="L46" s="9">
        <v>0</v>
      </c>
      <c r="M46" s="19">
        <v>6</v>
      </c>
      <c r="N46" s="9">
        <f t="shared" si="3"/>
        <v>1</v>
      </c>
      <c r="O46" s="9">
        <v>0</v>
      </c>
      <c r="P46" s="9">
        <v>0</v>
      </c>
      <c r="Q46" s="9">
        <f t="shared" si="4"/>
        <v>1</v>
      </c>
      <c r="R46" s="9">
        <v>0</v>
      </c>
      <c r="S46" s="9">
        <v>0</v>
      </c>
      <c r="T46" s="9">
        <f t="shared" si="5"/>
        <v>1</v>
      </c>
      <c r="U46" s="9">
        <v>1</v>
      </c>
      <c r="V46" s="9">
        <f t="shared" si="6"/>
        <v>0</v>
      </c>
      <c r="W46" s="9">
        <v>0</v>
      </c>
      <c r="X46" s="9">
        <v>0</v>
      </c>
      <c r="Y46" s="9">
        <f t="shared" si="7"/>
        <v>0</v>
      </c>
      <c r="Z46" s="9">
        <v>0</v>
      </c>
      <c r="AA46" s="9">
        <f t="shared" si="8"/>
        <v>0</v>
      </c>
      <c r="AB46" s="9">
        <v>20</v>
      </c>
      <c r="AC46" s="9">
        <v>0</v>
      </c>
      <c r="AD46" s="9">
        <f t="shared" si="9"/>
        <v>20</v>
      </c>
      <c r="AE46" s="9">
        <v>0</v>
      </c>
      <c r="AF46" s="9">
        <f t="shared" si="10"/>
        <v>20</v>
      </c>
      <c r="AG46" s="9">
        <v>0</v>
      </c>
      <c r="AH46" s="9">
        <f t="shared" si="25"/>
        <v>20</v>
      </c>
      <c r="AI46" s="7">
        <v>0</v>
      </c>
      <c r="AJ46" s="7">
        <v>2</v>
      </c>
      <c r="AK46" s="14">
        <f t="shared" si="11"/>
        <v>18</v>
      </c>
      <c r="AL46" s="7">
        <v>0</v>
      </c>
      <c r="AM46" s="7">
        <v>0</v>
      </c>
      <c r="AN46" s="14">
        <f t="shared" si="12"/>
        <v>18</v>
      </c>
      <c r="AO46" s="7">
        <v>0</v>
      </c>
      <c r="AP46" s="7">
        <v>0</v>
      </c>
      <c r="AQ46" s="14">
        <f t="shared" si="13"/>
        <v>18</v>
      </c>
      <c r="AR46" s="7">
        <v>0</v>
      </c>
      <c r="AS46" s="7">
        <v>4</v>
      </c>
      <c r="AT46" s="14">
        <f t="shared" si="14"/>
        <v>14</v>
      </c>
      <c r="AU46" s="7">
        <v>0</v>
      </c>
      <c r="AV46" s="7">
        <v>1</v>
      </c>
      <c r="AW46" s="14">
        <f t="shared" si="15"/>
        <v>13</v>
      </c>
      <c r="AX46" s="7">
        <v>0</v>
      </c>
      <c r="AY46" s="7">
        <v>0</v>
      </c>
      <c r="AZ46" s="14">
        <f t="shared" si="16"/>
        <v>13</v>
      </c>
      <c r="BA46" s="7">
        <v>0</v>
      </c>
      <c r="BB46" s="7">
        <v>0</v>
      </c>
      <c r="BC46" s="14">
        <f t="shared" si="17"/>
        <v>13</v>
      </c>
      <c r="BD46" s="7">
        <v>0</v>
      </c>
      <c r="BE46" s="7">
        <v>5</v>
      </c>
      <c r="BF46" s="14">
        <f t="shared" si="18"/>
        <v>8</v>
      </c>
      <c r="BG46" s="7">
        <v>0</v>
      </c>
      <c r="BH46" s="7">
        <v>0</v>
      </c>
      <c r="BI46" s="14">
        <f t="shared" si="19"/>
        <v>8</v>
      </c>
      <c r="BJ46" s="7">
        <v>0</v>
      </c>
      <c r="BK46" s="7">
        <v>0</v>
      </c>
      <c r="BL46" s="14">
        <f t="shared" si="20"/>
        <v>8</v>
      </c>
      <c r="BM46" s="7">
        <v>0</v>
      </c>
      <c r="BN46" s="7">
        <v>5</v>
      </c>
      <c r="BO46" s="14">
        <f t="shared" si="21"/>
        <v>3</v>
      </c>
      <c r="BP46" s="7">
        <v>20</v>
      </c>
      <c r="BQ46" s="7">
        <v>0</v>
      </c>
      <c r="BR46" s="14">
        <f t="shared" si="22"/>
        <v>23</v>
      </c>
      <c r="BS46" s="7">
        <v>0</v>
      </c>
      <c r="BT46" s="7">
        <v>10</v>
      </c>
      <c r="BU46" s="14">
        <f t="shared" si="23"/>
        <v>13</v>
      </c>
      <c r="BV46" s="12">
        <v>20</v>
      </c>
      <c r="BW46" s="11">
        <v>0</v>
      </c>
      <c r="BX46" s="15">
        <f t="shared" si="24"/>
        <v>33</v>
      </c>
    </row>
    <row r="47" spans="1:76" x14ac:dyDescent="0.2">
      <c r="A47" s="13" t="s">
        <v>121</v>
      </c>
      <c r="B47" s="7">
        <v>3</v>
      </c>
      <c r="C47" s="7">
        <v>0</v>
      </c>
      <c r="D47" s="7">
        <v>0</v>
      </c>
      <c r="E47" s="8">
        <f t="shared" si="0"/>
        <v>3</v>
      </c>
      <c r="F47" s="7">
        <v>0</v>
      </c>
      <c r="G47" s="7">
        <v>0</v>
      </c>
      <c r="H47" s="8">
        <f t="shared" si="1"/>
        <v>3</v>
      </c>
      <c r="I47" s="7">
        <v>0</v>
      </c>
      <c r="J47" s="7">
        <v>0</v>
      </c>
      <c r="K47" s="8">
        <f t="shared" si="2"/>
        <v>3</v>
      </c>
      <c r="L47" s="9">
        <v>0</v>
      </c>
      <c r="M47" s="19">
        <v>1</v>
      </c>
      <c r="N47" s="9">
        <f t="shared" si="3"/>
        <v>2</v>
      </c>
      <c r="O47" s="9">
        <v>1</v>
      </c>
      <c r="P47" s="9">
        <v>0</v>
      </c>
      <c r="Q47" s="9">
        <f t="shared" si="4"/>
        <v>3</v>
      </c>
      <c r="R47" s="9">
        <v>0</v>
      </c>
      <c r="S47" s="9">
        <v>0</v>
      </c>
      <c r="T47" s="9">
        <f t="shared" si="5"/>
        <v>3</v>
      </c>
      <c r="U47" s="9">
        <v>0</v>
      </c>
      <c r="V47" s="9">
        <f t="shared" si="6"/>
        <v>3</v>
      </c>
      <c r="W47" s="9">
        <v>0</v>
      </c>
      <c r="X47" s="9">
        <v>0</v>
      </c>
      <c r="Y47" s="9">
        <f t="shared" si="7"/>
        <v>3</v>
      </c>
      <c r="Z47" s="9">
        <v>0</v>
      </c>
      <c r="AA47" s="9">
        <f t="shared" si="8"/>
        <v>3</v>
      </c>
      <c r="AB47" s="9">
        <v>0</v>
      </c>
      <c r="AC47" s="9">
        <v>0</v>
      </c>
      <c r="AD47" s="9">
        <f t="shared" si="9"/>
        <v>3</v>
      </c>
      <c r="AE47" s="9">
        <v>0</v>
      </c>
      <c r="AF47" s="9">
        <f t="shared" si="10"/>
        <v>3</v>
      </c>
      <c r="AG47" s="9">
        <v>0</v>
      </c>
      <c r="AH47" s="9">
        <f t="shared" si="25"/>
        <v>3</v>
      </c>
      <c r="AI47" s="7">
        <v>0</v>
      </c>
      <c r="AJ47" s="7">
        <v>0</v>
      </c>
      <c r="AK47" s="14">
        <f t="shared" si="11"/>
        <v>3</v>
      </c>
      <c r="AL47" s="7">
        <v>0</v>
      </c>
      <c r="AM47" s="7">
        <v>0</v>
      </c>
      <c r="AN47" s="14">
        <f t="shared" si="12"/>
        <v>3</v>
      </c>
      <c r="AO47" s="7">
        <v>0</v>
      </c>
      <c r="AP47" s="7">
        <v>1</v>
      </c>
      <c r="AQ47" s="14">
        <f t="shared" si="13"/>
        <v>2</v>
      </c>
      <c r="AR47" s="7">
        <v>0</v>
      </c>
      <c r="AS47" s="7">
        <v>0</v>
      </c>
      <c r="AT47" s="14">
        <f t="shared" si="14"/>
        <v>2</v>
      </c>
      <c r="AU47" s="7">
        <v>0</v>
      </c>
      <c r="AV47" s="7">
        <v>0</v>
      </c>
      <c r="AW47" s="14">
        <f t="shared" si="15"/>
        <v>2</v>
      </c>
      <c r="AX47" s="7">
        <v>0</v>
      </c>
      <c r="AY47" s="7">
        <v>0</v>
      </c>
      <c r="AZ47" s="14">
        <f t="shared" si="16"/>
        <v>2</v>
      </c>
      <c r="BA47" s="7">
        <v>0</v>
      </c>
      <c r="BB47" s="7">
        <v>0</v>
      </c>
      <c r="BC47" s="14">
        <f t="shared" si="17"/>
        <v>2</v>
      </c>
      <c r="BD47" s="7">
        <v>0</v>
      </c>
      <c r="BE47" s="7">
        <v>0</v>
      </c>
      <c r="BF47" s="14">
        <f t="shared" si="18"/>
        <v>2</v>
      </c>
      <c r="BG47" s="7">
        <v>0</v>
      </c>
      <c r="BH47" s="7">
        <v>0</v>
      </c>
      <c r="BI47" s="14">
        <f t="shared" si="19"/>
        <v>2</v>
      </c>
      <c r="BJ47" s="7">
        <v>0</v>
      </c>
      <c r="BK47" s="7">
        <v>0</v>
      </c>
      <c r="BL47" s="14">
        <f t="shared" si="20"/>
        <v>2</v>
      </c>
      <c r="BM47" s="7">
        <v>0</v>
      </c>
      <c r="BN47" s="7">
        <v>0</v>
      </c>
      <c r="BO47" s="14">
        <f t="shared" si="21"/>
        <v>2</v>
      </c>
      <c r="BP47" s="7">
        <v>0</v>
      </c>
      <c r="BQ47" s="7">
        <v>0</v>
      </c>
      <c r="BR47" s="14">
        <f t="shared" si="22"/>
        <v>2</v>
      </c>
      <c r="BS47" s="7">
        <v>0</v>
      </c>
      <c r="BT47" s="7">
        <v>0</v>
      </c>
      <c r="BU47" s="14">
        <f t="shared" si="23"/>
        <v>2</v>
      </c>
      <c r="BV47" s="11">
        <v>0</v>
      </c>
      <c r="BW47" s="11">
        <v>0</v>
      </c>
      <c r="BX47" s="15">
        <f t="shared" si="24"/>
        <v>2</v>
      </c>
    </row>
    <row r="48" spans="1:76" x14ac:dyDescent="0.2">
      <c r="A48" s="13" t="s">
        <v>122</v>
      </c>
      <c r="B48" s="7">
        <v>14</v>
      </c>
      <c r="C48" s="7">
        <v>0</v>
      </c>
      <c r="D48" s="7">
        <v>0</v>
      </c>
      <c r="E48" s="8">
        <f t="shared" si="0"/>
        <v>14</v>
      </c>
      <c r="F48" s="7">
        <v>0</v>
      </c>
      <c r="G48" s="7">
        <v>0</v>
      </c>
      <c r="H48" s="8">
        <f t="shared" si="1"/>
        <v>14</v>
      </c>
      <c r="I48" s="7">
        <v>0</v>
      </c>
      <c r="J48" s="7">
        <v>0</v>
      </c>
      <c r="K48" s="8">
        <f t="shared" si="2"/>
        <v>14</v>
      </c>
      <c r="L48" s="9">
        <v>0</v>
      </c>
      <c r="M48" s="19">
        <v>1</v>
      </c>
      <c r="N48" s="9">
        <f t="shared" si="3"/>
        <v>13</v>
      </c>
      <c r="O48" s="9">
        <v>0</v>
      </c>
      <c r="P48" s="9">
        <v>0</v>
      </c>
      <c r="Q48" s="9">
        <f t="shared" si="4"/>
        <v>13</v>
      </c>
      <c r="R48" s="9">
        <v>0</v>
      </c>
      <c r="S48" s="9">
        <v>0</v>
      </c>
      <c r="T48" s="9">
        <f t="shared" si="5"/>
        <v>13</v>
      </c>
      <c r="U48" s="9">
        <v>3</v>
      </c>
      <c r="V48" s="9">
        <f t="shared" si="6"/>
        <v>10</v>
      </c>
      <c r="W48" s="9">
        <v>0</v>
      </c>
      <c r="X48" s="9">
        <v>0</v>
      </c>
      <c r="Y48" s="9">
        <f t="shared" si="7"/>
        <v>10</v>
      </c>
      <c r="Z48" s="9">
        <v>0</v>
      </c>
      <c r="AA48" s="9">
        <f t="shared" si="8"/>
        <v>10</v>
      </c>
      <c r="AB48" s="9">
        <v>0</v>
      </c>
      <c r="AC48" s="9">
        <v>0</v>
      </c>
      <c r="AD48" s="9">
        <f t="shared" si="9"/>
        <v>10</v>
      </c>
      <c r="AE48" s="9">
        <v>0</v>
      </c>
      <c r="AF48" s="9">
        <f t="shared" si="10"/>
        <v>10</v>
      </c>
      <c r="AG48" s="9">
        <v>0</v>
      </c>
      <c r="AH48" s="9">
        <f t="shared" si="25"/>
        <v>10</v>
      </c>
      <c r="AI48" s="7">
        <v>0</v>
      </c>
      <c r="AJ48" s="7">
        <v>0</v>
      </c>
      <c r="AK48" s="14">
        <f t="shared" si="11"/>
        <v>10</v>
      </c>
      <c r="AL48" s="7">
        <v>0</v>
      </c>
      <c r="AM48" s="7">
        <v>3</v>
      </c>
      <c r="AN48" s="14">
        <f t="shared" si="12"/>
        <v>7</v>
      </c>
      <c r="AO48" s="7">
        <v>5</v>
      </c>
      <c r="AP48" s="7">
        <v>0</v>
      </c>
      <c r="AQ48" s="14">
        <f t="shared" si="13"/>
        <v>12</v>
      </c>
      <c r="AR48" s="7">
        <v>0</v>
      </c>
      <c r="AS48" s="7">
        <v>0</v>
      </c>
      <c r="AT48" s="14">
        <f t="shared" si="14"/>
        <v>12</v>
      </c>
      <c r="AU48" s="7">
        <v>0</v>
      </c>
      <c r="AV48" s="7">
        <v>0</v>
      </c>
      <c r="AW48" s="14">
        <f t="shared" si="15"/>
        <v>12</v>
      </c>
      <c r="AX48" s="7">
        <v>0</v>
      </c>
      <c r="AY48" s="7">
        <v>0</v>
      </c>
      <c r="AZ48" s="14">
        <f t="shared" si="16"/>
        <v>12</v>
      </c>
      <c r="BA48" s="7">
        <v>0</v>
      </c>
      <c r="BB48" s="7">
        <v>0</v>
      </c>
      <c r="BC48" s="14">
        <f t="shared" si="17"/>
        <v>12</v>
      </c>
      <c r="BD48" s="7">
        <v>0</v>
      </c>
      <c r="BE48" s="7">
        <v>2</v>
      </c>
      <c r="BF48" s="14">
        <f t="shared" si="18"/>
        <v>10</v>
      </c>
      <c r="BG48" s="7">
        <v>0</v>
      </c>
      <c r="BH48" s="7">
        <v>0</v>
      </c>
      <c r="BI48" s="14">
        <f t="shared" si="19"/>
        <v>10</v>
      </c>
      <c r="BJ48" s="7">
        <v>0</v>
      </c>
      <c r="BK48" s="7">
        <v>0</v>
      </c>
      <c r="BL48" s="14">
        <f t="shared" si="20"/>
        <v>10</v>
      </c>
      <c r="BM48" s="7">
        <v>0</v>
      </c>
      <c r="BN48" s="7">
        <v>1</v>
      </c>
      <c r="BO48" s="14">
        <f t="shared" si="21"/>
        <v>9</v>
      </c>
      <c r="BP48" s="7">
        <v>20</v>
      </c>
      <c r="BQ48" s="7">
        <v>14</v>
      </c>
      <c r="BR48" s="14">
        <f t="shared" si="22"/>
        <v>15</v>
      </c>
      <c r="BS48" s="7">
        <v>0</v>
      </c>
      <c r="BT48" s="7">
        <v>0</v>
      </c>
      <c r="BU48" s="14">
        <f t="shared" si="23"/>
        <v>15</v>
      </c>
      <c r="BV48" s="11">
        <v>0</v>
      </c>
      <c r="BW48" s="11">
        <v>0</v>
      </c>
      <c r="BX48" s="15">
        <f t="shared" si="24"/>
        <v>15</v>
      </c>
    </row>
    <row r="49" spans="1:76" x14ac:dyDescent="0.2">
      <c r="A49" s="5" t="s">
        <v>123</v>
      </c>
      <c r="B49" s="7">
        <v>4</v>
      </c>
      <c r="C49" s="7">
        <v>0</v>
      </c>
      <c r="D49" s="7">
        <v>6</v>
      </c>
      <c r="E49" s="8">
        <f t="shared" si="0"/>
        <v>-2</v>
      </c>
      <c r="F49" s="7">
        <v>0</v>
      </c>
      <c r="G49" s="7">
        <v>0</v>
      </c>
      <c r="H49" s="8">
        <f t="shared" si="1"/>
        <v>-2</v>
      </c>
      <c r="I49" s="7">
        <v>0</v>
      </c>
      <c r="J49" s="7">
        <v>0</v>
      </c>
      <c r="K49" s="8">
        <f t="shared" si="2"/>
        <v>-2</v>
      </c>
      <c r="L49" s="20">
        <v>6</v>
      </c>
      <c r="M49" s="19">
        <v>3</v>
      </c>
      <c r="N49" s="9">
        <f t="shared" si="3"/>
        <v>1</v>
      </c>
      <c r="O49" s="9">
        <v>0</v>
      </c>
      <c r="P49" s="9">
        <v>1</v>
      </c>
      <c r="Q49" s="9">
        <f t="shared" si="4"/>
        <v>0</v>
      </c>
      <c r="R49" s="9">
        <v>0</v>
      </c>
      <c r="S49" s="9">
        <v>0</v>
      </c>
      <c r="T49" s="9">
        <f t="shared" si="5"/>
        <v>0</v>
      </c>
      <c r="U49" s="9">
        <v>0</v>
      </c>
      <c r="V49" s="9">
        <f t="shared" si="6"/>
        <v>0</v>
      </c>
      <c r="W49" s="9">
        <v>0</v>
      </c>
      <c r="X49" s="9">
        <v>1</v>
      </c>
      <c r="Y49" s="9">
        <f t="shared" si="7"/>
        <v>-1</v>
      </c>
      <c r="Z49" s="9">
        <v>0</v>
      </c>
      <c r="AA49" s="9">
        <f t="shared" si="8"/>
        <v>-1</v>
      </c>
      <c r="AB49" s="9">
        <v>4</v>
      </c>
      <c r="AC49" s="9">
        <v>0</v>
      </c>
      <c r="AD49" s="9">
        <f t="shared" si="9"/>
        <v>3</v>
      </c>
      <c r="AE49" s="9">
        <v>0</v>
      </c>
      <c r="AF49" s="9">
        <f t="shared" si="10"/>
        <v>3</v>
      </c>
      <c r="AG49" s="9">
        <v>2</v>
      </c>
      <c r="AH49" s="9">
        <f t="shared" si="25"/>
        <v>1</v>
      </c>
      <c r="AI49" s="7">
        <v>0</v>
      </c>
      <c r="AJ49" s="7">
        <v>1</v>
      </c>
      <c r="AK49" s="14">
        <f t="shared" si="11"/>
        <v>0</v>
      </c>
      <c r="AL49" s="7">
        <v>0</v>
      </c>
      <c r="AM49" s="7">
        <v>1</v>
      </c>
      <c r="AN49" s="14">
        <f t="shared" si="12"/>
        <v>-1</v>
      </c>
      <c r="AO49" s="7">
        <v>0</v>
      </c>
      <c r="AP49" s="7">
        <v>0</v>
      </c>
      <c r="AQ49" s="14">
        <f t="shared" si="13"/>
        <v>-1</v>
      </c>
      <c r="AR49" s="7">
        <v>0</v>
      </c>
      <c r="AS49" s="7">
        <v>0</v>
      </c>
      <c r="AT49" s="14">
        <f t="shared" si="14"/>
        <v>-1</v>
      </c>
      <c r="AU49" s="7">
        <v>0</v>
      </c>
      <c r="AV49" s="7">
        <v>0</v>
      </c>
      <c r="AW49" s="14">
        <f t="shared" si="15"/>
        <v>-1</v>
      </c>
      <c r="AX49" s="7">
        <v>5</v>
      </c>
      <c r="AY49" s="7">
        <v>0</v>
      </c>
      <c r="AZ49" s="14">
        <f t="shared" si="16"/>
        <v>4</v>
      </c>
      <c r="BA49" s="7">
        <v>0</v>
      </c>
      <c r="BB49" s="7">
        <v>1</v>
      </c>
      <c r="BC49" s="14">
        <f t="shared" si="17"/>
        <v>3</v>
      </c>
      <c r="BD49" s="7">
        <v>0</v>
      </c>
      <c r="BE49" s="7">
        <v>2</v>
      </c>
      <c r="BF49" s="14">
        <f t="shared" si="18"/>
        <v>1</v>
      </c>
      <c r="BG49" s="7">
        <v>0</v>
      </c>
      <c r="BH49" s="7">
        <v>0</v>
      </c>
      <c r="BI49" s="14">
        <f t="shared" si="19"/>
        <v>1</v>
      </c>
      <c r="BJ49" s="7">
        <v>0</v>
      </c>
      <c r="BK49" s="7">
        <v>0</v>
      </c>
      <c r="BL49" s="14">
        <f t="shared" si="20"/>
        <v>1</v>
      </c>
      <c r="BM49" s="7">
        <v>0</v>
      </c>
      <c r="BN49" s="7">
        <v>0</v>
      </c>
      <c r="BO49" s="14">
        <f t="shared" si="21"/>
        <v>1</v>
      </c>
      <c r="BP49" s="7">
        <v>0</v>
      </c>
      <c r="BQ49" s="7">
        <v>3</v>
      </c>
      <c r="BR49" s="14">
        <f t="shared" si="22"/>
        <v>-2</v>
      </c>
      <c r="BS49" s="7">
        <v>0</v>
      </c>
      <c r="BT49" s="7">
        <v>0</v>
      </c>
      <c r="BU49" s="14">
        <f t="shared" si="23"/>
        <v>-2</v>
      </c>
      <c r="BV49" s="12">
        <v>6</v>
      </c>
      <c r="BW49" s="12">
        <v>3</v>
      </c>
      <c r="BX49" s="18">
        <f t="shared" si="24"/>
        <v>1</v>
      </c>
    </row>
    <row r="50" spans="1:76" x14ac:dyDescent="0.2">
      <c r="A50" s="5" t="s">
        <v>124</v>
      </c>
      <c r="B50" s="7">
        <v>4</v>
      </c>
      <c r="C50" s="7">
        <v>0</v>
      </c>
      <c r="D50" s="7">
        <v>5</v>
      </c>
      <c r="E50" s="8">
        <f t="shared" si="0"/>
        <v>-1</v>
      </c>
      <c r="F50" s="7">
        <v>0</v>
      </c>
      <c r="G50" s="7">
        <v>0</v>
      </c>
      <c r="H50" s="8">
        <f t="shared" si="1"/>
        <v>-1</v>
      </c>
      <c r="I50" s="7">
        <v>0</v>
      </c>
      <c r="J50" s="7">
        <v>1</v>
      </c>
      <c r="K50" s="8">
        <f t="shared" si="2"/>
        <v>-2</v>
      </c>
      <c r="L50" s="20">
        <v>6</v>
      </c>
      <c r="M50" s="19">
        <v>0</v>
      </c>
      <c r="N50" s="9">
        <f t="shared" si="3"/>
        <v>4</v>
      </c>
      <c r="O50" s="9">
        <v>0</v>
      </c>
      <c r="P50" s="9">
        <v>0</v>
      </c>
      <c r="Q50" s="9">
        <f t="shared" si="4"/>
        <v>4</v>
      </c>
      <c r="R50" s="9">
        <v>0</v>
      </c>
      <c r="S50" s="9">
        <v>0</v>
      </c>
      <c r="T50" s="9">
        <f t="shared" si="5"/>
        <v>4</v>
      </c>
      <c r="U50" s="9">
        <v>0</v>
      </c>
      <c r="V50" s="9">
        <f t="shared" si="6"/>
        <v>4</v>
      </c>
      <c r="W50" s="9">
        <v>0</v>
      </c>
      <c r="X50" s="9">
        <v>0</v>
      </c>
      <c r="Y50" s="9">
        <f t="shared" si="7"/>
        <v>4</v>
      </c>
      <c r="Z50" s="9">
        <v>0</v>
      </c>
      <c r="AA50" s="9">
        <f t="shared" si="8"/>
        <v>4</v>
      </c>
      <c r="AB50" s="9">
        <v>0</v>
      </c>
      <c r="AC50" s="9">
        <v>0</v>
      </c>
      <c r="AD50" s="9">
        <f t="shared" si="9"/>
        <v>4</v>
      </c>
      <c r="AE50" s="9">
        <v>0</v>
      </c>
      <c r="AF50" s="9">
        <f t="shared" si="10"/>
        <v>4</v>
      </c>
      <c r="AG50" s="9">
        <v>0</v>
      </c>
      <c r="AH50" s="9">
        <f t="shared" si="25"/>
        <v>4</v>
      </c>
      <c r="AI50" s="7">
        <v>0</v>
      </c>
      <c r="AJ50" s="7">
        <v>2</v>
      </c>
      <c r="AK50" s="14">
        <f t="shared" si="11"/>
        <v>2</v>
      </c>
      <c r="AL50" s="7">
        <v>0</v>
      </c>
      <c r="AM50" s="7">
        <v>0</v>
      </c>
      <c r="AN50" s="14">
        <f t="shared" si="12"/>
        <v>2</v>
      </c>
      <c r="AO50" s="7">
        <v>0</v>
      </c>
      <c r="AP50" s="7">
        <v>0</v>
      </c>
      <c r="AQ50" s="14">
        <f t="shared" si="13"/>
        <v>2</v>
      </c>
      <c r="AR50" s="7">
        <v>0</v>
      </c>
      <c r="AS50" s="7">
        <v>0</v>
      </c>
      <c r="AT50" s="14">
        <f t="shared" si="14"/>
        <v>2</v>
      </c>
      <c r="AU50" s="7">
        <v>0</v>
      </c>
      <c r="AV50" s="7">
        <v>0</v>
      </c>
      <c r="AW50" s="14">
        <f t="shared" si="15"/>
        <v>2</v>
      </c>
      <c r="AX50" s="7">
        <v>2</v>
      </c>
      <c r="AY50" s="7">
        <v>0</v>
      </c>
      <c r="AZ50" s="14">
        <f t="shared" si="16"/>
        <v>4</v>
      </c>
      <c r="BA50" s="7">
        <v>0</v>
      </c>
      <c r="BB50" s="7">
        <v>1</v>
      </c>
      <c r="BC50" s="14">
        <f t="shared" si="17"/>
        <v>3</v>
      </c>
      <c r="BD50" s="7">
        <v>0</v>
      </c>
      <c r="BE50" s="7">
        <v>0</v>
      </c>
      <c r="BF50" s="14">
        <f t="shared" si="18"/>
        <v>3</v>
      </c>
      <c r="BG50" s="7">
        <v>0</v>
      </c>
      <c r="BH50" s="7">
        <v>2</v>
      </c>
      <c r="BI50" s="14">
        <f t="shared" si="19"/>
        <v>1</v>
      </c>
      <c r="BJ50" s="7">
        <v>0</v>
      </c>
      <c r="BK50" s="7">
        <v>0</v>
      </c>
      <c r="BL50" s="14">
        <f t="shared" si="20"/>
        <v>1</v>
      </c>
      <c r="BM50" s="7">
        <v>0</v>
      </c>
      <c r="BN50" s="7">
        <v>0</v>
      </c>
      <c r="BO50" s="14">
        <f t="shared" si="21"/>
        <v>1</v>
      </c>
      <c r="BP50" s="7">
        <v>0</v>
      </c>
      <c r="BQ50" s="7">
        <v>0</v>
      </c>
      <c r="BR50" s="14">
        <f t="shared" si="22"/>
        <v>1</v>
      </c>
      <c r="BS50" s="7">
        <v>0</v>
      </c>
      <c r="BT50" s="7">
        <v>3</v>
      </c>
      <c r="BU50" s="14">
        <f t="shared" si="23"/>
        <v>-2</v>
      </c>
      <c r="BV50" s="12">
        <v>3</v>
      </c>
      <c r="BW50" s="11">
        <v>0</v>
      </c>
      <c r="BX50" s="15">
        <f t="shared" si="24"/>
        <v>1</v>
      </c>
    </row>
    <row r="51" spans="1:76" x14ac:dyDescent="0.2">
      <c r="A51" s="5" t="s">
        <v>125</v>
      </c>
      <c r="B51" s="7">
        <v>2</v>
      </c>
      <c r="C51" s="7">
        <v>0</v>
      </c>
      <c r="D51" s="7">
        <v>0</v>
      </c>
      <c r="E51" s="8">
        <f t="shared" si="0"/>
        <v>2</v>
      </c>
      <c r="F51" s="7">
        <v>0</v>
      </c>
      <c r="G51" s="7">
        <v>0</v>
      </c>
      <c r="H51" s="8">
        <f t="shared" si="1"/>
        <v>2</v>
      </c>
      <c r="I51" s="7">
        <v>0</v>
      </c>
      <c r="J51" s="7">
        <v>2</v>
      </c>
      <c r="K51" s="8">
        <f t="shared" si="2"/>
        <v>0</v>
      </c>
      <c r="L51" s="20">
        <v>6</v>
      </c>
      <c r="M51" s="19">
        <v>2</v>
      </c>
      <c r="N51" s="9">
        <f t="shared" si="3"/>
        <v>4</v>
      </c>
      <c r="O51" s="9">
        <v>0</v>
      </c>
      <c r="P51" s="9">
        <v>2</v>
      </c>
      <c r="Q51" s="9">
        <f t="shared" si="4"/>
        <v>2</v>
      </c>
      <c r="R51" s="9">
        <v>0</v>
      </c>
      <c r="S51" s="9">
        <v>0</v>
      </c>
      <c r="T51" s="9">
        <f t="shared" si="5"/>
        <v>2</v>
      </c>
      <c r="U51" s="9">
        <v>0</v>
      </c>
      <c r="V51" s="9">
        <f t="shared" si="6"/>
        <v>2</v>
      </c>
      <c r="W51" s="9">
        <v>0</v>
      </c>
      <c r="X51" s="9">
        <v>0</v>
      </c>
      <c r="Y51" s="9">
        <f t="shared" si="7"/>
        <v>2</v>
      </c>
      <c r="Z51" s="9">
        <v>0</v>
      </c>
      <c r="AA51" s="9">
        <f t="shared" si="8"/>
        <v>2</v>
      </c>
      <c r="AB51" s="9">
        <v>4</v>
      </c>
      <c r="AC51" s="9">
        <v>1</v>
      </c>
      <c r="AD51" s="9">
        <f t="shared" si="9"/>
        <v>5</v>
      </c>
      <c r="AE51" s="9">
        <v>0</v>
      </c>
      <c r="AF51" s="9">
        <f t="shared" si="10"/>
        <v>5</v>
      </c>
      <c r="AG51" s="9">
        <v>0</v>
      </c>
      <c r="AH51" s="9">
        <f t="shared" si="25"/>
        <v>5</v>
      </c>
      <c r="AI51" s="7">
        <v>0</v>
      </c>
      <c r="AJ51" s="7">
        <v>1</v>
      </c>
      <c r="AK51" s="14">
        <f t="shared" si="11"/>
        <v>4</v>
      </c>
      <c r="AL51" s="7">
        <v>0</v>
      </c>
      <c r="AM51" s="7">
        <v>0</v>
      </c>
      <c r="AN51" s="14">
        <f t="shared" si="12"/>
        <v>4</v>
      </c>
      <c r="AO51" s="7">
        <v>0</v>
      </c>
      <c r="AP51" s="7">
        <v>2</v>
      </c>
      <c r="AQ51" s="14">
        <f t="shared" si="13"/>
        <v>2</v>
      </c>
      <c r="AR51" s="7">
        <v>0</v>
      </c>
      <c r="AS51" s="7">
        <v>0</v>
      </c>
      <c r="AT51" s="14">
        <f t="shared" si="14"/>
        <v>2</v>
      </c>
      <c r="AU51" s="7">
        <v>0</v>
      </c>
      <c r="AV51" s="7">
        <v>0</v>
      </c>
      <c r="AW51" s="14">
        <f t="shared" si="15"/>
        <v>2</v>
      </c>
      <c r="AX51" s="7">
        <v>3</v>
      </c>
      <c r="AY51" s="7">
        <v>1</v>
      </c>
      <c r="AZ51" s="14">
        <f t="shared" si="16"/>
        <v>4</v>
      </c>
      <c r="BA51" s="7">
        <v>0</v>
      </c>
      <c r="BB51" s="7">
        <v>0</v>
      </c>
      <c r="BC51" s="14">
        <f t="shared" si="17"/>
        <v>4</v>
      </c>
      <c r="BD51" s="7">
        <v>0</v>
      </c>
      <c r="BE51" s="7">
        <v>1</v>
      </c>
      <c r="BF51" s="14">
        <f t="shared" si="18"/>
        <v>3</v>
      </c>
      <c r="BG51" s="7">
        <v>0</v>
      </c>
      <c r="BH51" s="7">
        <v>2</v>
      </c>
      <c r="BI51" s="14">
        <f t="shared" si="19"/>
        <v>1</v>
      </c>
      <c r="BJ51" s="7">
        <v>0</v>
      </c>
      <c r="BK51" s="7">
        <v>0</v>
      </c>
      <c r="BL51" s="14">
        <f t="shared" si="20"/>
        <v>1</v>
      </c>
      <c r="BM51" s="7">
        <v>0</v>
      </c>
      <c r="BN51" s="7">
        <v>0</v>
      </c>
      <c r="BO51" s="14">
        <f t="shared" si="21"/>
        <v>1</v>
      </c>
      <c r="BP51" s="7">
        <v>0</v>
      </c>
      <c r="BQ51" s="7">
        <v>2</v>
      </c>
      <c r="BR51" s="14">
        <f t="shared" si="22"/>
        <v>-1</v>
      </c>
      <c r="BS51" s="7">
        <v>0</v>
      </c>
      <c r="BT51" s="7">
        <v>0</v>
      </c>
      <c r="BU51" s="14">
        <f t="shared" si="23"/>
        <v>-1</v>
      </c>
      <c r="BV51" s="12">
        <v>6</v>
      </c>
      <c r="BW51" s="11">
        <v>0</v>
      </c>
      <c r="BX51" s="15">
        <f t="shared" si="24"/>
        <v>5</v>
      </c>
    </row>
    <row r="52" spans="1:76" x14ac:dyDescent="0.2">
      <c r="A52" s="21" t="s">
        <v>126</v>
      </c>
      <c r="B52" s="7">
        <v>0</v>
      </c>
      <c r="C52" s="7">
        <v>0</v>
      </c>
      <c r="D52" s="7">
        <v>0</v>
      </c>
      <c r="E52" s="8">
        <f t="shared" si="0"/>
        <v>0</v>
      </c>
      <c r="F52" s="7">
        <v>0</v>
      </c>
      <c r="G52" s="7">
        <v>0</v>
      </c>
      <c r="H52" s="8">
        <f t="shared" si="1"/>
        <v>0</v>
      </c>
      <c r="I52" s="7">
        <v>0</v>
      </c>
      <c r="J52" s="7">
        <v>0</v>
      </c>
      <c r="K52" s="8">
        <f t="shared" si="2"/>
        <v>0</v>
      </c>
      <c r="L52" s="9">
        <v>0</v>
      </c>
      <c r="M52" s="19">
        <v>0</v>
      </c>
      <c r="N52" s="9">
        <f t="shared" si="3"/>
        <v>0</v>
      </c>
      <c r="O52" s="9">
        <v>0</v>
      </c>
      <c r="P52" s="9">
        <v>0</v>
      </c>
      <c r="Q52" s="9">
        <f t="shared" si="4"/>
        <v>0</v>
      </c>
      <c r="R52" s="9">
        <v>0</v>
      </c>
      <c r="S52" s="9">
        <v>0</v>
      </c>
      <c r="T52" s="9">
        <f t="shared" si="5"/>
        <v>0</v>
      </c>
      <c r="U52" s="9">
        <v>0</v>
      </c>
      <c r="V52" s="9">
        <f t="shared" si="6"/>
        <v>0</v>
      </c>
      <c r="W52" s="9">
        <v>0</v>
      </c>
      <c r="X52" s="9">
        <v>0</v>
      </c>
      <c r="Y52" s="9">
        <f t="shared" si="7"/>
        <v>0</v>
      </c>
      <c r="Z52" s="9">
        <v>0</v>
      </c>
      <c r="AA52" s="9">
        <f t="shared" si="8"/>
        <v>0</v>
      </c>
      <c r="AB52" s="9">
        <v>0</v>
      </c>
      <c r="AC52" s="9">
        <v>0</v>
      </c>
      <c r="AD52" s="9">
        <f t="shared" si="9"/>
        <v>0</v>
      </c>
      <c r="AE52" s="9">
        <v>0</v>
      </c>
      <c r="AF52" s="9">
        <f t="shared" si="10"/>
        <v>0</v>
      </c>
      <c r="AG52" s="9">
        <v>0</v>
      </c>
      <c r="AH52" s="9">
        <f t="shared" si="25"/>
        <v>0</v>
      </c>
      <c r="AI52" s="7">
        <v>0</v>
      </c>
      <c r="AJ52" s="7">
        <v>0</v>
      </c>
      <c r="AK52" s="14">
        <f t="shared" si="11"/>
        <v>0</v>
      </c>
      <c r="AL52" s="7">
        <v>0</v>
      </c>
      <c r="AM52" s="7">
        <v>0</v>
      </c>
      <c r="AN52" s="14">
        <f t="shared" si="12"/>
        <v>0</v>
      </c>
      <c r="AO52" s="7">
        <v>0</v>
      </c>
      <c r="AP52" s="7">
        <v>0</v>
      </c>
      <c r="AQ52" s="14">
        <f t="shared" si="13"/>
        <v>0</v>
      </c>
      <c r="AR52" s="7">
        <v>0</v>
      </c>
      <c r="AS52" s="7">
        <v>0</v>
      </c>
      <c r="AT52" s="14">
        <f t="shared" si="14"/>
        <v>0</v>
      </c>
      <c r="AU52" s="7">
        <v>0</v>
      </c>
      <c r="AV52" s="7">
        <v>0</v>
      </c>
      <c r="AW52" s="14">
        <f t="shared" si="15"/>
        <v>0</v>
      </c>
      <c r="AX52" s="7">
        <v>0</v>
      </c>
      <c r="AY52" s="7">
        <v>0</v>
      </c>
      <c r="AZ52" s="14">
        <f t="shared" si="16"/>
        <v>0</v>
      </c>
      <c r="BA52" s="7">
        <v>0</v>
      </c>
      <c r="BB52" s="7">
        <v>0</v>
      </c>
      <c r="BC52" s="14">
        <f t="shared" si="17"/>
        <v>0</v>
      </c>
      <c r="BD52" s="7">
        <v>0</v>
      </c>
      <c r="BE52" s="7">
        <v>0</v>
      </c>
      <c r="BF52" s="14">
        <f t="shared" si="18"/>
        <v>0</v>
      </c>
      <c r="BG52" s="7">
        <v>0</v>
      </c>
      <c r="BH52" s="7">
        <v>0</v>
      </c>
      <c r="BI52" s="14">
        <f t="shared" si="19"/>
        <v>0</v>
      </c>
      <c r="BJ52" s="7">
        <v>0</v>
      </c>
      <c r="BK52" s="7">
        <v>0</v>
      </c>
      <c r="BL52" s="14">
        <f t="shared" si="20"/>
        <v>0</v>
      </c>
      <c r="BM52" s="7">
        <v>0</v>
      </c>
      <c r="BN52" s="7">
        <v>0</v>
      </c>
      <c r="BO52" s="14">
        <f t="shared" si="21"/>
        <v>0</v>
      </c>
      <c r="BP52" s="7">
        <v>0</v>
      </c>
      <c r="BQ52" s="7">
        <v>0</v>
      </c>
      <c r="BR52" s="14">
        <f t="shared" si="22"/>
        <v>0</v>
      </c>
      <c r="BS52" s="7">
        <v>0</v>
      </c>
      <c r="BT52" s="7">
        <v>0</v>
      </c>
      <c r="BU52" s="14">
        <f t="shared" si="23"/>
        <v>0</v>
      </c>
      <c r="BV52" s="11">
        <v>0</v>
      </c>
      <c r="BW52" s="11">
        <v>0</v>
      </c>
      <c r="BX52" s="15">
        <f t="shared" si="24"/>
        <v>0</v>
      </c>
    </row>
    <row r="53" spans="1:76" x14ac:dyDescent="0.2">
      <c r="A53" s="21" t="s">
        <v>127</v>
      </c>
      <c r="B53" s="7">
        <v>0</v>
      </c>
      <c r="C53" s="7">
        <v>0</v>
      </c>
      <c r="D53" s="7">
        <v>0</v>
      </c>
      <c r="E53" s="8">
        <f t="shared" si="0"/>
        <v>0</v>
      </c>
      <c r="F53" s="7">
        <v>0</v>
      </c>
      <c r="G53" s="7">
        <v>0</v>
      </c>
      <c r="H53" s="8">
        <f t="shared" si="1"/>
        <v>0</v>
      </c>
      <c r="I53" s="7">
        <v>0</v>
      </c>
      <c r="J53" s="7">
        <v>0</v>
      </c>
      <c r="K53" s="8">
        <f t="shared" si="2"/>
        <v>0</v>
      </c>
      <c r="L53" s="9">
        <v>0</v>
      </c>
      <c r="M53" s="19">
        <v>0</v>
      </c>
      <c r="N53" s="9">
        <f t="shared" si="3"/>
        <v>0</v>
      </c>
      <c r="O53" s="9">
        <v>0</v>
      </c>
      <c r="P53" s="9">
        <v>0</v>
      </c>
      <c r="Q53" s="9">
        <f t="shared" si="4"/>
        <v>0</v>
      </c>
      <c r="R53" s="9">
        <v>0</v>
      </c>
      <c r="S53" s="9">
        <v>0</v>
      </c>
      <c r="T53" s="9">
        <f t="shared" si="5"/>
        <v>0</v>
      </c>
      <c r="U53" s="9">
        <v>0</v>
      </c>
      <c r="V53" s="9">
        <f t="shared" si="6"/>
        <v>0</v>
      </c>
      <c r="W53" s="9">
        <v>0</v>
      </c>
      <c r="X53" s="9">
        <v>0</v>
      </c>
      <c r="Y53" s="9">
        <f t="shared" si="7"/>
        <v>0</v>
      </c>
      <c r="Z53" s="9">
        <v>0</v>
      </c>
      <c r="AA53" s="9">
        <f t="shared" si="8"/>
        <v>0</v>
      </c>
      <c r="AB53" s="9">
        <v>0</v>
      </c>
      <c r="AC53" s="9">
        <v>0</v>
      </c>
      <c r="AD53" s="9">
        <f t="shared" si="9"/>
        <v>0</v>
      </c>
      <c r="AE53" s="9">
        <v>0</v>
      </c>
      <c r="AF53" s="9">
        <f t="shared" si="10"/>
        <v>0</v>
      </c>
      <c r="AG53" s="9">
        <v>0</v>
      </c>
      <c r="AH53" s="9">
        <f t="shared" si="25"/>
        <v>0</v>
      </c>
      <c r="AI53" s="7">
        <v>0</v>
      </c>
      <c r="AJ53" s="7">
        <v>0</v>
      </c>
      <c r="AK53" s="14">
        <f t="shared" si="11"/>
        <v>0</v>
      </c>
      <c r="AL53" s="7">
        <v>0</v>
      </c>
      <c r="AM53" s="7">
        <v>0</v>
      </c>
      <c r="AN53" s="14">
        <f t="shared" si="12"/>
        <v>0</v>
      </c>
      <c r="AO53" s="7">
        <v>0</v>
      </c>
      <c r="AP53" s="7">
        <v>0</v>
      </c>
      <c r="AQ53" s="14">
        <f t="shared" si="13"/>
        <v>0</v>
      </c>
      <c r="AR53" s="7">
        <v>0</v>
      </c>
      <c r="AS53" s="7">
        <v>0</v>
      </c>
      <c r="AT53" s="14">
        <f t="shared" si="14"/>
        <v>0</v>
      </c>
      <c r="AU53" s="7">
        <v>0</v>
      </c>
      <c r="AV53" s="7">
        <v>0</v>
      </c>
      <c r="AW53" s="14">
        <f t="shared" si="15"/>
        <v>0</v>
      </c>
      <c r="AX53" s="7">
        <v>0</v>
      </c>
      <c r="AY53" s="7">
        <v>0</v>
      </c>
      <c r="AZ53" s="14">
        <f t="shared" si="16"/>
        <v>0</v>
      </c>
      <c r="BA53" s="7">
        <v>0</v>
      </c>
      <c r="BB53" s="7">
        <v>0</v>
      </c>
      <c r="BC53" s="14">
        <f t="shared" si="17"/>
        <v>0</v>
      </c>
      <c r="BD53" s="7">
        <v>0</v>
      </c>
      <c r="BE53" s="7">
        <v>0</v>
      </c>
      <c r="BF53" s="14">
        <f t="shared" si="18"/>
        <v>0</v>
      </c>
      <c r="BG53" s="7">
        <v>0</v>
      </c>
      <c r="BH53" s="7">
        <v>0</v>
      </c>
      <c r="BI53" s="14">
        <f t="shared" si="19"/>
        <v>0</v>
      </c>
      <c r="BJ53" s="7">
        <v>0</v>
      </c>
      <c r="BK53" s="7">
        <v>0</v>
      </c>
      <c r="BL53" s="14">
        <f t="shared" si="20"/>
        <v>0</v>
      </c>
      <c r="BM53" s="7">
        <v>0</v>
      </c>
      <c r="BN53" s="7">
        <v>0</v>
      </c>
      <c r="BO53" s="14">
        <f t="shared" si="21"/>
        <v>0</v>
      </c>
      <c r="BP53" s="7">
        <v>0</v>
      </c>
      <c r="BQ53" s="7">
        <v>0</v>
      </c>
      <c r="BR53" s="14">
        <f t="shared" si="22"/>
        <v>0</v>
      </c>
      <c r="BS53" s="7">
        <v>0</v>
      </c>
      <c r="BT53" s="7">
        <v>0</v>
      </c>
      <c r="BU53" s="14">
        <f t="shared" si="23"/>
        <v>0</v>
      </c>
      <c r="BV53" s="11">
        <v>0</v>
      </c>
      <c r="BW53" s="11">
        <v>0</v>
      </c>
      <c r="BX53" s="15">
        <f t="shared" si="24"/>
        <v>0</v>
      </c>
    </row>
    <row r="54" spans="1:76" x14ac:dyDescent="0.2">
      <c r="A54" s="21" t="s">
        <v>128</v>
      </c>
      <c r="B54" s="7">
        <v>0</v>
      </c>
      <c r="C54" s="7">
        <v>0</v>
      </c>
      <c r="D54" s="7">
        <v>0</v>
      </c>
      <c r="E54" s="8">
        <f t="shared" si="0"/>
        <v>0</v>
      </c>
      <c r="F54" s="7">
        <v>0</v>
      </c>
      <c r="G54" s="7">
        <v>0</v>
      </c>
      <c r="H54" s="8">
        <f t="shared" si="1"/>
        <v>0</v>
      </c>
      <c r="I54" s="7">
        <v>0</v>
      </c>
      <c r="J54" s="7">
        <v>0</v>
      </c>
      <c r="K54" s="8">
        <f t="shared" si="2"/>
        <v>0</v>
      </c>
      <c r="L54" s="9">
        <v>0</v>
      </c>
      <c r="M54" s="19">
        <v>0</v>
      </c>
      <c r="N54" s="9">
        <f t="shared" si="3"/>
        <v>0</v>
      </c>
      <c r="O54" s="9">
        <v>0</v>
      </c>
      <c r="P54" s="9">
        <v>0</v>
      </c>
      <c r="Q54" s="9">
        <f t="shared" si="4"/>
        <v>0</v>
      </c>
      <c r="R54" s="9">
        <v>0</v>
      </c>
      <c r="S54" s="9">
        <v>0</v>
      </c>
      <c r="T54" s="9">
        <f t="shared" si="5"/>
        <v>0</v>
      </c>
      <c r="U54" s="9">
        <v>0</v>
      </c>
      <c r="V54" s="9">
        <f t="shared" si="6"/>
        <v>0</v>
      </c>
      <c r="W54" s="9">
        <v>0</v>
      </c>
      <c r="X54" s="9">
        <v>0</v>
      </c>
      <c r="Y54" s="9">
        <f t="shared" si="7"/>
        <v>0</v>
      </c>
      <c r="Z54" s="9">
        <v>0</v>
      </c>
      <c r="AA54" s="9">
        <f t="shared" si="8"/>
        <v>0</v>
      </c>
      <c r="AB54" s="9">
        <v>0</v>
      </c>
      <c r="AC54" s="9">
        <v>0</v>
      </c>
      <c r="AD54" s="9">
        <f t="shared" si="9"/>
        <v>0</v>
      </c>
      <c r="AE54" s="9">
        <v>0</v>
      </c>
      <c r="AF54" s="9">
        <f t="shared" si="10"/>
        <v>0</v>
      </c>
      <c r="AG54" s="9">
        <v>0</v>
      </c>
      <c r="AH54" s="9">
        <f t="shared" si="25"/>
        <v>0</v>
      </c>
      <c r="AI54" s="7">
        <v>0</v>
      </c>
      <c r="AJ54" s="7">
        <v>0</v>
      </c>
      <c r="AK54" s="14">
        <f t="shared" si="11"/>
        <v>0</v>
      </c>
      <c r="AL54" s="7">
        <v>0</v>
      </c>
      <c r="AM54" s="7">
        <v>0</v>
      </c>
      <c r="AN54" s="14">
        <f t="shared" si="12"/>
        <v>0</v>
      </c>
      <c r="AO54" s="7">
        <v>0</v>
      </c>
      <c r="AP54" s="7">
        <v>0</v>
      </c>
      <c r="AQ54" s="14">
        <f t="shared" si="13"/>
        <v>0</v>
      </c>
      <c r="AR54" s="7">
        <v>0</v>
      </c>
      <c r="AS54" s="7">
        <v>0</v>
      </c>
      <c r="AT54" s="14">
        <f t="shared" si="14"/>
        <v>0</v>
      </c>
      <c r="AU54" s="7">
        <v>0</v>
      </c>
      <c r="AV54" s="7">
        <v>0</v>
      </c>
      <c r="AW54" s="14">
        <f t="shared" si="15"/>
        <v>0</v>
      </c>
      <c r="AX54" s="7">
        <v>0</v>
      </c>
      <c r="AY54" s="7">
        <v>0</v>
      </c>
      <c r="AZ54" s="14">
        <f t="shared" si="16"/>
        <v>0</v>
      </c>
      <c r="BA54" s="7">
        <v>0</v>
      </c>
      <c r="BB54" s="7">
        <v>0</v>
      </c>
      <c r="BC54" s="14">
        <f t="shared" si="17"/>
        <v>0</v>
      </c>
      <c r="BD54" s="7">
        <v>0</v>
      </c>
      <c r="BE54" s="7">
        <v>0</v>
      </c>
      <c r="BF54" s="14">
        <f t="shared" si="18"/>
        <v>0</v>
      </c>
      <c r="BG54" s="7">
        <v>0</v>
      </c>
      <c r="BH54" s="7">
        <v>0</v>
      </c>
      <c r="BI54" s="14">
        <f t="shared" si="19"/>
        <v>0</v>
      </c>
      <c r="BJ54" s="7">
        <v>0</v>
      </c>
      <c r="BK54" s="7">
        <v>0</v>
      </c>
      <c r="BL54" s="14">
        <f t="shared" si="20"/>
        <v>0</v>
      </c>
      <c r="BM54" s="7">
        <v>0</v>
      </c>
      <c r="BN54" s="7">
        <v>0</v>
      </c>
      <c r="BO54" s="14">
        <f t="shared" si="21"/>
        <v>0</v>
      </c>
      <c r="BP54" s="7">
        <v>0</v>
      </c>
      <c r="BQ54" s="7">
        <v>0</v>
      </c>
      <c r="BR54" s="14">
        <f t="shared" si="22"/>
        <v>0</v>
      </c>
      <c r="BS54" s="7">
        <v>0</v>
      </c>
      <c r="BT54" s="7">
        <v>0</v>
      </c>
      <c r="BU54" s="14">
        <f t="shared" si="23"/>
        <v>0</v>
      </c>
      <c r="BV54" s="11">
        <v>0</v>
      </c>
      <c r="BW54" s="11">
        <v>0</v>
      </c>
      <c r="BX54" s="15">
        <f t="shared" si="24"/>
        <v>0</v>
      </c>
    </row>
    <row r="55" spans="1:76" x14ac:dyDescent="0.2">
      <c r="A55" s="21" t="s">
        <v>129</v>
      </c>
      <c r="B55" s="7">
        <v>1</v>
      </c>
      <c r="C55" s="7">
        <v>0</v>
      </c>
      <c r="D55" s="7">
        <v>0</v>
      </c>
      <c r="E55" s="8">
        <f t="shared" si="0"/>
        <v>1</v>
      </c>
      <c r="F55" s="7">
        <v>0</v>
      </c>
      <c r="G55" s="7">
        <v>0</v>
      </c>
      <c r="H55" s="8">
        <f t="shared" si="1"/>
        <v>1</v>
      </c>
      <c r="I55" s="7">
        <v>0</v>
      </c>
      <c r="J55" s="7">
        <v>0</v>
      </c>
      <c r="K55" s="8">
        <f t="shared" si="2"/>
        <v>1</v>
      </c>
      <c r="L55" s="9">
        <v>0</v>
      </c>
      <c r="M55" s="19">
        <v>0</v>
      </c>
      <c r="N55" s="9">
        <f t="shared" si="3"/>
        <v>1</v>
      </c>
      <c r="O55" s="9">
        <v>0</v>
      </c>
      <c r="P55" s="9">
        <v>0</v>
      </c>
      <c r="Q55" s="9">
        <f t="shared" si="4"/>
        <v>1</v>
      </c>
      <c r="R55" s="9">
        <v>0</v>
      </c>
      <c r="S55" s="9">
        <v>0</v>
      </c>
      <c r="T55" s="9">
        <f t="shared" si="5"/>
        <v>1</v>
      </c>
      <c r="U55" s="9">
        <v>0</v>
      </c>
      <c r="V55" s="9">
        <f t="shared" si="6"/>
        <v>1</v>
      </c>
      <c r="W55" s="9">
        <v>0</v>
      </c>
      <c r="X55" s="9">
        <v>0</v>
      </c>
      <c r="Y55" s="9">
        <f t="shared" si="7"/>
        <v>1</v>
      </c>
      <c r="Z55" s="9">
        <v>0</v>
      </c>
      <c r="AA55" s="9">
        <f t="shared" si="8"/>
        <v>1</v>
      </c>
      <c r="AB55" s="9">
        <v>0</v>
      </c>
      <c r="AC55" s="9">
        <v>0</v>
      </c>
      <c r="AD55" s="9">
        <f t="shared" si="9"/>
        <v>1</v>
      </c>
      <c r="AE55" s="9">
        <v>0</v>
      </c>
      <c r="AF55" s="9">
        <f t="shared" si="10"/>
        <v>1</v>
      </c>
      <c r="AG55" s="9">
        <v>0</v>
      </c>
      <c r="AH55" s="9">
        <f t="shared" si="25"/>
        <v>1</v>
      </c>
      <c r="AI55" s="7">
        <v>0</v>
      </c>
      <c r="AJ55" s="7">
        <v>0</v>
      </c>
      <c r="AK55" s="14">
        <f t="shared" si="11"/>
        <v>1</v>
      </c>
      <c r="AL55" s="7">
        <v>0</v>
      </c>
      <c r="AM55" s="7">
        <v>0</v>
      </c>
      <c r="AN55" s="14">
        <f t="shared" si="12"/>
        <v>1</v>
      </c>
      <c r="AO55" s="7">
        <v>0</v>
      </c>
      <c r="AP55" s="7">
        <v>0</v>
      </c>
      <c r="AQ55" s="14">
        <f t="shared" si="13"/>
        <v>1</v>
      </c>
      <c r="AR55" s="7">
        <v>0</v>
      </c>
      <c r="AS55" s="7">
        <v>0</v>
      </c>
      <c r="AT55" s="14">
        <f t="shared" si="14"/>
        <v>1</v>
      </c>
      <c r="AU55" s="7">
        <v>0</v>
      </c>
      <c r="AV55" s="7">
        <v>0</v>
      </c>
      <c r="AW55" s="14">
        <f t="shared" si="15"/>
        <v>1</v>
      </c>
      <c r="AX55" s="7">
        <v>0</v>
      </c>
      <c r="AY55" s="7">
        <v>0</v>
      </c>
      <c r="AZ55" s="14">
        <f t="shared" si="16"/>
        <v>1</v>
      </c>
      <c r="BA55" s="7">
        <v>0</v>
      </c>
      <c r="BB55" s="7">
        <v>0</v>
      </c>
      <c r="BC55" s="14">
        <f t="shared" si="17"/>
        <v>1</v>
      </c>
      <c r="BD55" s="7">
        <v>0</v>
      </c>
      <c r="BE55" s="7">
        <v>0</v>
      </c>
      <c r="BF55" s="14">
        <f t="shared" si="18"/>
        <v>1</v>
      </c>
      <c r="BG55" s="7">
        <v>0</v>
      </c>
      <c r="BH55" s="7">
        <v>0</v>
      </c>
      <c r="BI55" s="14">
        <f t="shared" si="19"/>
        <v>1</v>
      </c>
      <c r="BJ55" s="7">
        <v>0</v>
      </c>
      <c r="BK55" s="7">
        <v>0</v>
      </c>
      <c r="BL55" s="14">
        <f t="shared" si="20"/>
        <v>1</v>
      </c>
      <c r="BM55" s="7">
        <v>0</v>
      </c>
      <c r="BN55" s="7">
        <v>0</v>
      </c>
      <c r="BO55" s="14">
        <f t="shared" si="21"/>
        <v>1</v>
      </c>
      <c r="BP55" s="7">
        <v>0</v>
      </c>
      <c r="BQ55" s="7">
        <v>0</v>
      </c>
      <c r="BR55" s="14">
        <f t="shared" si="22"/>
        <v>1</v>
      </c>
      <c r="BS55" s="7">
        <v>0</v>
      </c>
      <c r="BT55" s="7">
        <v>0</v>
      </c>
      <c r="BU55" s="14">
        <f t="shared" si="23"/>
        <v>1</v>
      </c>
      <c r="BV55" s="11">
        <v>0</v>
      </c>
      <c r="BW55" s="11">
        <v>0</v>
      </c>
      <c r="BX55" s="15">
        <f t="shared" si="24"/>
        <v>1</v>
      </c>
    </row>
    <row r="56" spans="1:76" x14ac:dyDescent="0.2">
      <c r="A56" s="22" t="s">
        <v>130</v>
      </c>
      <c r="M56" s="22">
        <v>4</v>
      </c>
      <c r="N56" s="22">
        <v>0</v>
      </c>
      <c r="O56" s="9">
        <v>0</v>
      </c>
      <c r="P56" s="9">
        <v>0</v>
      </c>
      <c r="Q56" s="22">
        <v>0</v>
      </c>
      <c r="R56" s="9">
        <v>0</v>
      </c>
      <c r="S56" s="9">
        <v>0</v>
      </c>
      <c r="T56" s="9">
        <f t="shared" si="5"/>
        <v>0</v>
      </c>
      <c r="U56" s="9">
        <v>0</v>
      </c>
      <c r="V56" s="9">
        <f t="shared" si="6"/>
        <v>0</v>
      </c>
      <c r="W56" s="9">
        <v>0</v>
      </c>
      <c r="X56" s="9">
        <v>0</v>
      </c>
      <c r="Y56" s="9">
        <f t="shared" si="7"/>
        <v>0</v>
      </c>
      <c r="Z56" s="9">
        <v>0</v>
      </c>
      <c r="AA56" s="9">
        <f t="shared" si="8"/>
        <v>0</v>
      </c>
      <c r="AB56" s="9">
        <v>0</v>
      </c>
      <c r="AC56" s="9">
        <v>0</v>
      </c>
      <c r="AD56" s="9">
        <f t="shared" si="9"/>
        <v>0</v>
      </c>
      <c r="AE56" s="9">
        <v>0</v>
      </c>
      <c r="AF56" s="9">
        <f t="shared" si="10"/>
        <v>0</v>
      </c>
      <c r="AG56" s="9">
        <v>0</v>
      </c>
      <c r="AH56" s="9">
        <f t="shared" si="25"/>
        <v>0</v>
      </c>
      <c r="AR56" s="7"/>
      <c r="AS56" s="7"/>
      <c r="AU56" s="7"/>
      <c r="AV56" s="7"/>
      <c r="AX56" s="7"/>
      <c r="AY56" s="7"/>
      <c r="BA56" s="7"/>
      <c r="BB56" s="7"/>
      <c r="BD56" s="7"/>
      <c r="BE56" s="7"/>
      <c r="BG56" s="7"/>
      <c r="BH56" s="7"/>
      <c r="BJ56" s="7"/>
      <c r="BK56" s="7"/>
      <c r="BM56" s="7"/>
      <c r="BN56" s="7"/>
      <c r="BP56" s="7"/>
      <c r="BQ56" s="7"/>
      <c r="BS56" s="7"/>
      <c r="BT56" s="7"/>
      <c r="BV56" s="8"/>
      <c r="BW56" s="8"/>
      <c r="BX56" s="23"/>
    </row>
    <row r="57" spans="1:76" x14ac:dyDescent="0.2">
      <c r="BV57" s="23"/>
      <c r="BW57" s="23"/>
      <c r="BX57" s="23"/>
    </row>
    <row r="58" spans="1:76" x14ac:dyDescent="0.2">
      <c r="BV58" s="23"/>
      <c r="BW58" s="23"/>
      <c r="BX58" s="23"/>
    </row>
    <row r="59" spans="1:76" x14ac:dyDescent="0.2">
      <c r="BV59" s="23"/>
      <c r="BW59" s="23"/>
      <c r="BX59" s="23"/>
    </row>
    <row r="60" spans="1:76" x14ac:dyDescent="0.2">
      <c r="BV60" s="23"/>
      <c r="BW60" s="23"/>
      <c r="BX60" s="23"/>
    </row>
    <row r="61" spans="1:76" x14ac:dyDescent="0.2">
      <c r="BV61" s="23"/>
      <c r="BW61" s="23"/>
      <c r="BX61" s="23"/>
    </row>
    <row r="62" spans="1:76" x14ac:dyDescent="0.2">
      <c r="BV62" s="23"/>
      <c r="BW62" s="23"/>
      <c r="BX62" s="23"/>
    </row>
    <row r="63" spans="1:76" x14ac:dyDescent="0.2">
      <c r="BV63" s="23"/>
      <c r="BW63" s="23"/>
      <c r="BX63" s="23"/>
    </row>
    <row r="64" spans="1:76" x14ac:dyDescent="0.2">
      <c r="BV64" s="23"/>
      <c r="BW64" s="23"/>
      <c r="BX64" s="23"/>
    </row>
    <row r="65" spans="74:76" x14ac:dyDescent="0.2">
      <c r="BV65" s="23"/>
      <c r="BW65" s="23"/>
      <c r="BX65" s="23"/>
    </row>
    <row r="66" spans="74:76" x14ac:dyDescent="0.2">
      <c r="BV66" s="23"/>
      <c r="BW66" s="23"/>
      <c r="BX66" s="23"/>
    </row>
    <row r="67" spans="74:76" x14ac:dyDescent="0.2">
      <c r="BV67" s="23"/>
      <c r="BW67" s="23"/>
      <c r="BX67" s="23"/>
    </row>
    <row r="68" spans="74:76" x14ac:dyDescent="0.2">
      <c r="BV68" s="23"/>
      <c r="BW68" s="23"/>
      <c r="BX68" s="23"/>
    </row>
    <row r="69" spans="74:76" x14ac:dyDescent="0.2">
      <c r="BV69" s="23"/>
      <c r="BW69" s="23"/>
      <c r="BX69" s="23"/>
    </row>
    <row r="70" spans="74:76" x14ac:dyDescent="0.2">
      <c r="BV70" s="23"/>
      <c r="BW70" s="23"/>
      <c r="BX70" s="23"/>
    </row>
    <row r="71" spans="74:76" x14ac:dyDescent="0.2">
      <c r="BV71" s="23"/>
      <c r="BW71" s="23"/>
      <c r="BX71" s="23"/>
    </row>
    <row r="72" spans="74:76" x14ac:dyDescent="0.2">
      <c r="BV72" s="23"/>
      <c r="BW72" s="23"/>
      <c r="BX72" s="23"/>
    </row>
    <row r="73" spans="74:76" x14ac:dyDescent="0.2">
      <c r="BV73" s="23"/>
      <c r="BW73" s="23"/>
      <c r="BX73" s="23"/>
    </row>
    <row r="74" spans="74:76" x14ac:dyDescent="0.2">
      <c r="BV74" s="23"/>
      <c r="BW74" s="23"/>
      <c r="BX74" s="23"/>
    </row>
    <row r="75" spans="74:76" x14ac:dyDescent="0.2">
      <c r="BV75" s="23"/>
      <c r="BW75" s="23"/>
      <c r="BX75" s="23"/>
    </row>
    <row r="76" spans="74:76" x14ac:dyDescent="0.2">
      <c r="BV76" s="23"/>
      <c r="BW76" s="23"/>
      <c r="BX76" s="23"/>
    </row>
    <row r="77" spans="74:76" x14ac:dyDescent="0.2">
      <c r="BV77" s="23"/>
      <c r="BW77" s="23"/>
      <c r="BX77" s="23"/>
    </row>
    <row r="78" spans="74:76" x14ac:dyDescent="0.2">
      <c r="BV78" s="23"/>
      <c r="BW78" s="23"/>
      <c r="BX78" s="23"/>
    </row>
    <row r="79" spans="74:76" x14ac:dyDescent="0.2">
      <c r="BV79" s="23"/>
      <c r="BW79" s="23"/>
      <c r="BX79" s="23"/>
    </row>
    <row r="80" spans="74:76" x14ac:dyDescent="0.2">
      <c r="BV80" s="23"/>
      <c r="BW80" s="23"/>
      <c r="BX80" s="23"/>
    </row>
    <row r="81" spans="74:76" x14ac:dyDescent="0.2">
      <c r="BV81" s="23"/>
      <c r="BW81" s="23"/>
      <c r="BX81" s="23"/>
    </row>
    <row r="82" spans="74:76" x14ac:dyDescent="0.2">
      <c r="BV82" s="23"/>
      <c r="BW82" s="23"/>
      <c r="BX82" s="23"/>
    </row>
    <row r="83" spans="74:76" x14ac:dyDescent="0.2">
      <c r="BV83" s="23"/>
      <c r="BW83" s="23"/>
      <c r="BX83" s="23"/>
    </row>
    <row r="84" spans="74:76" x14ac:dyDescent="0.2">
      <c r="BV84" s="23"/>
      <c r="BW84" s="23"/>
      <c r="BX84" s="23"/>
    </row>
    <row r="85" spans="74:76" x14ac:dyDescent="0.2">
      <c r="BV85" s="23"/>
      <c r="BW85" s="23"/>
      <c r="BX85" s="23"/>
    </row>
    <row r="86" spans="74:76" x14ac:dyDescent="0.2">
      <c r="BV86" s="23"/>
      <c r="BW86" s="23"/>
      <c r="BX86" s="23"/>
    </row>
    <row r="87" spans="74:76" x14ac:dyDescent="0.2">
      <c r="BV87" s="23"/>
      <c r="BW87" s="23"/>
      <c r="BX87" s="23"/>
    </row>
    <row r="88" spans="74:76" x14ac:dyDescent="0.2">
      <c r="BV88" s="23"/>
      <c r="BW88" s="23"/>
      <c r="BX88" s="23"/>
    </row>
    <row r="89" spans="74:76" x14ac:dyDescent="0.2">
      <c r="BV89" s="23"/>
      <c r="BW89" s="23"/>
      <c r="BX89" s="23"/>
    </row>
    <row r="90" spans="74:76" x14ac:dyDescent="0.2">
      <c r="BV90" s="23"/>
      <c r="BW90" s="23"/>
      <c r="BX90" s="23"/>
    </row>
    <row r="91" spans="74:76" x14ac:dyDescent="0.2">
      <c r="BV91" s="23"/>
      <c r="BW91" s="23"/>
      <c r="BX91" s="23"/>
    </row>
    <row r="92" spans="74:76" x14ac:dyDescent="0.2">
      <c r="BV92" s="23"/>
      <c r="BW92" s="23"/>
      <c r="BX92" s="23"/>
    </row>
    <row r="93" spans="74:76" x14ac:dyDescent="0.2">
      <c r="BV93" s="23"/>
      <c r="BW93" s="23"/>
      <c r="BX93" s="23"/>
    </row>
    <row r="94" spans="74:76" x14ac:dyDescent="0.2">
      <c r="BV94" s="23"/>
      <c r="BW94" s="23"/>
      <c r="BX94" s="23"/>
    </row>
    <row r="95" spans="74:76" x14ac:dyDescent="0.2">
      <c r="BV95" s="23"/>
      <c r="BW95" s="23"/>
      <c r="BX95" s="23"/>
    </row>
    <row r="96" spans="74:76" x14ac:dyDescent="0.2">
      <c r="BV96" s="23"/>
      <c r="BW96" s="23"/>
      <c r="BX96" s="23"/>
    </row>
    <row r="97" spans="74:76" x14ac:dyDescent="0.2">
      <c r="BV97" s="23"/>
      <c r="BW97" s="23"/>
      <c r="BX97" s="23"/>
    </row>
    <row r="98" spans="74:76" x14ac:dyDescent="0.2">
      <c r="BV98" s="23"/>
      <c r="BW98" s="23"/>
      <c r="BX98" s="23"/>
    </row>
    <row r="99" spans="74:76" x14ac:dyDescent="0.2">
      <c r="BV99" s="23"/>
      <c r="BW99" s="23"/>
      <c r="BX99" s="23"/>
    </row>
    <row r="100" spans="74:76" x14ac:dyDescent="0.2">
      <c r="BV100" s="23"/>
      <c r="BW100" s="23"/>
      <c r="BX100" s="23"/>
    </row>
    <row r="101" spans="74:76" x14ac:dyDescent="0.2">
      <c r="BV101" s="23"/>
      <c r="BW101" s="23"/>
      <c r="BX101" s="23"/>
    </row>
    <row r="102" spans="74:76" x14ac:dyDescent="0.2">
      <c r="BV102" s="23"/>
      <c r="BW102" s="23"/>
      <c r="BX102" s="23"/>
    </row>
    <row r="103" spans="74:76" x14ac:dyDescent="0.2">
      <c r="BV103" s="23"/>
      <c r="BW103" s="23"/>
      <c r="BX103" s="23"/>
    </row>
    <row r="104" spans="74:76" x14ac:dyDescent="0.2">
      <c r="BV104" s="23"/>
      <c r="BW104" s="23"/>
      <c r="BX104" s="23"/>
    </row>
    <row r="105" spans="74:76" x14ac:dyDescent="0.2">
      <c r="BV105" s="23"/>
      <c r="BW105" s="23"/>
      <c r="BX105" s="23"/>
    </row>
    <row r="106" spans="74:76" x14ac:dyDescent="0.2">
      <c r="BV106" s="23"/>
      <c r="BW106" s="23"/>
      <c r="BX106" s="23"/>
    </row>
    <row r="107" spans="74:76" x14ac:dyDescent="0.2">
      <c r="BV107" s="23"/>
      <c r="BW107" s="23"/>
      <c r="BX107" s="23"/>
    </row>
    <row r="108" spans="74:76" x14ac:dyDescent="0.2">
      <c r="BV108" s="23"/>
      <c r="BW108" s="23"/>
      <c r="BX108" s="23"/>
    </row>
    <row r="109" spans="74:76" x14ac:dyDescent="0.2">
      <c r="BV109" s="23"/>
      <c r="BW109" s="23"/>
      <c r="BX109" s="23"/>
    </row>
    <row r="110" spans="74:76" x14ac:dyDescent="0.2">
      <c r="BV110" s="23"/>
      <c r="BW110" s="23"/>
      <c r="BX110" s="23"/>
    </row>
    <row r="111" spans="74:76" x14ac:dyDescent="0.2">
      <c r="BV111" s="23"/>
      <c r="BW111" s="23"/>
      <c r="BX111" s="23"/>
    </row>
    <row r="112" spans="74:76" x14ac:dyDescent="0.2">
      <c r="BV112" s="23"/>
      <c r="BW112" s="23"/>
      <c r="BX112" s="23"/>
    </row>
    <row r="113" spans="74:76" x14ac:dyDescent="0.2">
      <c r="BV113" s="23"/>
      <c r="BW113" s="23"/>
      <c r="BX113" s="23"/>
    </row>
    <row r="114" spans="74:76" x14ac:dyDescent="0.2">
      <c r="BV114" s="23"/>
      <c r="BW114" s="23"/>
      <c r="BX114" s="23"/>
    </row>
    <row r="115" spans="74:76" x14ac:dyDescent="0.2">
      <c r="BV115" s="23"/>
      <c r="BW115" s="23"/>
      <c r="BX115" s="23"/>
    </row>
    <row r="116" spans="74:76" x14ac:dyDescent="0.2">
      <c r="BV116" s="23"/>
      <c r="BW116" s="23"/>
      <c r="BX116" s="23"/>
    </row>
    <row r="117" spans="74:76" x14ac:dyDescent="0.2">
      <c r="BV117" s="23"/>
      <c r="BW117" s="23"/>
      <c r="BX117" s="23"/>
    </row>
    <row r="118" spans="74:76" x14ac:dyDescent="0.2">
      <c r="BV118" s="23"/>
      <c r="BW118" s="23"/>
      <c r="BX118" s="23"/>
    </row>
    <row r="119" spans="74:76" x14ac:dyDescent="0.2">
      <c r="BV119" s="23"/>
      <c r="BW119" s="23"/>
      <c r="BX119" s="23"/>
    </row>
    <row r="120" spans="74:76" x14ac:dyDescent="0.2">
      <c r="BV120" s="23"/>
      <c r="BW120" s="23"/>
      <c r="BX120" s="23"/>
    </row>
    <row r="121" spans="74:76" x14ac:dyDescent="0.2">
      <c r="BV121" s="23"/>
      <c r="BW121" s="23"/>
      <c r="BX121" s="23"/>
    </row>
    <row r="122" spans="74:76" x14ac:dyDescent="0.2">
      <c r="BV122" s="23"/>
      <c r="BW122" s="23"/>
      <c r="BX122" s="23"/>
    </row>
    <row r="123" spans="74:76" x14ac:dyDescent="0.2">
      <c r="BV123" s="23"/>
      <c r="BW123" s="23"/>
      <c r="BX123" s="23"/>
    </row>
    <row r="124" spans="74:76" x14ac:dyDescent="0.2">
      <c r="BV124" s="23"/>
      <c r="BW124" s="23"/>
      <c r="BX124" s="23"/>
    </row>
    <row r="125" spans="74:76" x14ac:dyDescent="0.2">
      <c r="BV125" s="23"/>
      <c r="BW125" s="23"/>
      <c r="BX125" s="23"/>
    </row>
    <row r="126" spans="74:76" x14ac:dyDescent="0.2">
      <c r="BV126" s="23"/>
      <c r="BW126" s="23"/>
      <c r="BX126" s="23"/>
    </row>
    <row r="127" spans="74:76" x14ac:dyDescent="0.2">
      <c r="BV127" s="23"/>
      <c r="BW127" s="23"/>
      <c r="BX127" s="23"/>
    </row>
    <row r="128" spans="74:76" x14ac:dyDescent="0.2">
      <c r="BV128" s="23"/>
      <c r="BW128" s="23"/>
      <c r="BX128" s="23"/>
    </row>
    <row r="129" spans="74:76" x14ac:dyDescent="0.2">
      <c r="BV129" s="23"/>
      <c r="BW129" s="23"/>
      <c r="BX129" s="23"/>
    </row>
    <row r="130" spans="74:76" x14ac:dyDescent="0.2">
      <c r="BV130" s="23"/>
      <c r="BW130" s="23"/>
      <c r="BX130" s="23"/>
    </row>
    <row r="131" spans="74:76" x14ac:dyDescent="0.2">
      <c r="BV131" s="23"/>
      <c r="BW131" s="23"/>
      <c r="BX131" s="23"/>
    </row>
    <row r="132" spans="74:76" x14ac:dyDescent="0.2">
      <c r="BV132" s="23"/>
      <c r="BW132" s="23"/>
      <c r="BX132" s="23"/>
    </row>
    <row r="133" spans="74:76" x14ac:dyDescent="0.2">
      <c r="BV133" s="23"/>
      <c r="BW133" s="23"/>
      <c r="BX133" s="23"/>
    </row>
    <row r="134" spans="74:76" x14ac:dyDescent="0.2">
      <c r="BV134" s="23"/>
      <c r="BW134" s="23"/>
      <c r="BX134" s="23"/>
    </row>
    <row r="135" spans="74:76" x14ac:dyDescent="0.2">
      <c r="BV135" s="23"/>
      <c r="BW135" s="23"/>
      <c r="BX135" s="23"/>
    </row>
    <row r="136" spans="74:76" x14ac:dyDescent="0.2">
      <c r="BV136" s="23"/>
      <c r="BW136" s="23"/>
      <c r="BX136" s="23"/>
    </row>
    <row r="137" spans="74:76" x14ac:dyDescent="0.2">
      <c r="BV137" s="23"/>
      <c r="BW137" s="23"/>
      <c r="BX137" s="23"/>
    </row>
    <row r="138" spans="74:76" x14ac:dyDescent="0.2">
      <c r="BV138" s="23"/>
      <c r="BW138" s="23"/>
      <c r="BX138" s="23"/>
    </row>
    <row r="139" spans="74:76" x14ac:dyDescent="0.2">
      <c r="BV139" s="23"/>
      <c r="BW139" s="23"/>
      <c r="BX139" s="23"/>
    </row>
    <row r="140" spans="74:76" x14ac:dyDescent="0.2">
      <c r="BV140" s="23"/>
      <c r="BW140" s="23"/>
      <c r="BX140" s="23"/>
    </row>
    <row r="141" spans="74:76" x14ac:dyDescent="0.2">
      <c r="BV141" s="23"/>
      <c r="BW141" s="23"/>
      <c r="BX141" s="23"/>
    </row>
    <row r="142" spans="74:76" x14ac:dyDescent="0.2">
      <c r="BV142" s="23"/>
      <c r="BW142" s="23"/>
      <c r="BX142" s="23"/>
    </row>
    <row r="143" spans="74:76" x14ac:dyDescent="0.2">
      <c r="BV143" s="23"/>
      <c r="BW143" s="23"/>
      <c r="BX143" s="23"/>
    </row>
    <row r="144" spans="74:76" x14ac:dyDescent="0.2">
      <c r="BV144" s="23"/>
      <c r="BW144" s="23"/>
      <c r="BX144" s="23"/>
    </row>
    <row r="145" spans="74:76" x14ac:dyDescent="0.2">
      <c r="BV145" s="23"/>
      <c r="BW145" s="23"/>
      <c r="BX145" s="23"/>
    </row>
    <row r="146" spans="74:76" x14ac:dyDescent="0.2">
      <c r="BV146" s="23"/>
      <c r="BW146" s="23"/>
      <c r="BX146" s="23"/>
    </row>
    <row r="147" spans="74:76" x14ac:dyDescent="0.2">
      <c r="BV147" s="23"/>
      <c r="BW147" s="23"/>
      <c r="BX147" s="23"/>
    </row>
    <row r="148" spans="74:76" x14ac:dyDescent="0.2">
      <c r="BV148" s="23"/>
      <c r="BW148" s="23"/>
      <c r="BX148" s="23"/>
    </row>
    <row r="149" spans="74:76" x14ac:dyDescent="0.2">
      <c r="BV149" s="23"/>
      <c r="BW149" s="23"/>
      <c r="BX149" s="23"/>
    </row>
    <row r="150" spans="74:76" x14ac:dyDescent="0.2">
      <c r="BV150" s="23"/>
      <c r="BW150" s="23"/>
      <c r="BX150" s="23"/>
    </row>
    <row r="151" spans="74:76" x14ac:dyDescent="0.2">
      <c r="BV151" s="23"/>
      <c r="BW151" s="23"/>
      <c r="BX151" s="23"/>
    </row>
    <row r="152" spans="74:76" x14ac:dyDescent="0.2">
      <c r="BV152" s="23"/>
      <c r="BW152" s="23"/>
      <c r="BX152" s="23"/>
    </row>
    <row r="153" spans="74:76" x14ac:dyDescent="0.2">
      <c r="BV153" s="23"/>
      <c r="BW153" s="23"/>
      <c r="BX153" s="23"/>
    </row>
    <row r="154" spans="74:76" x14ac:dyDescent="0.2">
      <c r="BV154" s="23"/>
      <c r="BW154" s="23"/>
      <c r="BX154" s="23"/>
    </row>
    <row r="155" spans="74:76" x14ac:dyDescent="0.2">
      <c r="BV155" s="23"/>
      <c r="BW155" s="23"/>
      <c r="BX155" s="23"/>
    </row>
    <row r="156" spans="74:76" x14ac:dyDescent="0.2">
      <c r="BV156" s="23"/>
      <c r="BW156" s="23"/>
      <c r="BX156" s="23"/>
    </row>
    <row r="157" spans="74:76" x14ac:dyDescent="0.2">
      <c r="BV157" s="23"/>
      <c r="BW157" s="23"/>
      <c r="BX157" s="23"/>
    </row>
    <row r="158" spans="74:76" x14ac:dyDescent="0.2">
      <c r="BV158" s="23"/>
      <c r="BW158" s="23"/>
      <c r="BX158" s="23"/>
    </row>
    <row r="159" spans="74:76" x14ac:dyDescent="0.2">
      <c r="BV159" s="23"/>
      <c r="BW159" s="23"/>
      <c r="BX159" s="23"/>
    </row>
    <row r="160" spans="74:76" x14ac:dyDescent="0.2">
      <c r="BV160" s="23"/>
      <c r="BW160" s="23"/>
      <c r="BX160" s="23"/>
    </row>
    <row r="161" spans="74:76" x14ac:dyDescent="0.2">
      <c r="BV161" s="23"/>
      <c r="BW161" s="23"/>
      <c r="BX161" s="23"/>
    </row>
    <row r="162" spans="74:76" x14ac:dyDescent="0.2">
      <c r="BV162" s="23"/>
      <c r="BW162" s="23"/>
      <c r="BX162" s="23"/>
    </row>
    <row r="163" spans="74:76" x14ac:dyDescent="0.2">
      <c r="BV163" s="23"/>
      <c r="BW163" s="23"/>
      <c r="BX163" s="23"/>
    </row>
    <row r="164" spans="74:76" x14ac:dyDescent="0.2">
      <c r="BV164" s="23"/>
      <c r="BW164" s="23"/>
      <c r="BX164" s="23"/>
    </row>
    <row r="165" spans="74:76" x14ac:dyDescent="0.2">
      <c r="BV165" s="23"/>
      <c r="BW165" s="23"/>
      <c r="BX165" s="23"/>
    </row>
    <row r="166" spans="74:76" x14ac:dyDescent="0.2">
      <c r="BV166" s="23"/>
      <c r="BW166" s="23"/>
      <c r="BX166" s="23"/>
    </row>
    <row r="167" spans="74:76" x14ac:dyDescent="0.2">
      <c r="BV167" s="23"/>
      <c r="BW167" s="23"/>
      <c r="BX167" s="23"/>
    </row>
    <row r="168" spans="74:76" x14ac:dyDescent="0.2">
      <c r="BV168" s="23"/>
      <c r="BW168" s="23"/>
      <c r="BX168" s="23"/>
    </row>
    <row r="169" spans="74:76" x14ac:dyDescent="0.2">
      <c r="BV169" s="23"/>
      <c r="BW169" s="23"/>
      <c r="BX169" s="23"/>
    </row>
    <row r="170" spans="74:76" x14ac:dyDescent="0.2">
      <c r="BV170" s="23"/>
      <c r="BW170" s="23"/>
      <c r="BX170" s="23"/>
    </row>
    <row r="171" spans="74:76" x14ac:dyDescent="0.2">
      <c r="BV171" s="23"/>
      <c r="BW171" s="23"/>
      <c r="BX171" s="23"/>
    </row>
    <row r="172" spans="74:76" x14ac:dyDescent="0.2">
      <c r="BV172" s="23"/>
      <c r="BW172" s="23"/>
      <c r="BX172" s="23"/>
    </row>
    <row r="173" spans="74:76" x14ac:dyDescent="0.2">
      <c r="BV173" s="23"/>
      <c r="BW173" s="23"/>
      <c r="BX173" s="23"/>
    </row>
    <row r="174" spans="74:76" x14ac:dyDescent="0.2">
      <c r="BV174" s="23"/>
      <c r="BW174" s="23"/>
      <c r="BX174" s="23"/>
    </row>
    <row r="175" spans="74:76" x14ac:dyDescent="0.2">
      <c r="BV175" s="23"/>
      <c r="BW175" s="23"/>
      <c r="BX175" s="23"/>
    </row>
    <row r="176" spans="74:76" x14ac:dyDescent="0.2">
      <c r="BV176" s="23"/>
      <c r="BW176" s="23"/>
      <c r="BX176" s="23"/>
    </row>
    <row r="177" spans="74:76" x14ac:dyDescent="0.2">
      <c r="BV177" s="23"/>
      <c r="BW177" s="23"/>
      <c r="BX177" s="23"/>
    </row>
    <row r="178" spans="74:76" x14ac:dyDescent="0.2">
      <c r="BV178" s="23"/>
      <c r="BW178" s="23"/>
      <c r="BX178" s="23"/>
    </row>
    <row r="179" spans="74:76" x14ac:dyDescent="0.2">
      <c r="BV179" s="23"/>
      <c r="BW179" s="23"/>
      <c r="BX179" s="23"/>
    </row>
    <row r="180" spans="74:76" x14ac:dyDescent="0.2">
      <c r="BV180" s="23"/>
      <c r="BW180" s="23"/>
      <c r="BX180" s="23"/>
    </row>
    <row r="181" spans="74:76" x14ac:dyDescent="0.2">
      <c r="BV181" s="23"/>
      <c r="BW181" s="23"/>
      <c r="BX181" s="23"/>
    </row>
    <row r="182" spans="74:76" x14ac:dyDescent="0.2">
      <c r="BV182" s="23"/>
      <c r="BW182" s="23"/>
      <c r="BX182" s="23"/>
    </row>
    <row r="183" spans="74:76" x14ac:dyDescent="0.2">
      <c r="BV183" s="23"/>
      <c r="BW183" s="23"/>
      <c r="BX183" s="23"/>
    </row>
    <row r="184" spans="74:76" x14ac:dyDescent="0.2">
      <c r="BV184" s="23"/>
      <c r="BW184" s="23"/>
      <c r="BX184" s="23"/>
    </row>
    <row r="185" spans="74:76" x14ac:dyDescent="0.2">
      <c r="BV185" s="23"/>
      <c r="BW185" s="23"/>
      <c r="BX185" s="23"/>
    </row>
    <row r="186" spans="74:76" x14ac:dyDescent="0.2">
      <c r="BV186" s="23"/>
      <c r="BW186" s="23"/>
      <c r="BX186" s="23"/>
    </row>
    <row r="187" spans="74:76" x14ac:dyDescent="0.2">
      <c r="BV187" s="23"/>
      <c r="BW187" s="23"/>
      <c r="BX187" s="23"/>
    </row>
    <row r="188" spans="74:76" x14ac:dyDescent="0.2">
      <c r="BV188" s="23"/>
      <c r="BW188" s="23"/>
      <c r="BX188" s="23"/>
    </row>
    <row r="189" spans="74:76" x14ac:dyDescent="0.2">
      <c r="BV189" s="23"/>
      <c r="BW189" s="23"/>
      <c r="BX189" s="23"/>
    </row>
    <row r="190" spans="74:76" x14ac:dyDescent="0.2">
      <c r="BV190" s="23"/>
      <c r="BW190" s="23"/>
      <c r="BX190" s="23"/>
    </row>
    <row r="191" spans="74:76" x14ac:dyDescent="0.2">
      <c r="BV191" s="23"/>
      <c r="BW191" s="23"/>
      <c r="BX191" s="23"/>
    </row>
    <row r="192" spans="74:76" x14ac:dyDescent="0.2">
      <c r="BV192" s="23"/>
      <c r="BW192" s="23"/>
      <c r="BX192" s="23"/>
    </row>
    <row r="193" spans="74:76" x14ac:dyDescent="0.2">
      <c r="BV193" s="23"/>
      <c r="BW193" s="23"/>
      <c r="BX193" s="23"/>
    </row>
    <row r="194" spans="74:76" x14ac:dyDescent="0.2">
      <c r="BV194" s="23"/>
      <c r="BW194" s="23"/>
      <c r="BX194" s="23"/>
    </row>
    <row r="195" spans="74:76" x14ac:dyDescent="0.2">
      <c r="BV195" s="23"/>
      <c r="BW195" s="23"/>
      <c r="BX195" s="23"/>
    </row>
    <row r="196" spans="74:76" x14ac:dyDescent="0.2">
      <c r="BV196" s="23"/>
      <c r="BW196" s="23"/>
      <c r="BX196" s="23"/>
    </row>
    <row r="197" spans="74:76" x14ac:dyDescent="0.2">
      <c r="BV197" s="23"/>
      <c r="BW197" s="23"/>
      <c r="BX197" s="23"/>
    </row>
    <row r="198" spans="74:76" x14ac:dyDescent="0.2">
      <c r="BV198" s="23"/>
      <c r="BW198" s="23"/>
      <c r="BX198" s="23"/>
    </row>
    <row r="199" spans="74:76" x14ac:dyDescent="0.2">
      <c r="BV199" s="23"/>
      <c r="BW199" s="23"/>
      <c r="BX199" s="23"/>
    </row>
    <row r="200" spans="74:76" x14ac:dyDescent="0.2">
      <c r="BV200" s="23"/>
      <c r="BW200" s="23"/>
      <c r="BX200" s="23"/>
    </row>
    <row r="201" spans="74:76" x14ac:dyDescent="0.2">
      <c r="BV201" s="23"/>
      <c r="BW201" s="23"/>
      <c r="BX201" s="23"/>
    </row>
    <row r="202" spans="74:76" x14ac:dyDescent="0.2">
      <c r="BV202" s="23"/>
      <c r="BW202" s="23"/>
      <c r="BX202" s="23"/>
    </row>
    <row r="203" spans="74:76" x14ac:dyDescent="0.2">
      <c r="BV203" s="23"/>
      <c r="BW203" s="23"/>
      <c r="BX203" s="23"/>
    </row>
    <row r="204" spans="74:76" x14ac:dyDescent="0.2">
      <c r="BV204" s="23"/>
      <c r="BW204" s="23"/>
      <c r="BX204" s="23"/>
    </row>
    <row r="205" spans="74:76" x14ac:dyDescent="0.2">
      <c r="BV205" s="23"/>
      <c r="BW205" s="23"/>
      <c r="BX205" s="23"/>
    </row>
    <row r="206" spans="74:76" x14ac:dyDescent="0.2">
      <c r="BV206" s="23"/>
      <c r="BW206" s="23"/>
      <c r="BX206" s="23"/>
    </row>
    <row r="207" spans="74:76" x14ac:dyDescent="0.2">
      <c r="BV207" s="23"/>
      <c r="BW207" s="23"/>
      <c r="BX207" s="23"/>
    </row>
    <row r="208" spans="74:76" x14ac:dyDescent="0.2">
      <c r="BV208" s="23"/>
      <c r="BW208" s="23"/>
      <c r="BX208" s="23"/>
    </row>
    <row r="209" spans="74:76" x14ac:dyDescent="0.2">
      <c r="BV209" s="23"/>
      <c r="BW209" s="23"/>
      <c r="BX209" s="23"/>
    </row>
    <row r="210" spans="74:76" x14ac:dyDescent="0.2">
      <c r="BV210" s="23"/>
      <c r="BW210" s="23"/>
      <c r="BX210" s="23"/>
    </row>
    <row r="211" spans="74:76" x14ac:dyDescent="0.2">
      <c r="BV211" s="23"/>
      <c r="BW211" s="23"/>
      <c r="BX211" s="23"/>
    </row>
    <row r="212" spans="74:76" x14ac:dyDescent="0.2">
      <c r="BV212" s="23"/>
      <c r="BW212" s="23"/>
      <c r="BX212" s="23"/>
    </row>
    <row r="213" spans="74:76" x14ac:dyDescent="0.2">
      <c r="BV213" s="23"/>
      <c r="BW213" s="23"/>
      <c r="BX213" s="23"/>
    </row>
    <row r="214" spans="74:76" x14ac:dyDescent="0.2">
      <c r="BV214" s="23"/>
      <c r="BW214" s="23"/>
      <c r="BX214" s="23"/>
    </row>
    <row r="215" spans="74:76" x14ac:dyDescent="0.2">
      <c r="BV215" s="23"/>
      <c r="BW215" s="23"/>
      <c r="BX215" s="23"/>
    </row>
    <row r="216" spans="74:76" x14ac:dyDescent="0.2">
      <c r="BV216" s="23"/>
      <c r="BW216" s="23"/>
      <c r="BX216" s="23"/>
    </row>
    <row r="217" spans="74:76" x14ac:dyDescent="0.2">
      <c r="BV217" s="23"/>
      <c r="BW217" s="23"/>
      <c r="BX217" s="23"/>
    </row>
    <row r="218" spans="74:76" x14ac:dyDescent="0.2">
      <c r="BV218" s="23"/>
      <c r="BW218" s="23"/>
      <c r="BX218" s="23"/>
    </row>
    <row r="219" spans="74:76" x14ac:dyDescent="0.2">
      <c r="BV219" s="23"/>
      <c r="BW219" s="23"/>
      <c r="BX219" s="23"/>
    </row>
    <row r="220" spans="74:76" x14ac:dyDescent="0.2">
      <c r="BV220" s="23"/>
      <c r="BW220" s="23"/>
      <c r="BX220" s="23"/>
    </row>
    <row r="221" spans="74:76" x14ac:dyDescent="0.2">
      <c r="BV221" s="23"/>
      <c r="BW221" s="23"/>
      <c r="BX221" s="23"/>
    </row>
    <row r="222" spans="74:76" x14ac:dyDescent="0.2">
      <c r="BV222" s="23"/>
      <c r="BW222" s="23"/>
      <c r="BX222" s="23"/>
    </row>
    <row r="223" spans="74:76" x14ac:dyDescent="0.2">
      <c r="BV223" s="23"/>
      <c r="BW223" s="23"/>
      <c r="BX223" s="23"/>
    </row>
    <row r="224" spans="74:76" x14ac:dyDescent="0.2">
      <c r="BV224" s="23"/>
      <c r="BW224" s="23"/>
      <c r="BX224" s="23"/>
    </row>
    <row r="225" spans="74:76" x14ac:dyDescent="0.2">
      <c r="BV225" s="23"/>
      <c r="BW225" s="23"/>
      <c r="BX225" s="23"/>
    </row>
    <row r="226" spans="74:76" x14ac:dyDescent="0.2">
      <c r="BV226" s="23"/>
      <c r="BW226" s="23"/>
      <c r="BX226" s="23"/>
    </row>
    <row r="227" spans="74:76" x14ac:dyDescent="0.2">
      <c r="BV227" s="23"/>
      <c r="BW227" s="23"/>
      <c r="BX227" s="23"/>
    </row>
    <row r="228" spans="74:76" x14ac:dyDescent="0.2">
      <c r="BV228" s="23"/>
      <c r="BW228" s="23"/>
      <c r="BX228" s="23"/>
    </row>
    <row r="229" spans="74:76" x14ac:dyDescent="0.2">
      <c r="BV229" s="23"/>
      <c r="BW229" s="23"/>
      <c r="BX229" s="23"/>
    </row>
    <row r="230" spans="74:76" x14ac:dyDescent="0.2">
      <c r="BV230" s="23"/>
      <c r="BW230" s="23"/>
      <c r="BX230" s="23"/>
    </row>
    <row r="231" spans="74:76" x14ac:dyDescent="0.2">
      <c r="BV231" s="23"/>
      <c r="BW231" s="23"/>
      <c r="BX231" s="23"/>
    </row>
    <row r="232" spans="74:76" x14ac:dyDescent="0.2">
      <c r="BV232" s="23"/>
      <c r="BW232" s="23"/>
      <c r="BX232" s="23"/>
    </row>
    <row r="233" spans="74:76" x14ac:dyDescent="0.2">
      <c r="BV233" s="23"/>
      <c r="BW233" s="23"/>
      <c r="BX233" s="23"/>
    </row>
    <row r="234" spans="74:76" x14ac:dyDescent="0.2">
      <c r="BV234" s="23"/>
      <c r="BW234" s="23"/>
      <c r="BX234" s="23"/>
    </row>
    <row r="235" spans="74:76" x14ac:dyDescent="0.2">
      <c r="BV235" s="23"/>
      <c r="BW235" s="23"/>
      <c r="BX235" s="23"/>
    </row>
    <row r="236" spans="74:76" x14ac:dyDescent="0.2">
      <c r="BV236" s="23"/>
      <c r="BW236" s="23"/>
      <c r="BX236" s="23"/>
    </row>
    <row r="237" spans="74:76" x14ac:dyDescent="0.2">
      <c r="BV237" s="23"/>
      <c r="BW237" s="23"/>
      <c r="BX237" s="23"/>
    </row>
    <row r="238" spans="74:76" x14ac:dyDescent="0.2">
      <c r="BV238" s="23"/>
      <c r="BW238" s="23"/>
      <c r="BX238" s="23"/>
    </row>
    <row r="239" spans="74:76" x14ac:dyDescent="0.2">
      <c r="BV239" s="23"/>
      <c r="BW239" s="23"/>
      <c r="BX239" s="23"/>
    </row>
    <row r="240" spans="74:76" x14ac:dyDescent="0.2">
      <c r="BV240" s="23"/>
      <c r="BW240" s="23"/>
      <c r="BX240" s="23"/>
    </row>
    <row r="241" spans="74:76" x14ac:dyDescent="0.2">
      <c r="BV241" s="23"/>
      <c r="BW241" s="23"/>
      <c r="BX241" s="23"/>
    </row>
    <row r="242" spans="74:76" x14ac:dyDescent="0.2">
      <c r="BV242" s="23"/>
      <c r="BW242" s="23"/>
      <c r="BX242" s="23"/>
    </row>
    <row r="243" spans="74:76" x14ac:dyDescent="0.2">
      <c r="BV243" s="23"/>
      <c r="BW243" s="23"/>
      <c r="BX243" s="23"/>
    </row>
    <row r="244" spans="74:76" x14ac:dyDescent="0.2">
      <c r="BV244" s="23"/>
      <c r="BW244" s="23"/>
      <c r="BX244" s="23"/>
    </row>
    <row r="245" spans="74:76" x14ac:dyDescent="0.2">
      <c r="BV245" s="23"/>
      <c r="BW245" s="23"/>
      <c r="BX245" s="23"/>
    </row>
    <row r="246" spans="74:76" x14ac:dyDescent="0.2">
      <c r="BV246" s="23"/>
      <c r="BW246" s="23"/>
      <c r="BX246" s="23"/>
    </row>
    <row r="247" spans="74:76" x14ac:dyDescent="0.2">
      <c r="BV247" s="23"/>
      <c r="BW247" s="23"/>
      <c r="BX247" s="23"/>
    </row>
    <row r="248" spans="74:76" x14ac:dyDescent="0.2">
      <c r="BV248" s="23"/>
      <c r="BW248" s="23"/>
      <c r="BX248" s="23"/>
    </row>
    <row r="249" spans="74:76" x14ac:dyDescent="0.2">
      <c r="BV249" s="23"/>
      <c r="BW249" s="23"/>
      <c r="BX249" s="23"/>
    </row>
    <row r="250" spans="74:76" x14ac:dyDescent="0.2">
      <c r="BV250" s="23"/>
      <c r="BW250" s="23"/>
      <c r="BX250" s="23"/>
    </row>
    <row r="251" spans="74:76" x14ac:dyDescent="0.2">
      <c r="BV251" s="23"/>
      <c r="BW251" s="23"/>
      <c r="BX251" s="23"/>
    </row>
    <row r="252" spans="74:76" x14ac:dyDescent="0.2">
      <c r="BV252" s="23"/>
      <c r="BW252" s="23"/>
      <c r="BX252" s="23"/>
    </row>
    <row r="253" spans="74:76" x14ac:dyDescent="0.2">
      <c r="BV253" s="23"/>
      <c r="BW253" s="23"/>
      <c r="BX253" s="23"/>
    </row>
    <row r="254" spans="74:76" x14ac:dyDescent="0.2">
      <c r="BV254" s="23"/>
      <c r="BW254" s="23"/>
      <c r="BX254" s="23"/>
    </row>
    <row r="255" spans="74:76" x14ac:dyDescent="0.2">
      <c r="BV255" s="23"/>
      <c r="BW255" s="23"/>
      <c r="BX255" s="23"/>
    </row>
    <row r="256" spans="74:76" x14ac:dyDescent="0.2">
      <c r="BV256" s="23"/>
      <c r="BW256" s="23"/>
      <c r="BX256" s="23"/>
    </row>
    <row r="257" spans="74:76" x14ac:dyDescent="0.2">
      <c r="BV257" s="23"/>
      <c r="BW257" s="23"/>
      <c r="BX257" s="23"/>
    </row>
    <row r="258" spans="74:76" x14ac:dyDescent="0.2">
      <c r="BV258" s="23"/>
      <c r="BW258" s="23"/>
      <c r="BX258" s="23"/>
    </row>
    <row r="259" spans="74:76" x14ac:dyDescent="0.2">
      <c r="BV259" s="23"/>
      <c r="BW259" s="23"/>
      <c r="BX259" s="23"/>
    </row>
    <row r="260" spans="74:76" x14ac:dyDescent="0.2">
      <c r="BV260" s="23"/>
      <c r="BW260" s="23"/>
      <c r="BX260" s="23"/>
    </row>
    <row r="261" spans="74:76" x14ac:dyDescent="0.2">
      <c r="BV261" s="23"/>
      <c r="BW261" s="23"/>
      <c r="BX261" s="23"/>
    </row>
    <row r="262" spans="74:76" x14ac:dyDescent="0.2">
      <c r="BV262" s="23"/>
      <c r="BW262" s="23"/>
      <c r="BX262" s="23"/>
    </row>
    <row r="263" spans="74:76" x14ac:dyDescent="0.2">
      <c r="BV263" s="23"/>
      <c r="BW263" s="23"/>
      <c r="BX263" s="23"/>
    </row>
    <row r="264" spans="74:76" x14ac:dyDescent="0.2">
      <c r="BV264" s="23"/>
      <c r="BW264" s="23"/>
      <c r="BX264" s="23"/>
    </row>
    <row r="265" spans="74:76" x14ac:dyDescent="0.2">
      <c r="BV265" s="23"/>
      <c r="BW265" s="23"/>
      <c r="BX265" s="23"/>
    </row>
    <row r="266" spans="74:76" x14ac:dyDescent="0.2">
      <c r="BV266" s="23"/>
      <c r="BW266" s="23"/>
      <c r="BX266" s="23"/>
    </row>
    <row r="267" spans="74:76" x14ac:dyDescent="0.2">
      <c r="BV267" s="23"/>
      <c r="BW267" s="23"/>
      <c r="BX267" s="23"/>
    </row>
    <row r="268" spans="74:76" x14ac:dyDescent="0.2">
      <c r="BV268" s="23"/>
      <c r="BW268" s="23"/>
      <c r="BX268" s="23"/>
    </row>
    <row r="269" spans="74:76" x14ac:dyDescent="0.2">
      <c r="BV269" s="23"/>
      <c r="BW269" s="23"/>
      <c r="BX269" s="23"/>
    </row>
    <row r="270" spans="74:76" x14ac:dyDescent="0.2">
      <c r="BV270" s="23"/>
      <c r="BW270" s="23"/>
      <c r="BX270" s="23"/>
    </row>
    <row r="271" spans="74:76" x14ac:dyDescent="0.2">
      <c r="BV271" s="23"/>
      <c r="BW271" s="23"/>
      <c r="BX271" s="23"/>
    </row>
    <row r="272" spans="74:76" x14ac:dyDescent="0.2">
      <c r="BV272" s="23"/>
      <c r="BW272" s="23"/>
      <c r="BX272" s="23"/>
    </row>
    <row r="273" spans="74:76" x14ac:dyDescent="0.2">
      <c r="BV273" s="23"/>
      <c r="BW273" s="23"/>
      <c r="BX273" s="23"/>
    </row>
    <row r="274" spans="74:76" x14ac:dyDescent="0.2">
      <c r="BV274" s="23"/>
      <c r="BW274" s="23"/>
      <c r="BX274" s="23"/>
    </row>
    <row r="275" spans="74:76" x14ac:dyDescent="0.2">
      <c r="BV275" s="23"/>
      <c r="BW275" s="23"/>
      <c r="BX275" s="23"/>
    </row>
    <row r="276" spans="74:76" x14ac:dyDescent="0.2">
      <c r="BV276" s="23"/>
      <c r="BW276" s="23"/>
      <c r="BX276" s="23"/>
    </row>
    <row r="277" spans="74:76" x14ac:dyDescent="0.2">
      <c r="BV277" s="23"/>
      <c r="BW277" s="23"/>
      <c r="BX277" s="23"/>
    </row>
    <row r="278" spans="74:76" x14ac:dyDescent="0.2">
      <c r="BV278" s="23"/>
      <c r="BW278" s="23"/>
      <c r="BX278" s="23"/>
    </row>
    <row r="279" spans="74:76" x14ac:dyDescent="0.2">
      <c r="BV279" s="23"/>
      <c r="BW279" s="23"/>
      <c r="BX279" s="23"/>
    </row>
    <row r="280" spans="74:76" x14ac:dyDescent="0.2">
      <c r="BV280" s="23"/>
      <c r="BW280" s="23"/>
      <c r="BX280" s="23"/>
    </row>
    <row r="281" spans="74:76" x14ac:dyDescent="0.2">
      <c r="BV281" s="23"/>
      <c r="BW281" s="23"/>
      <c r="BX281" s="23"/>
    </row>
    <row r="282" spans="74:76" x14ac:dyDescent="0.2">
      <c r="BV282" s="23"/>
      <c r="BW282" s="23"/>
      <c r="BX282" s="23"/>
    </row>
    <row r="283" spans="74:76" x14ac:dyDescent="0.2">
      <c r="BV283" s="23"/>
      <c r="BW283" s="23"/>
      <c r="BX283" s="23"/>
    </row>
    <row r="284" spans="74:76" x14ac:dyDescent="0.2">
      <c r="BV284" s="23"/>
      <c r="BW284" s="23"/>
      <c r="BX284" s="23"/>
    </row>
    <row r="285" spans="74:76" x14ac:dyDescent="0.2">
      <c r="BV285" s="23"/>
      <c r="BW285" s="23"/>
      <c r="BX285" s="23"/>
    </row>
    <row r="286" spans="74:76" x14ac:dyDescent="0.2">
      <c r="BV286" s="23"/>
      <c r="BW286" s="23"/>
      <c r="BX286" s="23"/>
    </row>
    <row r="287" spans="74:76" x14ac:dyDescent="0.2">
      <c r="BV287" s="23"/>
      <c r="BW287" s="23"/>
      <c r="BX287" s="23"/>
    </row>
    <row r="288" spans="74:76" x14ac:dyDescent="0.2">
      <c r="BV288" s="23"/>
      <c r="BW288" s="23"/>
      <c r="BX288" s="23"/>
    </row>
    <row r="289" spans="74:76" x14ac:dyDescent="0.2">
      <c r="BV289" s="23"/>
      <c r="BW289" s="23"/>
      <c r="BX289" s="23"/>
    </row>
    <row r="290" spans="74:76" x14ac:dyDescent="0.2">
      <c r="BV290" s="23"/>
      <c r="BW290" s="23"/>
      <c r="BX290" s="23"/>
    </row>
    <row r="291" spans="74:76" x14ac:dyDescent="0.2">
      <c r="BV291" s="23"/>
      <c r="BW291" s="23"/>
      <c r="BX291" s="23"/>
    </row>
    <row r="292" spans="74:76" x14ac:dyDescent="0.2">
      <c r="BV292" s="23"/>
      <c r="BW292" s="23"/>
      <c r="BX292" s="23"/>
    </row>
    <row r="293" spans="74:76" x14ac:dyDescent="0.2">
      <c r="BV293" s="23"/>
      <c r="BW293" s="23"/>
      <c r="BX293" s="23"/>
    </row>
    <row r="294" spans="74:76" x14ac:dyDescent="0.2">
      <c r="BV294" s="23"/>
      <c r="BW294" s="23"/>
      <c r="BX294" s="23"/>
    </row>
    <row r="295" spans="74:76" x14ac:dyDescent="0.2">
      <c r="BV295" s="23"/>
      <c r="BW295" s="23"/>
      <c r="BX295" s="23"/>
    </row>
    <row r="296" spans="74:76" x14ac:dyDescent="0.2">
      <c r="BV296" s="23"/>
      <c r="BW296" s="23"/>
      <c r="BX296" s="23"/>
    </row>
    <row r="297" spans="74:76" x14ac:dyDescent="0.2">
      <c r="BV297" s="23"/>
      <c r="BW297" s="23"/>
      <c r="BX297" s="23"/>
    </row>
    <row r="298" spans="74:76" x14ac:dyDescent="0.2">
      <c r="BV298" s="23"/>
      <c r="BW298" s="23"/>
      <c r="BX298" s="23"/>
    </row>
    <row r="299" spans="74:76" x14ac:dyDescent="0.2">
      <c r="BV299" s="23"/>
      <c r="BW299" s="23"/>
      <c r="BX299" s="23"/>
    </row>
    <row r="300" spans="74:76" x14ac:dyDescent="0.2">
      <c r="BV300" s="23"/>
      <c r="BW300" s="23"/>
      <c r="BX300" s="23"/>
    </row>
    <row r="301" spans="74:76" x14ac:dyDescent="0.2">
      <c r="BV301" s="23"/>
      <c r="BW301" s="23"/>
      <c r="BX301" s="23"/>
    </row>
    <row r="302" spans="74:76" x14ac:dyDescent="0.2">
      <c r="BV302" s="23"/>
      <c r="BW302" s="23"/>
      <c r="BX302" s="23"/>
    </row>
    <row r="303" spans="74:76" x14ac:dyDescent="0.2">
      <c r="BV303" s="23"/>
      <c r="BW303" s="23"/>
      <c r="BX303" s="23"/>
    </row>
    <row r="304" spans="74:76" x14ac:dyDescent="0.2">
      <c r="BV304" s="23"/>
      <c r="BW304" s="23"/>
      <c r="BX304" s="23"/>
    </row>
    <row r="305" spans="74:76" x14ac:dyDescent="0.2">
      <c r="BV305" s="23"/>
      <c r="BW305" s="23"/>
      <c r="BX305" s="23"/>
    </row>
    <row r="306" spans="74:76" x14ac:dyDescent="0.2">
      <c r="BV306" s="23"/>
      <c r="BW306" s="23"/>
      <c r="BX306" s="23"/>
    </row>
    <row r="307" spans="74:76" x14ac:dyDescent="0.2">
      <c r="BV307" s="23"/>
      <c r="BW307" s="23"/>
      <c r="BX307" s="23"/>
    </row>
    <row r="308" spans="74:76" x14ac:dyDescent="0.2">
      <c r="BV308" s="23"/>
      <c r="BW308" s="23"/>
      <c r="BX308" s="23"/>
    </row>
    <row r="309" spans="74:76" x14ac:dyDescent="0.2">
      <c r="BV309" s="23"/>
      <c r="BW309" s="23"/>
      <c r="BX309" s="23"/>
    </row>
    <row r="310" spans="74:76" x14ac:dyDescent="0.2">
      <c r="BV310" s="23"/>
      <c r="BW310" s="23"/>
      <c r="BX310" s="23"/>
    </row>
    <row r="311" spans="74:76" x14ac:dyDescent="0.2">
      <c r="BV311" s="23"/>
      <c r="BW311" s="23"/>
      <c r="BX311" s="23"/>
    </row>
    <row r="312" spans="74:76" x14ac:dyDescent="0.2">
      <c r="BV312" s="23"/>
      <c r="BW312" s="23"/>
      <c r="BX312" s="23"/>
    </row>
    <row r="313" spans="74:76" x14ac:dyDescent="0.2">
      <c r="BV313" s="23"/>
      <c r="BW313" s="23"/>
      <c r="BX313" s="23"/>
    </row>
    <row r="314" spans="74:76" x14ac:dyDescent="0.2">
      <c r="BV314" s="23"/>
      <c r="BW314" s="23"/>
      <c r="BX314" s="23"/>
    </row>
    <row r="315" spans="74:76" x14ac:dyDescent="0.2">
      <c r="BV315" s="23"/>
      <c r="BW315" s="23"/>
      <c r="BX315" s="23"/>
    </row>
    <row r="316" spans="74:76" x14ac:dyDescent="0.2">
      <c r="BV316" s="23"/>
      <c r="BW316" s="23"/>
      <c r="BX316" s="23"/>
    </row>
    <row r="317" spans="74:76" x14ac:dyDescent="0.2">
      <c r="BV317" s="23"/>
      <c r="BW317" s="23"/>
      <c r="BX317" s="23"/>
    </row>
    <row r="318" spans="74:76" x14ac:dyDescent="0.2">
      <c r="BV318" s="23"/>
      <c r="BW318" s="23"/>
      <c r="BX318" s="23"/>
    </row>
    <row r="319" spans="74:76" x14ac:dyDescent="0.2">
      <c r="BV319" s="23"/>
      <c r="BW319" s="23"/>
      <c r="BX319" s="23"/>
    </row>
    <row r="320" spans="74:76" x14ac:dyDescent="0.2">
      <c r="BV320" s="23"/>
      <c r="BW320" s="23"/>
      <c r="BX320" s="23"/>
    </row>
    <row r="321" spans="74:76" x14ac:dyDescent="0.2">
      <c r="BV321" s="23"/>
      <c r="BW321" s="23"/>
      <c r="BX321" s="23"/>
    </row>
    <row r="322" spans="74:76" x14ac:dyDescent="0.2">
      <c r="BV322" s="23"/>
      <c r="BW322" s="23"/>
      <c r="BX322" s="23"/>
    </row>
    <row r="323" spans="74:76" x14ac:dyDescent="0.2">
      <c r="BV323" s="23"/>
      <c r="BW323" s="23"/>
      <c r="BX323" s="23"/>
    </row>
    <row r="324" spans="74:76" x14ac:dyDescent="0.2">
      <c r="BV324" s="23"/>
      <c r="BW324" s="23"/>
      <c r="BX324" s="23"/>
    </row>
    <row r="325" spans="74:76" x14ac:dyDescent="0.2">
      <c r="BV325" s="23"/>
      <c r="BW325" s="23"/>
      <c r="BX325" s="23"/>
    </row>
    <row r="326" spans="74:76" x14ac:dyDescent="0.2">
      <c r="BV326" s="23"/>
      <c r="BW326" s="23"/>
      <c r="BX326" s="23"/>
    </row>
    <row r="327" spans="74:76" x14ac:dyDescent="0.2">
      <c r="BV327" s="23"/>
      <c r="BW327" s="23"/>
      <c r="BX327" s="23"/>
    </row>
    <row r="328" spans="74:76" x14ac:dyDescent="0.2">
      <c r="BV328" s="23"/>
      <c r="BW328" s="23"/>
      <c r="BX328" s="23"/>
    </row>
    <row r="329" spans="74:76" x14ac:dyDescent="0.2">
      <c r="BV329" s="23"/>
      <c r="BW329" s="23"/>
      <c r="BX329" s="23"/>
    </row>
    <row r="330" spans="74:76" x14ac:dyDescent="0.2">
      <c r="BV330" s="23"/>
      <c r="BW330" s="23"/>
      <c r="BX330" s="23"/>
    </row>
    <row r="331" spans="74:76" x14ac:dyDescent="0.2">
      <c r="BV331" s="23"/>
      <c r="BW331" s="23"/>
      <c r="BX331" s="23"/>
    </row>
    <row r="332" spans="74:76" x14ac:dyDescent="0.2">
      <c r="BV332" s="23"/>
      <c r="BW332" s="23"/>
      <c r="BX332" s="23"/>
    </row>
    <row r="333" spans="74:76" x14ac:dyDescent="0.2">
      <c r="BV333" s="23"/>
      <c r="BW333" s="23"/>
      <c r="BX333" s="23"/>
    </row>
    <row r="334" spans="74:76" x14ac:dyDescent="0.2">
      <c r="BV334" s="23"/>
      <c r="BW334" s="23"/>
      <c r="BX334" s="23"/>
    </row>
    <row r="335" spans="74:76" x14ac:dyDescent="0.2">
      <c r="BV335" s="23"/>
      <c r="BW335" s="23"/>
      <c r="BX335" s="23"/>
    </row>
    <row r="336" spans="74:76" x14ac:dyDescent="0.2">
      <c r="BV336" s="23"/>
      <c r="BW336" s="23"/>
      <c r="BX336" s="23"/>
    </row>
    <row r="337" spans="74:76" x14ac:dyDescent="0.2">
      <c r="BV337" s="23"/>
      <c r="BW337" s="23"/>
      <c r="BX337" s="23"/>
    </row>
    <row r="338" spans="74:76" x14ac:dyDescent="0.2">
      <c r="BV338" s="23"/>
      <c r="BW338" s="23"/>
      <c r="BX338" s="23"/>
    </row>
    <row r="339" spans="74:76" x14ac:dyDescent="0.2">
      <c r="BV339" s="23"/>
      <c r="BW339" s="23"/>
      <c r="BX339" s="23"/>
    </row>
    <row r="340" spans="74:76" x14ac:dyDescent="0.2">
      <c r="BV340" s="23"/>
      <c r="BW340" s="23"/>
      <c r="BX340" s="23"/>
    </row>
    <row r="341" spans="74:76" x14ac:dyDescent="0.2">
      <c r="BV341" s="23"/>
      <c r="BW341" s="23"/>
      <c r="BX341" s="23"/>
    </row>
    <row r="342" spans="74:76" x14ac:dyDescent="0.2">
      <c r="BV342" s="23"/>
      <c r="BW342" s="23"/>
      <c r="BX342" s="23"/>
    </row>
    <row r="343" spans="74:76" x14ac:dyDescent="0.2">
      <c r="BV343" s="23"/>
      <c r="BW343" s="23"/>
      <c r="BX343" s="23"/>
    </row>
    <row r="344" spans="74:76" x14ac:dyDescent="0.2">
      <c r="BV344" s="23"/>
      <c r="BW344" s="23"/>
      <c r="BX344" s="23"/>
    </row>
    <row r="345" spans="74:76" x14ac:dyDescent="0.2">
      <c r="BV345" s="23"/>
      <c r="BW345" s="23"/>
      <c r="BX345" s="23"/>
    </row>
    <row r="346" spans="74:76" x14ac:dyDescent="0.2">
      <c r="BV346" s="23"/>
      <c r="BW346" s="23"/>
      <c r="BX346" s="23"/>
    </row>
    <row r="347" spans="74:76" x14ac:dyDescent="0.2">
      <c r="BV347" s="23"/>
      <c r="BW347" s="23"/>
      <c r="BX347" s="23"/>
    </row>
    <row r="348" spans="74:76" x14ac:dyDescent="0.2">
      <c r="BV348" s="23"/>
      <c r="BW348" s="23"/>
      <c r="BX348" s="23"/>
    </row>
    <row r="349" spans="74:76" x14ac:dyDescent="0.2">
      <c r="BV349" s="23"/>
      <c r="BW349" s="23"/>
      <c r="BX349" s="23"/>
    </row>
    <row r="350" spans="74:76" x14ac:dyDescent="0.2">
      <c r="BV350" s="23"/>
      <c r="BW350" s="23"/>
      <c r="BX350" s="23"/>
    </row>
    <row r="351" spans="74:76" x14ac:dyDescent="0.2">
      <c r="BV351" s="23"/>
      <c r="BW351" s="23"/>
      <c r="BX351" s="23"/>
    </row>
    <row r="352" spans="74:76" x14ac:dyDescent="0.2">
      <c r="BV352" s="23"/>
      <c r="BW352" s="23"/>
      <c r="BX352" s="23"/>
    </row>
    <row r="353" spans="74:76" x14ac:dyDescent="0.2">
      <c r="BV353" s="23"/>
      <c r="BW353" s="23"/>
      <c r="BX353" s="23"/>
    </row>
    <row r="354" spans="74:76" x14ac:dyDescent="0.2">
      <c r="BV354" s="23"/>
      <c r="BW354" s="23"/>
      <c r="BX354" s="23"/>
    </row>
    <row r="355" spans="74:76" x14ac:dyDescent="0.2">
      <c r="BV355" s="23"/>
      <c r="BW355" s="23"/>
      <c r="BX355" s="23"/>
    </row>
    <row r="356" spans="74:76" x14ac:dyDescent="0.2">
      <c r="BV356" s="23"/>
      <c r="BW356" s="23"/>
      <c r="BX356" s="23"/>
    </row>
    <row r="357" spans="74:76" x14ac:dyDescent="0.2">
      <c r="BV357" s="23"/>
      <c r="BW357" s="23"/>
      <c r="BX357" s="23"/>
    </row>
    <row r="358" spans="74:76" x14ac:dyDescent="0.2">
      <c r="BV358" s="23"/>
      <c r="BW358" s="23"/>
      <c r="BX358" s="23"/>
    </row>
    <row r="359" spans="74:76" x14ac:dyDescent="0.2">
      <c r="BV359" s="23"/>
      <c r="BW359" s="23"/>
      <c r="BX359" s="23"/>
    </row>
    <row r="360" spans="74:76" x14ac:dyDescent="0.2">
      <c r="BV360" s="23"/>
      <c r="BW360" s="23"/>
      <c r="BX360" s="23"/>
    </row>
    <row r="361" spans="74:76" x14ac:dyDescent="0.2">
      <c r="BV361" s="23"/>
      <c r="BW361" s="23"/>
      <c r="BX361" s="23"/>
    </row>
    <row r="362" spans="74:76" x14ac:dyDescent="0.2">
      <c r="BV362" s="23"/>
      <c r="BW362" s="23"/>
      <c r="BX362" s="23"/>
    </row>
    <row r="363" spans="74:76" x14ac:dyDescent="0.2">
      <c r="BV363" s="23"/>
      <c r="BW363" s="23"/>
      <c r="BX363" s="23"/>
    </row>
    <row r="364" spans="74:76" x14ac:dyDescent="0.2">
      <c r="BV364" s="23"/>
      <c r="BW364" s="23"/>
      <c r="BX364" s="23"/>
    </row>
    <row r="365" spans="74:76" x14ac:dyDescent="0.2">
      <c r="BV365" s="23"/>
      <c r="BW365" s="23"/>
      <c r="BX365" s="23"/>
    </row>
    <row r="366" spans="74:76" x14ac:dyDescent="0.2">
      <c r="BV366" s="23"/>
      <c r="BW366" s="23"/>
      <c r="BX366" s="23"/>
    </row>
    <row r="367" spans="74:76" x14ac:dyDescent="0.2">
      <c r="BV367" s="23"/>
      <c r="BW367" s="23"/>
      <c r="BX367" s="23"/>
    </row>
    <row r="368" spans="74:76" x14ac:dyDescent="0.2">
      <c r="BV368" s="23"/>
      <c r="BW368" s="23"/>
      <c r="BX368" s="23"/>
    </row>
    <row r="369" spans="74:76" x14ac:dyDescent="0.2">
      <c r="BV369" s="23"/>
      <c r="BW369" s="23"/>
      <c r="BX369" s="23"/>
    </row>
    <row r="370" spans="74:76" x14ac:dyDescent="0.2">
      <c r="BV370" s="23"/>
      <c r="BW370" s="23"/>
      <c r="BX370" s="23"/>
    </row>
    <row r="371" spans="74:76" x14ac:dyDescent="0.2">
      <c r="BV371" s="23"/>
      <c r="BW371" s="23"/>
      <c r="BX371" s="23"/>
    </row>
    <row r="372" spans="74:76" x14ac:dyDescent="0.2">
      <c r="BV372" s="23"/>
      <c r="BW372" s="23"/>
      <c r="BX372" s="23"/>
    </row>
    <row r="373" spans="74:76" x14ac:dyDescent="0.2">
      <c r="BV373" s="23"/>
      <c r="BW373" s="23"/>
      <c r="BX373" s="23"/>
    </row>
    <row r="374" spans="74:76" x14ac:dyDescent="0.2">
      <c r="BV374" s="23"/>
      <c r="BW374" s="23"/>
      <c r="BX374" s="23"/>
    </row>
    <row r="375" spans="74:76" x14ac:dyDescent="0.2">
      <c r="BV375" s="23"/>
      <c r="BW375" s="23"/>
      <c r="BX375" s="23"/>
    </row>
    <row r="376" spans="74:76" x14ac:dyDescent="0.2">
      <c r="BV376" s="23"/>
      <c r="BW376" s="23"/>
      <c r="BX376" s="23"/>
    </row>
    <row r="377" spans="74:76" x14ac:dyDescent="0.2">
      <c r="BV377" s="23"/>
      <c r="BW377" s="23"/>
      <c r="BX377" s="23"/>
    </row>
    <row r="378" spans="74:76" x14ac:dyDescent="0.2">
      <c r="BV378" s="23"/>
      <c r="BW378" s="23"/>
      <c r="BX378" s="23"/>
    </row>
    <row r="379" spans="74:76" x14ac:dyDescent="0.2">
      <c r="BV379" s="23"/>
      <c r="BW379" s="23"/>
      <c r="BX379" s="23"/>
    </row>
    <row r="380" spans="74:76" x14ac:dyDescent="0.2">
      <c r="BV380" s="23"/>
      <c r="BW380" s="23"/>
      <c r="BX380" s="23"/>
    </row>
    <row r="381" spans="74:76" x14ac:dyDescent="0.2">
      <c r="BV381" s="23"/>
      <c r="BW381" s="23"/>
      <c r="BX381" s="23"/>
    </row>
    <row r="382" spans="74:76" x14ac:dyDescent="0.2">
      <c r="BV382" s="23"/>
      <c r="BW382" s="23"/>
      <c r="BX382" s="23"/>
    </row>
    <row r="383" spans="74:76" x14ac:dyDescent="0.2">
      <c r="BV383" s="23"/>
      <c r="BW383" s="23"/>
      <c r="BX383" s="23"/>
    </row>
    <row r="384" spans="74:76" x14ac:dyDescent="0.2">
      <c r="BV384" s="23"/>
      <c r="BW384" s="23"/>
      <c r="BX384" s="23"/>
    </row>
    <row r="385" spans="74:76" x14ac:dyDescent="0.2">
      <c r="BV385" s="23"/>
      <c r="BW385" s="23"/>
      <c r="BX385" s="23"/>
    </row>
    <row r="386" spans="74:76" x14ac:dyDescent="0.2">
      <c r="BV386" s="23"/>
      <c r="BW386" s="23"/>
      <c r="BX386" s="23"/>
    </row>
    <row r="387" spans="74:76" x14ac:dyDescent="0.2">
      <c r="BV387" s="23"/>
      <c r="BW387" s="23"/>
      <c r="BX387" s="23"/>
    </row>
    <row r="388" spans="74:76" x14ac:dyDescent="0.2">
      <c r="BV388" s="23"/>
      <c r="BW388" s="23"/>
      <c r="BX388" s="23"/>
    </row>
    <row r="389" spans="74:76" x14ac:dyDescent="0.2">
      <c r="BV389" s="23"/>
      <c r="BW389" s="23"/>
      <c r="BX389" s="23"/>
    </row>
    <row r="390" spans="74:76" x14ac:dyDescent="0.2">
      <c r="BV390" s="23"/>
      <c r="BW390" s="23"/>
      <c r="BX390" s="23"/>
    </row>
    <row r="391" spans="74:76" x14ac:dyDescent="0.2">
      <c r="BV391" s="23"/>
      <c r="BW391" s="23"/>
      <c r="BX391" s="23"/>
    </row>
    <row r="392" spans="74:76" x14ac:dyDescent="0.2">
      <c r="BV392" s="23"/>
      <c r="BW392" s="23"/>
      <c r="BX392" s="23"/>
    </row>
    <row r="393" spans="74:76" x14ac:dyDescent="0.2">
      <c r="BV393" s="23"/>
      <c r="BW393" s="23"/>
      <c r="BX393" s="23"/>
    </row>
    <row r="394" spans="74:76" x14ac:dyDescent="0.2">
      <c r="BV394" s="23"/>
      <c r="BW394" s="23"/>
      <c r="BX394" s="23"/>
    </row>
    <row r="395" spans="74:76" x14ac:dyDescent="0.2">
      <c r="BV395" s="23"/>
      <c r="BW395" s="23"/>
      <c r="BX395" s="23"/>
    </row>
    <row r="396" spans="74:76" x14ac:dyDescent="0.2">
      <c r="BV396" s="23"/>
      <c r="BW396" s="23"/>
      <c r="BX396" s="23"/>
    </row>
    <row r="397" spans="74:76" x14ac:dyDescent="0.2">
      <c r="BV397" s="23"/>
      <c r="BW397" s="23"/>
      <c r="BX397" s="23"/>
    </row>
    <row r="398" spans="74:76" x14ac:dyDescent="0.2">
      <c r="BV398" s="23"/>
      <c r="BW398" s="23"/>
      <c r="BX398" s="23"/>
    </row>
    <row r="399" spans="74:76" x14ac:dyDescent="0.2">
      <c r="BV399" s="23"/>
      <c r="BW399" s="23"/>
      <c r="BX399" s="23"/>
    </row>
    <row r="400" spans="74:76" x14ac:dyDescent="0.2">
      <c r="BV400" s="23"/>
      <c r="BW400" s="23"/>
      <c r="BX400" s="23"/>
    </row>
    <row r="401" spans="74:76" x14ac:dyDescent="0.2">
      <c r="BV401" s="23"/>
      <c r="BW401" s="23"/>
      <c r="BX401" s="23"/>
    </row>
    <row r="402" spans="74:76" x14ac:dyDescent="0.2">
      <c r="BV402" s="23"/>
      <c r="BW402" s="23"/>
      <c r="BX402" s="23"/>
    </row>
    <row r="403" spans="74:76" x14ac:dyDescent="0.2">
      <c r="BV403" s="23"/>
      <c r="BW403" s="23"/>
      <c r="BX403" s="23"/>
    </row>
    <row r="404" spans="74:76" x14ac:dyDescent="0.2">
      <c r="BV404" s="23"/>
      <c r="BW404" s="23"/>
      <c r="BX404" s="23"/>
    </row>
    <row r="405" spans="74:76" x14ac:dyDescent="0.2">
      <c r="BV405" s="23"/>
      <c r="BW405" s="23"/>
      <c r="BX405" s="23"/>
    </row>
    <row r="406" spans="74:76" x14ac:dyDescent="0.2">
      <c r="BV406" s="23"/>
      <c r="BW406" s="23"/>
      <c r="BX406" s="23"/>
    </row>
    <row r="407" spans="74:76" x14ac:dyDescent="0.2">
      <c r="BV407" s="23"/>
      <c r="BW407" s="23"/>
      <c r="BX407" s="23"/>
    </row>
    <row r="408" spans="74:76" x14ac:dyDescent="0.2">
      <c r="BV408" s="23"/>
      <c r="BW408" s="23"/>
      <c r="BX408" s="23"/>
    </row>
    <row r="409" spans="74:76" x14ac:dyDescent="0.2">
      <c r="BV409" s="23"/>
      <c r="BW409" s="23"/>
      <c r="BX409" s="23"/>
    </row>
    <row r="410" spans="74:76" x14ac:dyDescent="0.2">
      <c r="BV410" s="23"/>
      <c r="BW410" s="23"/>
      <c r="BX410" s="23"/>
    </row>
    <row r="411" spans="74:76" x14ac:dyDescent="0.2">
      <c r="BV411" s="23"/>
      <c r="BW411" s="23"/>
      <c r="BX411" s="23"/>
    </row>
    <row r="412" spans="74:76" x14ac:dyDescent="0.2">
      <c r="BV412" s="23"/>
      <c r="BW412" s="23"/>
      <c r="BX412" s="23"/>
    </row>
    <row r="413" spans="74:76" x14ac:dyDescent="0.2">
      <c r="BV413" s="23"/>
      <c r="BW413" s="23"/>
      <c r="BX413" s="23"/>
    </row>
    <row r="414" spans="74:76" x14ac:dyDescent="0.2">
      <c r="BV414" s="23"/>
      <c r="BW414" s="23"/>
      <c r="BX414" s="23"/>
    </row>
    <row r="415" spans="74:76" x14ac:dyDescent="0.2">
      <c r="BV415" s="23"/>
      <c r="BW415" s="23"/>
      <c r="BX415" s="23"/>
    </row>
    <row r="416" spans="74:76" x14ac:dyDescent="0.2">
      <c r="BV416" s="23"/>
      <c r="BW416" s="23"/>
      <c r="BX416" s="23"/>
    </row>
    <row r="417" spans="74:76" x14ac:dyDescent="0.2">
      <c r="BV417" s="23"/>
      <c r="BW417" s="23"/>
      <c r="BX417" s="23"/>
    </row>
    <row r="418" spans="74:76" x14ac:dyDescent="0.2">
      <c r="BV418" s="23"/>
      <c r="BW418" s="23"/>
      <c r="BX418" s="23"/>
    </row>
    <row r="419" spans="74:76" x14ac:dyDescent="0.2">
      <c r="BV419" s="23"/>
      <c r="BW419" s="23"/>
      <c r="BX419" s="23"/>
    </row>
    <row r="420" spans="74:76" x14ac:dyDescent="0.2">
      <c r="BV420" s="23"/>
      <c r="BW420" s="23"/>
      <c r="BX420" s="23"/>
    </row>
    <row r="421" spans="74:76" x14ac:dyDescent="0.2">
      <c r="BV421" s="23"/>
      <c r="BW421" s="23"/>
      <c r="BX421" s="23"/>
    </row>
    <row r="422" spans="74:76" x14ac:dyDescent="0.2">
      <c r="BV422" s="23"/>
      <c r="BW422" s="23"/>
      <c r="BX422" s="23"/>
    </row>
    <row r="423" spans="74:76" x14ac:dyDescent="0.2">
      <c r="BV423" s="23"/>
      <c r="BW423" s="23"/>
      <c r="BX423" s="23"/>
    </row>
    <row r="424" spans="74:76" x14ac:dyDescent="0.2">
      <c r="BV424" s="23"/>
      <c r="BW424" s="23"/>
      <c r="BX424" s="23"/>
    </row>
    <row r="425" spans="74:76" x14ac:dyDescent="0.2">
      <c r="BV425" s="23"/>
      <c r="BW425" s="23"/>
      <c r="BX425" s="23"/>
    </row>
    <row r="426" spans="74:76" x14ac:dyDescent="0.2">
      <c r="BV426" s="23"/>
      <c r="BW426" s="23"/>
      <c r="BX426" s="23"/>
    </row>
    <row r="427" spans="74:76" x14ac:dyDescent="0.2">
      <c r="BV427" s="23"/>
      <c r="BW427" s="23"/>
      <c r="BX427" s="23"/>
    </row>
    <row r="428" spans="74:76" x14ac:dyDescent="0.2">
      <c r="BV428" s="23"/>
      <c r="BW428" s="23"/>
      <c r="BX428" s="23"/>
    </row>
    <row r="429" spans="74:76" x14ac:dyDescent="0.2">
      <c r="BV429" s="23"/>
      <c r="BW429" s="23"/>
      <c r="BX429" s="23"/>
    </row>
    <row r="430" spans="74:76" x14ac:dyDescent="0.2">
      <c r="BV430" s="23"/>
      <c r="BW430" s="23"/>
      <c r="BX430" s="23"/>
    </row>
    <row r="431" spans="74:76" x14ac:dyDescent="0.2">
      <c r="BV431" s="23"/>
      <c r="BW431" s="23"/>
      <c r="BX431" s="23"/>
    </row>
    <row r="432" spans="74:76" x14ac:dyDescent="0.2">
      <c r="BV432" s="23"/>
      <c r="BW432" s="23"/>
      <c r="BX432" s="23"/>
    </row>
    <row r="433" spans="74:76" x14ac:dyDescent="0.2">
      <c r="BV433" s="23"/>
      <c r="BW433" s="23"/>
      <c r="BX433" s="23"/>
    </row>
    <row r="434" spans="74:76" x14ac:dyDescent="0.2">
      <c r="BV434" s="23"/>
      <c r="BW434" s="23"/>
      <c r="BX434" s="23"/>
    </row>
    <row r="435" spans="74:76" x14ac:dyDescent="0.2">
      <c r="BV435" s="23"/>
      <c r="BW435" s="23"/>
      <c r="BX435" s="23"/>
    </row>
    <row r="436" spans="74:76" x14ac:dyDescent="0.2">
      <c r="BV436" s="23"/>
      <c r="BW436" s="23"/>
      <c r="BX436" s="23"/>
    </row>
    <row r="437" spans="74:76" x14ac:dyDescent="0.2">
      <c r="BV437" s="23"/>
      <c r="BW437" s="23"/>
      <c r="BX437" s="23"/>
    </row>
    <row r="438" spans="74:76" x14ac:dyDescent="0.2">
      <c r="BV438" s="23"/>
      <c r="BW438" s="23"/>
      <c r="BX438" s="23"/>
    </row>
    <row r="439" spans="74:76" x14ac:dyDescent="0.2">
      <c r="BV439" s="23"/>
      <c r="BW439" s="23"/>
      <c r="BX439" s="23"/>
    </row>
    <row r="440" spans="74:76" x14ac:dyDescent="0.2">
      <c r="BV440" s="23"/>
      <c r="BW440" s="23"/>
      <c r="BX440" s="23"/>
    </row>
    <row r="441" spans="74:76" x14ac:dyDescent="0.2">
      <c r="BV441" s="23"/>
      <c r="BW441" s="23"/>
      <c r="BX441" s="23"/>
    </row>
    <row r="442" spans="74:76" x14ac:dyDescent="0.2">
      <c r="BV442" s="23"/>
      <c r="BW442" s="23"/>
      <c r="BX442" s="23"/>
    </row>
    <row r="443" spans="74:76" x14ac:dyDescent="0.2">
      <c r="BV443" s="23"/>
      <c r="BW443" s="23"/>
      <c r="BX443" s="23"/>
    </row>
    <row r="444" spans="74:76" x14ac:dyDescent="0.2">
      <c r="BV444" s="23"/>
      <c r="BW444" s="23"/>
      <c r="BX444" s="23"/>
    </row>
    <row r="445" spans="74:76" x14ac:dyDescent="0.2">
      <c r="BV445" s="23"/>
      <c r="BW445" s="23"/>
      <c r="BX445" s="23"/>
    </row>
    <row r="446" spans="74:76" x14ac:dyDescent="0.2">
      <c r="BV446" s="23"/>
      <c r="BW446" s="23"/>
      <c r="BX446" s="23"/>
    </row>
    <row r="447" spans="74:76" x14ac:dyDescent="0.2">
      <c r="BV447" s="23"/>
      <c r="BW447" s="23"/>
      <c r="BX447" s="23"/>
    </row>
    <row r="448" spans="74:76" x14ac:dyDescent="0.2">
      <c r="BV448" s="23"/>
      <c r="BW448" s="23"/>
      <c r="BX448" s="23"/>
    </row>
    <row r="449" spans="74:76" x14ac:dyDescent="0.2">
      <c r="BV449" s="23"/>
      <c r="BW449" s="23"/>
      <c r="BX449" s="23"/>
    </row>
    <row r="450" spans="74:76" x14ac:dyDescent="0.2">
      <c r="BV450" s="23"/>
      <c r="BW450" s="23"/>
      <c r="BX450" s="23"/>
    </row>
    <row r="451" spans="74:76" x14ac:dyDescent="0.2">
      <c r="BV451" s="23"/>
      <c r="BW451" s="23"/>
      <c r="BX451" s="23"/>
    </row>
    <row r="452" spans="74:76" x14ac:dyDescent="0.2">
      <c r="BV452" s="23"/>
      <c r="BW452" s="23"/>
      <c r="BX452" s="23"/>
    </row>
    <row r="453" spans="74:76" x14ac:dyDescent="0.2">
      <c r="BV453" s="23"/>
      <c r="BW453" s="23"/>
      <c r="BX453" s="23"/>
    </row>
    <row r="454" spans="74:76" x14ac:dyDescent="0.2">
      <c r="BV454" s="23"/>
      <c r="BW454" s="23"/>
      <c r="BX454" s="23"/>
    </row>
    <row r="455" spans="74:76" x14ac:dyDescent="0.2">
      <c r="BV455" s="23"/>
      <c r="BW455" s="23"/>
      <c r="BX455" s="23"/>
    </row>
    <row r="456" spans="74:76" x14ac:dyDescent="0.2">
      <c r="BV456" s="23"/>
      <c r="BW456" s="23"/>
      <c r="BX456" s="23"/>
    </row>
    <row r="457" spans="74:76" x14ac:dyDescent="0.2">
      <c r="BV457" s="23"/>
      <c r="BW457" s="23"/>
      <c r="BX457" s="23"/>
    </row>
    <row r="458" spans="74:76" x14ac:dyDescent="0.2">
      <c r="BV458" s="23"/>
      <c r="BW458" s="23"/>
      <c r="BX458" s="23"/>
    </row>
    <row r="459" spans="74:76" x14ac:dyDescent="0.2">
      <c r="BV459" s="23"/>
      <c r="BW459" s="23"/>
      <c r="BX459" s="23"/>
    </row>
    <row r="460" spans="74:76" x14ac:dyDescent="0.2">
      <c r="BV460" s="23"/>
      <c r="BW460" s="23"/>
      <c r="BX460" s="23"/>
    </row>
    <row r="461" spans="74:76" x14ac:dyDescent="0.2">
      <c r="BV461" s="23"/>
      <c r="BW461" s="23"/>
      <c r="BX461" s="23"/>
    </row>
    <row r="462" spans="74:76" x14ac:dyDescent="0.2">
      <c r="BV462" s="23"/>
      <c r="BW462" s="23"/>
      <c r="BX462" s="23"/>
    </row>
    <row r="463" spans="74:76" x14ac:dyDescent="0.2">
      <c r="BV463" s="23"/>
      <c r="BW463" s="23"/>
      <c r="BX463" s="23"/>
    </row>
    <row r="464" spans="74:76" x14ac:dyDescent="0.2">
      <c r="BV464" s="23"/>
      <c r="BW464" s="23"/>
      <c r="BX464" s="23"/>
    </row>
    <row r="465" spans="74:76" x14ac:dyDescent="0.2">
      <c r="BV465" s="23"/>
      <c r="BW465" s="23"/>
      <c r="BX465" s="23"/>
    </row>
    <row r="466" spans="74:76" x14ac:dyDescent="0.2">
      <c r="BV466" s="23"/>
      <c r="BW466" s="23"/>
      <c r="BX466" s="23"/>
    </row>
    <row r="467" spans="74:76" x14ac:dyDescent="0.2">
      <c r="BV467" s="23"/>
      <c r="BW467" s="23"/>
      <c r="BX467" s="23"/>
    </row>
    <row r="468" spans="74:76" x14ac:dyDescent="0.2">
      <c r="BV468" s="23"/>
      <c r="BW468" s="23"/>
      <c r="BX468" s="23"/>
    </row>
    <row r="469" spans="74:76" x14ac:dyDescent="0.2">
      <c r="BV469" s="23"/>
      <c r="BW469" s="23"/>
      <c r="BX469" s="23"/>
    </row>
    <row r="470" spans="74:76" x14ac:dyDescent="0.2">
      <c r="BV470" s="23"/>
      <c r="BW470" s="23"/>
      <c r="BX470" s="23"/>
    </row>
    <row r="471" spans="74:76" x14ac:dyDescent="0.2">
      <c r="BV471" s="23"/>
      <c r="BW471" s="23"/>
      <c r="BX471" s="23"/>
    </row>
    <row r="472" spans="74:76" x14ac:dyDescent="0.2">
      <c r="BV472" s="23"/>
      <c r="BW472" s="23"/>
      <c r="BX472" s="23"/>
    </row>
    <row r="473" spans="74:76" x14ac:dyDescent="0.2">
      <c r="BV473" s="23"/>
      <c r="BW473" s="23"/>
      <c r="BX473" s="23"/>
    </row>
    <row r="474" spans="74:76" x14ac:dyDescent="0.2">
      <c r="BV474" s="23"/>
      <c r="BW474" s="23"/>
      <c r="BX474" s="23"/>
    </row>
    <row r="475" spans="74:76" x14ac:dyDescent="0.2">
      <c r="BV475" s="23"/>
      <c r="BW475" s="23"/>
      <c r="BX475" s="23"/>
    </row>
    <row r="476" spans="74:76" x14ac:dyDescent="0.2">
      <c r="BV476" s="23"/>
      <c r="BW476" s="23"/>
      <c r="BX476" s="23"/>
    </row>
    <row r="477" spans="74:76" x14ac:dyDescent="0.2">
      <c r="BV477" s="23"/>
      <c r="BW477" s="23"/>
      <c r="BX477" s="23"/>
    </row>
    <row r="478" spans="74:76" x14ac:dyDescent="0.2">
      <c r="BV478" s="23"/>
      <c r="BW478" s="23"/>
      <c r="BX478" s="23"/>
    </row>
    <row r="479" spans="74:76" x14ac:dyDescent="0.2">
      <c r="BV479" s="23"/>
      <c r="BW479" s="23"/>
      <c r="BX479" s="23"/>
    </row>
    <row r="480" spans="74:76" x14ac:dyDescent="0.2">
      <c r="BV480" s="23"/>
      <c r="BW480" s="23"/>
      <c r="BX480" s="23"/>
    </row>
    <row r="481" spans="74:76" x14ac:dyDescent="0.2">
      <c r="BV481" s="23"/>
      <c r="BW481" s="23"/>
      <c r="BX481" s="23"/>
    </row>
    <row r="482" spans="74:76" x14ac:dyDescent="0.2">
      <c r="BV482" s="23"/>
      <c r="BW482" s="23"/>
      <c r="BX482" s="23"/>
    </row>
    <row r="483" spans="74:76" x14ac:dyDescent="0.2">
      <c r="BV483" s="23"/>
      <c r="BW483" s="23"/>
      <c r="BX483" s="23"/>
    </row>
    <row r="484" spans="74:76" x14ac:dyDescent="0.2">
      <c r="BV484" s="23"/>
      <c r="BW484" s="23"/>
      <c r="BX484" s="23"/>
    </row>
    <row r="485" spans="74:76" x14ac:dyDescent="0.2">
      <c r="BV485" s="23"/>
      <c r="BW485" s="23"/>
      <c r="BX485" s="23"/>
    </row>
    <row r="486" spans="74:76" x14ac:dyDescent="0.2">
      <c r="BV486" s="23"/>
      <c r="BW486" s="23"/>
      <c r="BX486" s="23"/>
    </row>
    <row r="487" spans="74:76" x14ac:dyDescent="0.2">
      <c r="BV487" s="23"/>
      <c r="BW487" s="23"/>
      <c r="BX487" s="23"/>
    </row>
    <row r="488" spans="74:76" x14ac:dyDescent="0.2">
      <c r="BV488" s="23"/>
      <c r="BW488" s="23"/>
      <c r="BX488" s="23"/>
    </row>
    <row r="489" spans="74:76" x14ac:dyDescent="0.2">
      <c r="BV489" s="23"/>
      <c r="BW489" s="23"/>
      <c r="BX489" s="23"/>
    </row>
    <row r="490" spans="74:76" x14ac:dyDescent="0.2">
      <c r="BV490" s="23"/>
      <c r="BW490" s="23"/>
      <c r="BX490" s="23"/>
    </row>
    <row r="491" spans="74:76" x14ac:dyDescent="0.2">
      <c r="BV491" s="23"/>
      <c r="BW491" s="23"/>
      <c r="BX491" s="23"/>
    </row>
    <row r="492" spans="74:76" x14ac:dyDescent="0.2">
      <c r="BV492" s="23"/>
      <c r="BW492" s="23"/>
      <c r="BX492" s="23"/>
    </row>
    <row r="493" spans="74:76" x14ac:dyDescent="0.2">
      <c r="BV493" s="23"/>
      <c r="BW493" s="23"/>
      <c r="BX493" s="23"/>
    </row>
    <row r="494" spans="74:76" x14ac:dyDescent="0.2">
      <c r="BV494" s="23"/>
      <c r="BW494" s="23"/>
      <c r="BX494" s="23"/>
    </row>
    <row r="495" spans="74:76" x14ac:dyDescent="0.2">
      <c r="BV495" s="23"/>
      <c r="BW495" s="23"/>
      <c r="BX495" s="23"/>
    </row>
    <row r="496" spans="74:76" x14ac:dyDescent="0.2">
      <c r="BV496" s="23"/>
      <c r="BW496" s="23"/>
      <c r="BX496" s="23"/>
    </row>
    <row r="497" spans="74:76" x14ac:dyDescent="0.2">
      <c r="BV497" s="23"/>
      <c r="BW497" s="23"/>
      <c r="BX497" s="23"/>
    </row>
    <row r="498" spans="74:76" x14ac:dyDescent="0.2">
      <c r="BV498" s="23"/>
      <c r="BW498" s="23"/>
      <c r="BX498" s="23"/>
    </row>
    <row r="499" spans="74:76" x14ac:dyDescent="0.2">
      <c r="BV499" s="23"/>
      <c r="BW499" s="23"/>
      <c r="BX499" s="23"/>
    </row>
    <row r="500" spans="74:76" x14ac:dyDescent="0.2">
      <c r="BV500" s="23"/>
      <c r="BW500" s="23"/>
      <c r="BX500" s="23"/>
    </row>
    <row r="501" spans="74:76" x14ac:dyDescent="0.2">
      <c r="BV501" s="23"/>
      <c r="BW501" s="23"/>
      <c r="BX501" s="23"/>
    </row>
    <row r="502" spans="74:76" x14ac:dyDescent="0.2">
      <c r="BV502" s="23"/>
      <c r="BW502" s="23"/>
      <c r="BX502" s="23"/>
    </row>
    <row r="503" spans="74:76" x14ac:dyDescent="0.2">
      <c r="BV503" s="23"/>
      <c r="BW503" s="23"/>
      <c r="BX503" s="23"/>
    </row>
    <row r="504" spans="74:76" x14ac:dyDescent="0.2">
      <c r="BV504" s="23"/>
      <c r="BW504" s="23"/>
      <c r="BX504" s="23"/>
    </row>
    <row r="505" spans="74:76" x14ac:dyDescent="0.2">
      <c r="BV505" s="23"/>
      <c r="BW505" s="23"/>
      <c r="BX505" s="23"/>
    </row>
    <row r="506" spans="74:76" x14ac:dyDescent="0.2">
      <c r="BV506" s="23"/>
      <c r="BW506" s="23"/>
      <c r="BX506" s="23"/>
    </row>
    <row r="507" spans="74:76" x14ac:dyDescent="0.2">
      <c r="BV507" s="23"/>
      <c r="BW507" s="23"/>
      <c r="BX507" s="23"/>
    </row>
    <row r="508" spans="74:76" x14ac:dyDescent="0.2">
      <c r="BV508" s="23"/>
      <c r="BW508" s="23"/>
      <c r="BX508" s="23"/>
    </row>
    <row r="509" spans="74:76" x14ac:dyDescent="0.2">
      <c r="BV509" s="23"/>
      <c r="BW509" s="23"/>
      <c r="BX509" s="23"/>
    </row>
    <row r="510" spans="74:76" x14ac:dyDescent="0.2">
      <c r="BV510" s="23"/>
      <c r="BW510" s="23"/>
      <c r="BX510" s="23"/>
    </row>
    <row r="511" spans="74:76" x14ac:dyDescent="0.2">
      <c r="BV511" s="23"/>
      <c r="BW511" s="23"/>
      <c r="BX511" s="23"/>
    </row>
    <row r="512" spans="74:76" x14ac:dyDescent="0.2">
      <c r="BV512" s="23"/>
      <c r="BW512" s="23"/>
      <c r="BX512" s="23"/>
    </row>
    <row r="513" spans="74:76" x14ac:dyDescent="0.2">
      <c r="BV513" s="23"/>
      <c r="BW513" s="23"/>
      <c r="BX513" s="23"/>
    </row>
    <row r="514" spans="74:76" x14ac:dyDescent="0.2">
      <c r="BV514" s="23"/>
      <c r="BW514" s="23"/>
      <c r="BX514" s="23"/>
    </row>
    <row r="515" spans="74:76" x14ac:dyDescent="0.2">
      <c r="BV515" s="23"/>
      <c r="BW515" s="23"/>
      <c r="BX515" s="23"/>
    </row>
    <row r="516" spans="74:76" x14ac:dyDescent="0.2">
      <c r="BV516" s="23"/>
      <c r="BW516" s="23"/>
      <c r="BX516" s="23"/>
    </row>
    <row r="517" spans="74:76" x14ac:dyDescent="0.2">
      <c r="BV517" s="23"/>
      <c r="BW517" s="23"/>
      <c r="BX517" s="23"/>
    </row>
    <row r="518" spans="74:76" x14ac:dyDescent="0.2">
      <c r="BV518" s="23"/>
      <c r="BW518" s="23"/>
      <c r="BX518" s="23"/>
    </row>
    <row r="519" spans="74:76" x14ac:dyDescent="0.2">
      <c r="BV519" s="23"/>
      <c r="BW519" s="23"/>
      <c r="BX519" s="23"/>
    </row>
    <row r="520" spans="74:76" x14ac:dyDescent="0.2">
      <c r="BV520" s="23"/>
      <c r="BW520" s="23"/>
      <c r="BX520" s="23"/>
    </row>
    <row r="521" spans="74:76" x14ac:dyDescent="0.2">
      <c r="BV521" s="23"/>
      <c r="BW521" s="23"/>
      <c r="BX521" s="23"/>
    </row>
    <row r="522" spans="74:76" x14ac:dyDescent="0.2">
      <c r="BV522" s="23"/>
      <c r="BW522" s="23"/>
      <c r="BX522" s="23"/>
    </row>
    <row r="523" spans="74:76" x14ac:dyDescent="0.2">
      <c r="BV523" s="23"/>
      <c r="BW523" s="23"/>
      <c r="BX523" s="23"/>
    </row>
    <row r="524" spans="74:76" x14ac:dyDescent="0.2">
      <c r="BV524" s="23"/>
      <c r="BW524" s="23"/>
      <c r="BX524" s="23"/>
    </row>
    <row r="525" spans="74:76" x14ac:dyDescent="0.2">
      <c r="BV525" s="23"/>
      <c r="BW525" s="23"/>
      <c r="BX525" s="23"/>
    </row>
    <row r="526" spans="74:76" x14ac:dyDescent="0.2">
      <c r="BV526" s="23"/>
      <c r="BW526" s="23"/>
      <c r="BX526" s="23"/>
    </row>
    <row r="527" spans="74:76" x14ac:dyDescent="0.2">
      <c r="BV527" s="23"/>
      <c r="BW527" s="23"/>
      <c r="BX527" s="23"/>
    </row>
    <row r="528" spans="74:76" x14ac:dyDescent="0.2">
      <c r="BV528" s="23"/>
      <c r="BW528" s="23"/>
      <c r="BX528" s="23"/>
    </row>
    <row r="529" spans="74:76" x14ac:dyDescent="0.2">
      <c r="BV529" s="23"/>
      <c r="BW529" s="23"/>
      <c r="BX529" s="23"/>
    </row>
    <row r="530" spans="74:76" x14ac:dyDescent="0.2">
      <c r="BV530" s="23"/>
      <c r="BW530" s="23"/>
      <c r="BX530" s="23"/>
    </row>
    <row r="531" spans="74:76" x14ac:dyDescent="0.2">
      <c r="BV531" s="23"/>
      <c r="BW531" s="23"/>
      <c r="BX531" s="23"/>
    </row>
    <row r="532" spans="74:76" x14ac:dyDescent="0.2">
      <c r="BV532" s="23"/>
      <c r="BW532" s="23"/>
      <c r="BX532" s="23"/>
    </row>
    <row r="533" spans="74:76" x14ac:dyDescent="0.2">
      <c r="BV533" s="23"/>
      <c r="BW533" s="23"/>
      <c r="BX533" s="23"/>
    </row>
    <row r="534" spans="74:76" x14ac:dyDescent="0.2">
      <c r="BV534" s="23"/>
      <c r="BW534" s="23"/>
      <c r="BX534" s="23"/>
    </row>
    <row r="535" spans="74:76" x14ac:dyDescent="0.2">
      <c r="BV535" s="23"/>
      <c r="BW535" s="23"/>
      <c r="BX535" s="23"/>
    </row>
    <row r="536" spans="74:76" x14ac:dyDescent="0.2">
      <c r="BV536" s="23"/>
      <c r="BW536" s="23"/>
      <c r="BX536" s="23"/>
    </row>
    <row r="537" spans="74:76" x14ac:dyDescent="0.2">
      <c r="BV537" s="23"/>
      <c r="BW537" s="23"/>
      <c r="BX537" s="23"/>
    </row>
    <row r="538" spans="74:76" x14ac:dyDescent="0.2">
      <c r="BV538" s="23"/>
      <c r="BW538" s="23"/>
      <c r="BX538" s="23"/>
    </row>
    <row r="539" spans="74:76" x14ac:dyDescent="0.2">
      <c r="BV539" s="23"/>
      <c r="BW539" s="23"/>
      <c r="BX539" s="23"/>
    </row>
    <row r="540" spans="74:76" x14ac:dyDescent="0.2">
      <c r="BV540" s="23"/>
      <c r="BW540" s="23"/>
      <c r="BX540" s="23"/>
    </row>
    <row r="541" spans="74:76" x14ac:dyDescent="0.2">
      <c r="BV541" s="23"/>
      <c r="BW541" s="23"/>
      <c r="BX541" s="23"/>
    </row>
    <row r="542" spans="74:76" x14ac:dyDescent="0.2">
      <c r="BV542" s="23"/>
      <c r="BW542" s="23"/>
      <c r="BX542" s="23"/>
    </row>
    <row r="543" spans="74:76" x14ac:dyDescent="0.2">
      <c r="BV543" s="23"/>
      <c r="BW543" s="23"/>
      <c r="BX543" s="23"/>
    </row>
    <row r="544" spans="74:76" x14ac:dyDescent="0.2">
      <c r="BV544" s="23"/>
      <c r="BW544" s="23"/>
      <c r="BX544" s="23"/>
    </row>
    <row r="545" spans="74:76" x14ac:dyDescent="0.2">
      <c r="BV545" s="23"/>
      <c r="BW545" s="23"/>
      <c r="BX545" s="23"/>
    </row>
    <row r="546" spans="74:76" x14ac:dyDescent="0.2">
      <c r="BV546" s="23"/>
      <c r="BW546" s="23"/>
      <c r="BX546" s="23"/>
    </row>
    <row r="547" spans="74:76" x14ac:dyDescent="0.2">
      <c r="BV547" s="23"/>
      <c r="BW547" s="23"/>
      <c r="BX547" s="23"/>
    </row>
    <row r="548" spans="74:76" x14ac:dyDescent="0.2">
      <c r="BV548" s="23"/>
      <c r="BW548" s="23"/>
      <c r="BX548" s="23"/>
    </row>
    <row r="549" spans="74:76" x14ac:dyDescent="0.2">
      <c r="BV549" s="23"/>
      <c r="BW549" s="23"/>
      <c r="BX549" s="23"/>
    </row>
    <row r="550" spans="74:76" x14ac:dyDescent="0.2">
      <c r="BV550" s="23"/>
      <c r="BW550" s="23"/>
      <c r="BX550" s="23"/>
    </row>
    <row r="551" spans="74:76" x14ac:dyDescent="0.2">
      <c r="BV551" s="23"/>
      <c r="BW551" s="23"/>
      <c r="BX551" s="23"/>
    </row>
    <row r="552" spans="74:76" x14ac:dyDescent="0.2">
      <c r="BV552" s="23"/>
      <c r="BW552" s="23"/>
      <c r="BX552" s="23"/>
    </row>
    <row r="553" spans="74:76" x14ac:dyDescent="0.2">
      <c r="BV553" s="23"/>
      <c r="BW553" s="23"/>
      <c r="BX553" s="23"/>
    </row>
    <row r="554" spans="74:76" x14ac:dyDescent="0.2">
      <c r="BV554" s="23"/>
      <c r="BW554" s="23"/>
      <c r="BX554" s="23"/>
    </row>
    <row r="555" spans="74:76" x14ac:dyDescent="0.2">
      <c r="BV555" s="23"/>
      <c r="BW555" s="23"/>
      <c r="BX555" s="23"/>
    </row>
    <row r="556" spans="74:76" x14ac:dyDescent="0.2">
      <c r="BV556" s="23"/>
      <c r="BW556" s="23"/>
      <c r="BX556" s="23"/>
    </row>
    <row r="557" spans="74:76" x14ac:dyDescent="0.2">
      <c r="BV557" s="23"/>
      <c r="BW557" s="23"/>
      <c r="BX557" s="23"/>
    </row>
    <row r="558" spans="74:76" x14ac:dyDescent="0.2">
      <c r="BV558" s="23"/>
      <c r="BW558" s="23"/>
      <c r="BX558" s="23"/>
    </row>
    <row r="559" spans="74:76" x14ac:dyDescent="0.2">
      <c r="BV559" s="23"/>
      <c r="BW559" s="23"/>
      <c r="BX559" s="23"/>
    </row>
    <row r="560" spans="74:76" x14ac:dyDescent="0.2">
      <c r="BV560" s="23"/>
      <c r="BW560" s="23"/>
      <c r="BX560" s="23"/>
    </row>
    <row r="561" spans="74:76" x14ac:dyDescent="0.2">
      <c r="BV561" s="23"/>
      <c r="BW561" s="23"/>
      <c r="BX561" s="23"/>
    </row>
    <row r="562" spans="74:76" x14ac:dyDescent="0.2">
      <c r="BV562" s="23"/>
      <c r="BW562" s="23"/>
      <c r="BX562" s="23"/>
    </row>
    <row r="563" spans="74:76" x14ac:dyDescent="0.2">
      <c r="BV563" s="23"/>
      <c r="BW563" s="23"/>
      <c r="BX563" s="23"/>
    </row>
    <row r="564" spans="74:76" x14ac:dyDescent="0.2">
      <c r="BV564" s="23"/>
      <c r="BW564" s="23"/>
      <c r="BX564" s="23"/>
    </row>
    <row r="565" spans="74:76" x14ac:dyDescent="0.2">
      <c r="BV565" s="23"/>
      <c r="BW565" s="23"/>
      <c r="BX565" s="23"/>
    </row>
    <row r="566" spans="74:76" x14ac:dyDescent="0.2">
      <c r="BV566" s="23"/>
      <c r="BW566" s="23"/>
      <c r="BX566" s="23"/>
    </row>
    <row r="567" spans="74:76" x14ac:dyDescent="0.2">
      <c r="BV567" s="23"/>
      <c r="BW567" s="23"/>
      <c r="BX567" s="23"/>
    </row>
    <row r="568" spans="74:76" x14ac:dyDescent="0.2">
      <c r="BV568" s="23"/>
      <c r="BW568" s="23"/>
      <c r="BX568" s="23"/>
    </row>
    <row r="569" spans="74:76" x14ac:dyDescent="0.2">
      <c r="BV569" s="23"/>
      <c r="BW569" s="23"/>
      <c r="BX569" s="23"/>
    </row>
    <row r="570" spans="74:76" x14ac:dyDescent="0.2">
      <c r="BV570" s="23"/>
      <c r="BW570" s="23"/>
      <c r="BX570" s="23"/>
    </row>
    <row r="571" spans="74:76" x14ac:dyDescent="0.2">
      <c r="BV571" s="23"/>
      <c r="BW571" s="23"/>
      <c r="BX571" s="23"/>
    </row>
    <row r="572" spans="74:76" x14ac:dyDescent="0.2">
      <c r="BV572" s="23"/>
      <c r="BW572" s="23"/>
      <c r="BX572" s="23"/>
    </row>
    <row r="573" spans="74:76" x14ac:dyDescent="0.2">
      <c r="BV573" s="23"/>
      <c r="BW573" s="23"/>
      <c r="BX573" s="23"/>
    </row>
    <row r="574" spans="74:76" x14ac:dyDescent="0.2">
      <c r="BV574" s="23"/>
      <c r="BW574" s="23"/>
      <c r="BX574" s="23"/>
    </row>
    <row r="575" spans="74:76" x14ac:dyDescent="0.2">
      <c r="BV575" s="23"/>
      <c r="BW575" s="23"/>
      <c r="BX575" s="23"/>
    </row>
    <row r="576" spans="74:76" x14ac:dyDescent="0.2">
      <c r="BV576" s="23"/>
      <c r="BW576" s="23"/>
      <c r="BX576" s="23"/>
    </row>
    <row r="577" spans="74:76" x14ac:dyDescent="0.2">
      <c r="BV577" s="23"/>
      <c r="BW577" s="23"/>
      <c r="BX577" s="23"/>
    </row>
    <row r="578" spans="74:76" x14ac:dyDescent="0.2">
      <c r="BV578" s="23"/>
      <c r="BW578" s="23"/>
      <c r="BX578" s="23"/>
    </row>
    <row r="579" spans="74:76" x14ac:dyDescent="0.2">
      <c r="BV579" s="23"/>
      <c r="BW579" s="23"/>
      <c r="BX579" s="23"/>
    </row>
    <row r="580" spans="74:76" x14ac:dyDescent="0.2">
      <c r="BV580" s="23"/>
      <c r="BW580" s="23"/>
      <c r="BX580" s="23"/>
    </row>
    <row r="581" spans="74:76" x14ac:dyDescent="0.2">
      <c r="BV581" s="23"/>
      <c r="BW581" s="23"/>
      <c r="BX581" s="23"/>
    </row>
    <row r="582" spans="74:76" x14ac:dyDescent="0.2">
      <c r="BV582" s="23"/>
      <c r="BW582" s="23"/>
      <c r="BX582" s="23"/>
    </row>
    <row r="583" spans="74:76" x14ac:dyDescent="0.2">
      <c r="BV583" s="23"/>
      <c r="BW583" s="23"/>
      <c r="BX583" s="23"/>
    </row>
    <row r="584" spans="74:76" x14ac:dyDescent="0.2">
      <c r="BV584" s="23"/>
      <c r="BW584" s="23"/>
      <c r="BX584" s="23"/>
    </row>
    <row r="585" spans="74:76" x14ac:dyDescent="0.2">
      <c r="BV585" s="23"/>
      <c r="BW585" s="23"/>
      <c r="BX585" s="23"/>
    </row>
    <row r="586" spans="74:76" x14ac:dyDescent="0.2">
      <c r="BV586" s="23"/>
      <c r="BW586" s="23"/>
      <c r="BX586" s="23"/>
    </row>
    <row r="587" spans="74:76" x14ac:dyDescent="0.2">
      <c r="BV587" s="23"/>
      <c r="BW587" s="23"/>
      <c r="BX587" s="23"/>
    </row>
    <row r="588" spans="74:76" x14ac:dyDescent="0.2">
      <c r="BV588" s="23"/>
      <c r="BW588" s="23"/>
      <c r="BX588" s="23"/>
    </row>
    <row r="589" spans="74:76" x14ac:dyDescent="0.2">
      <c r="BV589" s="23"/>
      <c r="BW589" s="23"/>
      <c r="BX589" s="23"/>
    </row>
    <row r="590" spans="74:76" x14ac:dyDescent="0.2">
      <c r="BV590" s="23"/>
      <c r="BW590" s="23"/>
      <c r="BX590" s="23"/>
    </row>
    <row r="591" spans="74:76" x14ac:dyDescent="0.2">
      <c r="BV591" s="23"/>
      <c r="BW591" s="23"/>
      <c r="BX591" s="23"/>
    </row>
    <row r="592" spans="74:76" x14ac:dyDescent="0.2">
      <c r="BV592" s="23"/>
      <c r="BW592" s="23"/>
      <c r="BX592" s="23"/>
    </row>
    <row r="593" spans="74:76" x14ac:dyDescent="0.2">
      <c r="BV593" s="23"/>
      <c r="BW593" s="23"/>
      <c r="BX593" s="23"/>
    </row>
    <row r="594" spans="74:76" x14ac:dyDescent="0.2">
      <c r="BV594" s="23"/>
      <c r="BW594" s="23"/>
      <c r="BX594" s="23"/>
    </row>
    <row r="595" spans="74:76" x14ac:dyDescent="0.2">
      <c r="BV595" s="23"/>
      <c r="BW595" s="23"/>
      <c r="BX595" s="23"/>
    </row>
    <row r="596" spans="74:76" x14ac:dyDescent="0.2">
      <c r="BV596" s="23"/>
      <c r="BW596" s="23"/>
      <c r="BX596" s="23"/>
    </row>
    <row r="597" spans="74:76" x14ac:dyDescent="0.2">
      <c r="BV597" s="23"/>
      <c r="BW597" s="23"/>
      <c r="BX597" s="23"/>
    </row>
    <row r="598" spans="74:76" x14ac:dyDescent="0.2">
      <c r="BV598" s="23"/>
      <c r="BW598" s="23"/>
      <c r="BX598" s="23"/>
    </row>
    <row r="599" spans="74:76" x14ac:dyDescent="0.2">
      <c r="BV599" s="23"/>
      <c r="BW599" s="23"/>
      <c r="BX599" s="23"/>
    </row>
    <row r="600" spans="74:76" x14ac:dyDescent="0.2">
      <c r="BV600" s="23"/>
      <c r="BW600" s="23"/>
      <c r="BX600" s="23"/>
    </row>
    <row r="601" spans="74:76" x14ac:dyDescent="0.2">
      <c r="BV601" s="23"/>
      <c r="BW601" s="23"/>
      <c r="BX601" s="23"/>
    </row>
    <row r="602" spans="74:76" x14ac:dyDescent="0.2">
      <c r="BV602" s="23"/>
      <c r="BW602" s="23"/>
      <c r="BX602" s="23"/>
    </row>
    <row r="603" spans="74:76" x14ac:dyDescent="0.2">
      <c r="BV603" s="23"/>
      <c r="BW603" s="23"/>
      <c r="BX603" s="23"/>
    </row>
    <row r="604" spans="74:76" x14ac:dyDescent="0.2">
      <c r="BV604" s="23"/>
      <c r="BW604" s="23"/>
      <c r="BX604" s="23"/>
    </row>
    <row r="605" spans="74:76" x14ac:dyDescent="0.2">
      <c r="BV605" s="23"/>
      <c r="BW605" s="23"/>
      <c r="BX605" s="23"/>
    </row>
    <row r="606" spans="74:76" x14ac:dyDescent="0.2">
      <c r="BV606" s="23"/>
      <c r="BW606" s="23"/>
      <c r="BX606" s="23"/>
    </row>
    <row r="607" spans="74:76" x14ac:dyDescent="0.2">
      <c r="BV607" s="23"/>
      <c r="BW607" s="23"/>
      <c r="BX607" s="23"/>
    </row>
    <row r="608" spans="74:76" x14ac:dyDescent="0.2">
      <c r="BV608" s="23"/>
      <c r="BW608" s="23"/>
      <c r="BX608" s="23"/>
    </row>
    <row r="609" spans="74:76" x14ac:dyDescent="0.2">
      <c r="BV609" s="23"/>
      <c r="BW609" s="23"/>
      <c r="BX609" s="23"/>
    </row>
    <row r="610" spans="74:76" x14ac:dyDescent="0.2">
      <c r="BV610" s="23"/>
      <c r="BW610" s="23"/>
      <c r="BX610" s="23"/>
    </row>
    <row r="611" spans="74:76" x14ac:dyDescent="0.2">
      <c r="BV611" s="23"/>
      <c r="BW611" s="23"/>
      <c r="BX611" s="23"/>
    </row>
    <row r="612" spans="74:76" x14ac:dyDescent="0.2">
      <c r="BV612" s="23"/>
      <c r="BW612" s="23"/>
      <c r="BX612" s="23"/>
    </row>
    <row r="613" spans="74:76" x14ac:dyDescent="0.2">
      <c r="BV613" s="23"/>
      <c r="BW613" s="23"/>
      <c r="BX613" s="23"/>
    </row>
    <row r="614" spans="74:76" x14ac:dyDescent="0.2">
      <c r="BV614" s="23"/>
      <c r="BW614" s="23"/>
      <c r="BX614" s="23"/>
    </row>
    <row r="615" spans="74:76" x14ac:dyDescent="0.2">
      <c r="BV615" s="23"/>
      <c r="BW615" s="23"/>
      <c r="BX615" s="23"/>
    </row>
    <row r="616" spans="74:76" x14ac:dyDescent="0.2">
      <c r="BV616" s="23"/>
      <c r="BW616" s="23"/>
      <c r="BX616" s="23"/>
    </row>
    <row r="617" spans="74:76" x14ac:dyDescent="0.2">
      <c r="BV617" s="23"/>
      <c r="BW617" s="23"/>
      <c r="BX617" s="23"/>
    </row>
    <row r="618" spans="74:76" x14ac:dyDescent="0.2">
      <c r="BV618" s="23"/>
      <c r="BW618" s="23"/>
      <c r="BX618" s="23"/>
    </row>
    <row r="619" spans="74:76" x14ac:dyDescent="0.2">
      <c r="BV619" s="23"/>
      <c r="BW619" s="23"/>
      <c r="BX619" s="23"/>
    </row>
    <row r="620" spans="74:76" x14ac:dyDescent="0.2">
      <c r="BV620" s="23"/>
      <c r="BW620" s="23"/>
      <c r="BX620" s="23"/>
    </row>
    <row r="621" spans="74:76" x14ac:dyDescent="0.2">
      <c r="BV621" s="23"/>
      <c r="BW621" s="23"/>
      <c r="BX621" s="23"/>
    </row>
    <row r="622" spans="74:76" x14ac:dyDescent="0.2">
      <c r="BV622" s="23"/>
      <c r="BW622" s="23"/>
      <c r="BX622" s="23"/>
    </row>
    <row r="623" spans="74:76" x14ac:dyDescent="0.2">
      <c r="BV623" s="23"/>
      <c r="BW623" s="23"/>
      <c r="BX623" s="23"/>
    </row>
    <row r="624" spans="74:76" x14ac:dyDescent="0.2">
      <c r="BV624" s="23"/>
      <c r="BW624" s="23"/>
      <c r="BX624" s="23"/>
    </row>
    <row r="625" spans="74:76" x14ac:dyDescent="0.2">
      <c r="BV625" s="23"/>
      <c r="BW625" s="23"/>
      <c r="BX625" s="23"/>
    </row>
    <row r="626" spans="74:76" x14ac:dyDescent="0.2">
      <c r="BV626" s="23"/>
      <c r="BW626" s="23"/>
      <c r="BX626" s="23"/>
    </row>
    <row r="627" spans="74:76" x14ac:dyDescent="0.2">
      <c r="BV627" s="23"/>
      <c r="BW627" s="23"/>
      <c r="BX627" s="23"/>
    </row>
    <row r="628" spans="74:76" x14ac:dyDescent="0.2">
      <c r="BV628" s="23"/>
      <c r="BW628" s="23"/>
      <c r="BX628" s="23"/>
    </row>
    <row r="629" spans="74:76" x14ac:dyDescent="0.2">
      <c r="BV629" s="23"/>
      <c r="BW629" s="23"/>
      <c r="BX629" s="23"/>
    </row>
    <row r="630" spans="74:76" x14ac:dyDescent="0.2">
      <c r="BV630" s="23"/>
      <c r="BW630" s="23"/>
      <c r="BX630" s="23"/>
    </row>
    <row r="631" spans="74:76" x14ac:dyDescent="0.2">
      <c r="BV631" s="23"/>
      <c r="BW631" s="23"/>
      <c r="BX631" s="23"/>
    </row>
    <row r="632" spans="74:76" x14ac:dyDescent="0.2">
      <c r="BV632" s="23"/>
      <c r="BW632" s="23"/>
      <c r="BX632" s="23"/>
    </row>
    <row r="633" spans="74:76" x14ac:dyDescent="0.2">
      <c r="BV633" s="23"/>
      <c r="BW633" s="23"/>
      <c r="BX633" s="23"/>
    </row>
    <row r="634" spans="74:76" x14ac:dyDescent="0.2">
      <c r="BV634" s="23"/>
      <c r="BW634" s="23"/>
      <c r="BX634" s="23"/>
    </row>
    <row r="635" spans="74:76" x14ac:dyDescent="0.2">
      <c r="BV635" s="23"/>
      <c r="BW635" s="23"/>
      <c r="BX635" s="23"/>
    </row>
    <row r="636" spans="74:76" x14ac:dyDescent="0.2">
      <c r="BV636" s="23"/>
      <c r="BW636" s="23"/>
      <c r="BX636" s="23"/>
    </row>
    <row r="637" spans="74:76" x14ac:dyDescent="0.2">
      <c r="BV637" s="23"/>
      <c r="BW637" s="23"/>
      <c r="BX637" s="23"/>
    </row>
    <row r="638" spans="74:76" x14ac:dyDescent="0.2">
      <c r="BV638" s="23"/>
      <c r="BW638" s="23"/>
      <c r="BX638" s="23"/>
    </row>
    <row r="639" spans="74:76" x14ac:dyDescent="0.2">
      <c r="BV639" s="23"/>
      <c r="BW639" s="23"/>
      <c r="BX639" s="23"/>
    </row>
    <row r="640" spans="74:76" x14ac:dyDescent="0.2">
      <c r="BV640" s="23"/>
      <c r="BW640" s="23"/>
      <c r="BX640" s="23"/>
    </row>
    <row r="641" spans="74:76" x14ac:dyDescent="0.2">
      <c r="BV641" s="23"/>
      <c r="BW641" s="23"/>
      <c r="BX641" s="23"/>
    </row>
    <row r="642" spans="74:76" x14ac:dyDescent="0.2">
      <c r="BV642" s="23"/>
      <c r="BW642" s="23"/>
      <c r="BX642" s="23"/>
    </row>
    <row r="643" spans="74:76" x14ac:dyDescent="0.2">
      <c r="BV643" s="23"/>
      <c r="BW643" s="23"/>
      <c r="BX643" s="23"/>
    </row>
    <row r="644" spans="74:76" x14ac:dyDescent="0.2">
      <c r="BV644" s="23"/>
      <c r="BW644" s="23"/>
      <c r="BX644" s="23"/>
    </row>
    <row r="645" spans="74:76" x14ac:dyDescent="0.2">
      <c r="BV645" s="23"/>
      <c r="BW645" s="23"/>
      <c r="BX645" s="23"/>
    </row>
    <row r="646" spans="74:76" x14ac:dyDescent="0.2">
      <c r="BV646" s="23"/>
      <c r="BW646" s="23"/>
      <c r="BX646" s="23"/>
    </row>
    <row r="647" spans="74:76" x14ac:dyDescent="0.2">
      <c r="BV647" s="23"/>
      <c r="BW647" s="23"/>
      <c r="BX647" s="23"/>
    </row>
    <row r="648" spans="74:76" x14ac:dyDescent="0.2">
      <c r="BV648" s="23"/>
      <c r="BW648" s="23"/>
      <c r="BX648" s="23"/>
    </row>
    <row r="649" spans="74:76" x14ac:dyDescent="0.2">
      <c r="BV649" s="23"/>
      <c r="BW649" s="23"/>
      <c r="BX649" s="23"/>
    </row>
    <row r="650" spans="74:76" x14ac:dyDescent="0.2">
      <c r="BV650" s="23"/>
      <c r="BW650" s="23"/>
      <c r="BX650" s="23"/>
    </row>
    <row r="651" spans="74:76" x14ac:dyDescent="0.2">
      <c r="BV651" s="23"/>
      <c r="BW651" s="23"/>
      <c r="BX651" s="23"/>
    </row>
    <row r="652" spans="74:76" x14ac:dyDescent="0.2">
      <c r="BV652" s="23"/>
      <c r="BW652" s="23"/>
      <c r="BX652" s="23"/>
    </row>
    <row r="653" spans="74:76" x14ac:dyDescent="0.2">
      <c r="BV653" s="23"/>
      <c r="BW653" s="23"/>
      <c r="BX653" s="23"/>
    </row>
    <row r="654" spans="74:76" x14ac:dyDescent="0.2">
      <c r="BV654" s="23"/>
      <c r="BW654" s="23"/>
      <c r="BX654" s="23"/>
    </row>
    <row r="655" spans="74:76" x14ac:dyDescent="0.2">
      <c r="BV655" s="23"/>
      <c r="BW655" s="23"/>
      <c r="BX655" s="23"/>
    </row>
    <row r="656" spans="74:76" x14ac:dyDescent="0.2">
      <c r="BV656" s="23"/>
      <c r="BW656" s="23"/>
      <c r="BX656" s="23"/>
    </row>
    <row r="657" spans="74:76" x14ac:dyDescent="0.2">
      <c r="BV657" s="23"/>
      <c r="BW657" s="23"/>
      <c r="BX657" s="23"/>
    </row>
    <row r="658" spans="74:76" x14ac:dyDescent="0.2">
      <c r="BV658" s="23"/>
      <c r="BW658" s="23"/>
      <c r="BX658" s="23"/>
    </row>
    <row r="659" spans="74:76" x14ac:dyDescent="0.2">
      <c r="BV659" s="23"/>
      <c r="BW659" s="23"/>
      <c r="BX659" s="23"/>
    </row>
    <row r="660" spans="74:76" x14ac:dyDescent="0.2">
      <c r="BV660" s="23"/>
      <c r="BW660" s="23"/>
      <c r="BX660" s="23"/>
    </row>
    <row r="661" spans="74:76" x14ac:dyDescent="0.2">
      <c r="BV661" s="23"/>
      <c r="BW661" s="23"/>
      <c r="BX661" s="23"/>
    </row>
    <row r="662" spans="74:76" x14ac:dyDescent="0.2">
      <c r="BV662" s="23"/>
      <c r="BW662" s="23"/>
      <c r="BX662" s="23"/>
    </row>
    <row r="663" spans="74:76" x14ac:dyDescent="0.2">
      <c r="BV663" s="23"/>
      <c r="BW663" s="23"/>
      <c r="BX663" s="23"/>
    </row>
    <row r="664" spans="74:76" x14ac:dyDescent="0.2">
      <c r="BV664" s="23"/>
      <c r="BW664" s="23"/>
      <c r="BX664" s="23"/>
    </row>
    <row r="665" spans="74:76" x14ac:dyDescent="0.2">
      <c r="BV665" s="23"/>
      <c r="BW665" s="23"/>
      <c r="BX665" s="23"/>
    </row>
    <row r="666" spans="74:76" x14ac:dyDescent="0.2">
      <c r="BV666" s="23"/>
      <c r="BW666" s="23"/>
      <c r="BX666" s="23"/>
    </row>
    <row r="667" spans="74:76" x14ac:dyDescent="0.2">
      <c r="BV667" s="23"/>
      <c r="BW667" s="23"/>
      <c r="BX667" s="23"/>
    </row>
    <row r="668" spans="74:76" x14ac:dyDescent="0.2">
      <c r="BV668" s="23"/>
      <c r="BW668" s="23"/>
      <c r="BX668" s="23"/>
    </row>
    <row r="669" spans="74:76" x14ac:dyDescent="0.2">
      <c r="BV669" s="23"/>
      <c r="BW669" s="23"/>
      <c r="BX669" s="23"/>
    </row>
    <row r="670" spans="74:76" x14ac:dyDescent="0.2">
      <c r="BV670" s="23"/>
      <c r="BW670" s="23"/>
      <c r="BX670" s="23"/>
    </row>
    <row r="671" spans="74:76" x14ac:dyDescent="0.2">
      <c r="BV671" s="23"/>
      <c r="BW671" s="23"/>
      <c r="BX671" s="23"/>
    </row>
    <row r="672" spans="74:76" x14ac:dyDescent="0.2">
      <c r="BV672" s="23"/>
      <c r="BW672" s="23"/>
      <c r="BX672" s="23"/>
    </row>
    <row r="673" spans="74:76" x14ac:dyDescent="0.2">
      <c r="BV673" s="23"/>
      <c r="BW673" s="23"/>
      <c r="BX673" s="23"/>
    </row>
    <row r="674" spans="74:76" x14ac:dyDescent="0.2">
      <c r="BV674" s="23"/>
      <c r="BW674" s="23"/>
      <c r="BX674" s="23"/>
    </row>
    <row r="675" spans="74:76" x14ac:dyDescent="0.2">
      <c r="BV675" s="23"/>
      <c r="BW675" s="23"/>
      <c r="BX675" s="23"/>
    </row>
    <row r="676" spans="74:76" x14ac:dyDescent="0.2">
      <c r="BV676" s="23"/>
      <c r="BW676" s="23"/>
      <c r="BX676" s="23"/>
    </row>
    <row r="677" spans="74:76" x14ac:dyDescent="0.2">
      <c r="BV677" s="23"/>
      <c r="BW677" s="23"/>
      <c r="BX677" s="23"/>
    </row>
    <row r="678" spans="74:76" x14ac:dyDescent="0.2">
      <c r="BV678" s="23"/>
      <c r="BW678" s="23"/>
      <c r="BX678" s="23"/>
    </row>
    <row r="679" spans="74:76" x14ac:dyDescent="0.2">
      <c r="BV679" s="23"/>
      <c r="BW679" s="23"/>
      <c r="BX679" s="23"/>
    </row>
    <row r="680" spans="74:76" x14ac:dyDescent="0.2">
      <c r="BV680" s="23"/>
      <c r="BW680" s="23"/>
      <c r="BX680" s="23"/>
    </row>
    <row r="681" spans="74:76" x14ac:dyDescent="0.2">
      <c r="BV681" s="23"/>
      <c r="BW681" s="23"/>
      <c r="BX681" s="23"/>
    </row>
    <row r="682" spans="74:76" x14ac:dyDescent="0.2">
      <c r="BV682" s="23"/>
      <c r="BW682" s="23"/>
      <c r="BX682" s="23"/>
    </row>
    <row r="683" spans="74:76" x14ac:dyDescent="0.2">
      <c r="BV683" s="23"/>
      <c r="BW683" s="23"/>
      <c r="BX683" s="23"/>
    </row>
    <row r="684" spans="74:76" x14ac:dyDescent="0.2">
      <c r="BV684" s="23"/>
      <c r="BW684" s="23"/>
      <c r="BX684" s="23"/>
    </row>
    <row r="685" spans="74:76" x14ac:dyDescent="0.2">
      <c r="BV685" s="23"/>
      <c r="BW685" s="23"/>
      <c r="BX685" s="23"/>
    </row>
    <row r="686" spans="74:76" x14ac:dyDescent="0.2">
      <c r="BV686" s="23"/>
      <c r="BW686" s="23"/>
      <c r="BX686" s="23"/>
    </row>
    <row r="687" spans="74:76" x14ac:dyDescent="0.2">
      <c r="BV687" s="23"/>
      <c r="BW687" s="23"/>
      <c r="BX687" s="23"/>
    </row>
    <row r="688" spans="74:76" x14ac:dyDescent="0.2">
      <c r="BV688" s="23"/>
      <c r="BW688" s="23"/>
      <c r="BX688" s="23"/>
    </row>
    <row r="689" spans="74:76" x14ac:dyDescent="0.2">
      <c r="BV689" s="23"/>
      <c r="BW689" s="23"/>
      <c r="BX689" s="23"/>
    </row>
    <row r="690" spans="74:76" x14ac:dyDescent="0.2">
      <c r="BV690" s="23"/>
      <c r="BW690" s="23"/>
      <c r="BX690" s="23"/>
    </row>
    <row r="691" spans="74:76" x14ac:dyDescent="0.2">
      <c r="BV691" s="23"/>
      <c r="BW691" s="23"/>
      <c r="BX691" s="23"/>
    </row>
    <row r="692" spans="74:76" x14ac:dyDescent="0.2">
      <c r="BV692" s="23"/>
      <c r="BW692" s="23"/>
      <c r="BX692" s="23"/>
    </row>
    <row r="693" spans="74:76" x14ac:dyDescent="0.2">
      <c r="BV693" s="23"/>
      <c r="BW693" s="23"/>
      <c r="BX693" s="23"/>
    </row>
    <row r="694" spans="74:76" x14ac:dyDescent="0.2">
      <c r="BV694" s="23"/>
      <c r="BW694" s="23"/>
      <c r="BX694" s="23"/>
    </row>
    <row r="695" spans="74:76" x14ac:dyDescent="0.2">
      <c r="BV695" s="23"/>
      <c r="BW695" s="23"/>
      <c r="BX695" s="23"/>
    </row>
    <row r="696" spans="74:76" x14ac:dyDescent="0.2">
      <c r="BV696" s="23"/>
      <c r="BW696" s="23"/>
      <c r="BX696" s="23"/>
    </row>
    <row r="697" spans="74:76" x14ac:dyDescent="0.2">
      <c r="BV697" s="23"/>
      <c r="BW697" s="23"/>
      <c r="BX697" s="23"/>
    </row>
    <row r="698" spans="74:76" x14ac:dyDescent="0.2">
      <c r="BV698" s="23"/>
      <c r="BW698" s="23"/>
      <c r="BX698" s="23"/>
    </row>
    <row r="699" spans="74:76" x14ac:dyDescent="0.2">
      <c r="BV699" s="23"/>
      <c r="BW699" s="23"/>
      <c r="BX699" s="23"/>
    </row>
    <row r="700" spans="74:76" x14ac:dyDescent="0.2">
      <c r="BV700" s="23"/>
      <c r="BW700" s="23"/>
      <c r="BX700" s="23"/>
    </row>
    <row r="701" spans="74:76" x14ac:dyDescent="0.2">
      <c r="BV701" s="23"/>
      <c r="BW701" s="23"/>
      <c r="BX701" s="23"/>
    </row>
    <row r="702" spans="74:76" x14ac:dyDescent="0.2">
      <c r="BV702" s="23"/>
      <c r="BW702" s="23"/>
      <c r="BX702" s="23"/>
    </row>
    <row r="703" spans="74:76" x14ac:dyDescent="0.2">
      <c r="BV703" s="23"/>
      <c r="BW703" s="23"/>
      <c r="BX703" s="23"/>
    </row>
    <row r="704" spans="74:76" x14ac:dyDescent="0.2">
      <c r="BV704" s="23"/>
      <c r="BW704" s="23"/>
      <c r="BX704" s="23"/>
    </row>
    <row r="705" spans="74:76" x14ac:dyDescent="0.2">
      <c r="BV705" s="23"/>
      <c r="BW705" s="23"/>
      <c r="BX705" s="23"/>
    </row>
    <row r="706" spans="74:76" x14ac:dyDescent="0.2">
      <c r="BV706" s="23"/>
      <c r="BW706" s="23"/>
      <c r="BX706" s="23"/>
    </row>
    <row r="707" spans="74:76" x14ac:dyDescent="0.2">
      <c r="BV707" s="23"/>
      <c r="BW707" s="23"/>
      <c r="BX707" s="23"/>
    </row>
    <row r="708" spans="74:76" x14ac:dyDescent="0.2">
      <c r="BV708" s="23"/>
      <c r="BW708" s="23"/>
      <c r="BX708" s="23"/>
    </row>
    <row r="709" spans="74:76" x14ac:dyDescent="0.2">
      <c r="BV709" s="23"/>
      <c r="BW709" s="23"/>
      <c r="BX709" s="23"/>
    </row>
    <row r="710" spans="74:76" x14ac:dyDescent="0.2">
      <c r="BV710" s="23"/>
      <c r="BW710" s="23"/>
      <c r="BX710" s="23"/>
    </row>
    <row r="711" spans="74:76" x14ac:dyDescent="0.2">
      <c r="BV711" s="23"/>
      <c r="BW711" s="23"/>
      <c r="BX711" s="23"/>
    </row>
    <row r="712" spans="74:76" x14ac:dyDescent="0.2">
      <c r="BV712" s="23"/>
      <c r="BW712" s="23"/>
      <c r="BX712" s="23"/>
    </row>
    <row r="713" spans="74:76" x14ac:dyDescent="0.2">
      <c r="BV713" s="23"/>
      <c r="BW713" s="23"/>
      <c r="BX713" s="23"/>
    </row>
    <row r="714" spans="74:76" x14ac:dyDescent="0.2">
      <c r="BV714" s="23"/>
      <c r="BW714" s="23"/>
      <c r="BX714" s="23"/>
    </row>
    <row r="715" spans="74:76" x14ac:dyDescent="0.2">
      <c r="BV715" s="23"/>
      <c r="BW715" s="23"/>
      <c r="BX715" s="23"/>
    </row>
    <row r="716" spans="74:76" x14ac:dyDescent="0.2">
      <c r="BV716" s="23"/>
      <c r="BW716" s="23"/>
      <c r="BX716" s="23"/>
    </row>
    <row r="717" spans="74:76" x14ac:dyDescent="0.2">
      <c r="BV717" s="23"/>
      <c r="BW717" s="23"/>
      <c r="BX717" s="23"/>
    </row>
    <row r="718" spans="74:76" x14ac:dyDescent="0.2">
      <c r="BV718" s="23"/>
      <c r="BW718" s="23"/>
      <c r="BX718" s="23"/>
    </row>
    <row r="719" spans="74:76" x14ac:dyDescent="0.2">
      <c r="BV719" s="23"/>
      <c r="BW719" s="23"/>
      <c r="BX719" s="23"/>
    </row>
    <row r="720" spans="74:76" x14ac:dyDescent="0.2">
      <c r="BV720" s="23"/>
      <c r="BW720" s="23"/>
      <c r="BX720" s="23"/>
    </row>
    <row r="721" spans="74:76" x14ac:dyDescent="0.2">
      <c r="BV721" s="23"/>
      <c r="BW721" s="23"/>
      <c r="BX721" s="23"/>
    </row>
    <row r="722" spans="74:76" x14ac:dyDescent="0.2">
      <c r="BV722" s="23"/>
      <c r="BW722" s="23"/>
      <c r="BX722" s="23"/>
    </row>
    <row r="723" spans="74:76" x14ac:dyDescent="0.2">
      <c r="BV723" s="23"/>
      <c r="BW723" s="23"/>
      <c r="BX723" s="23"/>
    </row>
    <row r="724" spans="74:76" x14ac:dyDescent="0.2">
      <c r="BV724" s="23"/>
      <c r="BW724" s="23"/>
      <c r="BX724" s="23"/>
    </row>
    <row r="725" spans="74:76" x14ac:dyDescent="0.2">
      <c r="BV725" s="23"/>
      <c r="BW725" s="23"/>
      <c r="BX725" s="23"/>
    </row>
    <row r="726" spans="74:76" x14ac:dyDescent="0.2">
      <c r="BV726" s="23"/>
      <c r="BW726" s="23"/>
      <c r="BX726" s="23"/>
    </row>
    <row r="727" spans="74:76" x14ac:dyDescent="0.2">
      <c r="BV727" s="23"/>
      <c r="BW727" s="23"/>
      <c r="BX727" s="23"/>
    </row>
    <row r="728" spans="74:76" x14ac:dyDescent="0.2">
      <c r="BV728" s="23"/>
      <c r="BW728" s="23"/>
      <c r="BX728" s="23"/>
    </row>
    <row r="729" spans="74:76" x14ac:dyDescent="0.2">
      <c r="BV729" s="23"/>
      <c r="BW729" s="23"/>
      <c r="BX729" s="23"/>
    </row>
    <row r="730" spans="74:76" x14ac:dyDescent="0.2">
      <c r="BV730" s="23"/>
      <c r="BW730" s="23"/>
      <c r="BX730" s="23"/>
    </row>
    <row r="731" spans="74:76" x14ac:dyDescent="0.2">
      <c r="BV731" s="23"/>
      <c r="BW731" s="23"/>
      <c r="BX731" s="23"/>
    </row>
    <row r="732" spans="74:76" x14ac:dyDescent="0.2">
      <c r="BV732" s="23"/>
      <c r="BW732" s="23"/>
      <c r="BX732" s="23"/>
    </row>
    <row r="733" spans="74:76" x14ac:dyDescent="0.2">
      <c r="BV733" s="23"/>
      <c r="BW733" s="23"/>
      <c r="BX733" s="23"/>
    </row>
    <row r="734" spans="74:76" x14ac:dyDescent="0.2">
      <c r="BV734" s="23"/>
      <c r="BW734" s="23"/>
      <c r="BX734" s="23"/>
    </row>
    <row r="735" spans="74:76" x14ac:dyDescent="0.2">
      <c r="BV735" s="23"/>
      <c r="BW735" s="23"/>
      <c r="BX735" s="23"/>
    </row>
    <row r="736" spans="74:76" x14ac:dyDescent="0.2">
      <c r="BV736" s="23"/>
      <c r="BW736" s="23"/>
      <c r="BX736" s="23"/>
    </row>
    <row r="737" spans="74:76" x14ac:dyDescent="0.2">
      <c r="BV737" s="23"/>
      <c r="BW737" s="23"/>
      <c r="BX737" s="23"/>
    </row>
    <row r="738" spans="74:76" x14ac:dyDescent="0.2">
      <c r="BV738" s="23"/>
      <c r="BW738" s="23"/>
      <c r="BX738" s="23"/>
    </row>
    <row r="739" spans="74:76" x14ac:dyDescent="0.2">
      <c r="BV739" s="23"/>
      <c r="BW739" s="23"/>
      <c r="BX739" s="23"/>
    </row>
    <row r="740" spans="74:76" x14ac:dyDescent="0.2">
      <c r="BV740" s="23"/>
      <c r="BW740" s="23"/>
      <c r="BX740" s="23"/>
    </row>
    <row r="741" spans="74:76" x14ac:dyDescent="0.2">
      <c r="BV741" s="23"/>
      <c r="BW741" s="23"/>
      <c r="BX741" s="23"/>
    </row>
    <row r="742" spans="74:76" x14ac:dyDescent="0.2">
      <c r="BV742" s="23"/>
      <c r="BW742" s="23"/>
      <c r="BX742" s="23"/>
    </row>
    <row r="743" spans="74:76" x14ac:dyDescent="0.2">
      <c r="BV743" s="23"/>
      <c r="BW743" s="23"/>
      <c r="BX743" s="23"/>
    </row>
    <row r="744" spans="74:76" x14ac:dyDescent="0.2">
      <c r="BV744" s="23"/>
      <c r="BW744" s="23"/>
      <c r="BX744" s="23"/>
    </row>
    <row r="745" spans="74:76" x14ac:dyDescent="0.2">
      <c r="BV745" s="23"/>
      <c r="BW745" s="23"/>
      <c r="BX745" s="23"/>
    </row>
    <row r="746" spans="74:76" x14ac:dyDescent="0.2">
      <c r="BV746" s="23"/>
      <c r="BW746" s="23"/>
      <c r="BX746" s="23"/>
    </row>
    <row r="747" spans="74:76" x14ac:dyDescent="0.2">
      <c r="BV747" s="23"/>
      <c r="BW747" s="23"/>
      <c r="BX747" s="23"/>
    </row>
    <row r="748" spans="74:76" x14ac:dyDescent="0.2">
      <c r="BV748" s="23"/>
      <c r="BW748" s="23"/>
      <c r="BX748" s="23"/>
    </row>
    <row r="749" spans="74:76" x14ac:dyDescent="0.2">
      <c r="BV749" s="23"/>
      <c r="BW749" s="23"/>
      <c r="BX749" s="23"/>
    </row>
    <row r="750" spans="74:76" x14ac:dyDescent="0.2">
      <c r="BV750" s="23"/>
      <c r="BW750" s="23"/>
      <c r="BX750" s="23"/>
    </row>
    <row r="751" spans="74:76" x14ac:dyDescent="0.2">
      <c r="BV751" s="23"/>
      <c r="BW751" s="23"/>
      <c r="BX751" s="23"/>
    </row>
    <row r="752" spans="74:76" x14ac:dyDescent="0.2">
      <c r="BV752" s="23"/>
      <c r="BW752" s="23"/>
      <c r="BX752" s="23"/>
    </row>
    <row r="753" spans="74:76" x14ac:dyDescent="0.2">
      <c r="BV753" s="23"/>
      <c r="BW753" s="23"/>
      <c r="BX753" s="23"/>
    </row>
    <row r="754" spans="74:76" x14ac:dyDescent="0.2">
      <c r="BV754" s="23"/>
      <c r="BW754" s="23"/>
      <c r="BX754" s="23"/>
    </row>
    <row r="755" spans="74:76" x14ac:dyDescent="0.2">
      <c r="BV755" s="23"/>
      <c r="BW755" s="23"/>
      <c r="BX755" s="23"/>
    </row>
    <row r="756" spans="74:76" x14ac:dyDescent="0.2">
      <c r="BV756" s="23"/>
      <c r="BW756" s="23"/>
      <c r="BX756" s="23"/>
    </row>
    <row r="757" spans="74:76" x14ac:dyDescent="0.2">
      <c r="BV757" s="23"/>
      <c r="BW757" s="23"/>
      <c r="BX757" s="23"/>
    </row>
    <row r="758" spans="74:76" x14ac:dyDescent="0.2">
      <c r="BV758" s="23"/>
      <c r="BW758" s="23"/>
      <c r="BX758" s="23"/>
    </row>
    <row r="759" spans="74:76" x14ac:dyDescent="0.2">
      <c r="BV759" s="23"/>
      <c r="BW759" s="23"/>
      <c r="BX759" s="23"/>
    </row>
    <row r="760" spans="74:76" x14ac:dyDescent="0.2">
      <c r="BV760" s="23"/>
      <c r="BW760" s="23"/>
      <c r="BX760" s="23"/>
    </row>
    <row r="761" spans="74:76" x14ac:dyDescent="0.2">
      <c r="BV761" s="23"/>
      <c r="BW761" s="23"/>
      <c r="BX761" s="23"/>
    </row>
    <row r="762" spans="74:76" x14ac:dyDescent="0.2">
      <c r="BV762" s="23"/>
      <c r="BW762" s="23"/>
      <c r="BX762" s="23"/>
    </row>
    <row r="763" spans="74:76" x14ac:dyDescent="0.2">
      <c r="BV763" s="23"/>
      <c r="BW763" s="23"/>
      <c r="BX763" s="23"/>
    </row>
    <row r="764" spans="74:76" x14ac:dyDescent="0.2">
      <c r="BV764" s="23"/>
      <c r="BW764" s="23"/>
      <c r="BX764" s="23"/>
    </row>
    <row r="765" spans="74:76" x14ac:dyDescent="0.2">
      <c r="BV765" s="23"/>
      <c r="BW765" s="23"/>
      <c r="BX765" s="23"/>
    </row>
    <row r="766" spans="74:76" x14ac:dyDescent="0.2">
      <c r="BV766" s="23"/>
      <c r="BW766" s="23"/>
      <c r="BX766" s="23"/>
    </row>
    <row r="767" spans="74:76" x14ac:dyDescent="0.2">
      <c r="BV767" s="23"/>
      <c r="BW767" s="23"/>
      <c r="BX767" s="23"/>
    </row>
    <row r="768" spans="74:76" x14ac:dyDescent="0.2">
      <c r="BV768" s="23"/>
      <c r="BW768" s="23"/>
      <c r="BX768" s="23"/>
    </row>
    <row r="769" spans="74:76" x14ac:dyDescent="0.2">
      <c r="BV769" s="23"/>
      <c r="BW769" s="23"/>
      <c r="BX769" s="23"/>
    </row>
    <row r="770" spans="74:76" x14ac:dyDescent="0.2">
      <c r="BV770" s="23"/>
      <c r="BW770" s="23"/>
      <c r="BX770" s="23"/>
    </row>
    <row r="771" spans="74:76" x14ac:dyDescent="0.2">
      <c r="BV771" s="23"/>
      <c r="BW771" s="23"/>
      <c r="BX771" s="23"/>
    </row>
    <row r="772" spans="74:76" x14ac:dyDescent="0.2">
      <c r="BV772" s="23"/>
      <c r="BW772" s="23"/>
      <c r="BX772" s="23"/>
    </row>
    <row r="773" spans="74:76" x14ac:dyDescent="0.2">
      <c r="BV773" s="23"/>
      <c r="BW773" s="23"/>
      <c r="BX773" s="23"/>
    </row>
    <row r="774" spans="74:76" x14ac:dyDescent="0.2">
      <c r="BV774" s="23"/>
      <c r="BW774" s="23"/>
      <c r="BX774" s="23"/>
    </row>
    <row r="775" spans="74:76" x14ac:dyDescent="0.2">
      <c r="BV775" s="23"/>
      <c r="BW775" s="23"/>
      <c r="BX775" s="23"/>
    </row>
    <row r="776" spans="74:76" x14ac:dyDescent="0.2">
      <c r="BV776" s="23"/>
      <c r="BW776" s="23"/>
      <c r="BX776" s="23"/>
    </row>
    <row r="777" spans="74:76" x14ac:dyDescent="0.2">
      <c r="BV777" s="23"/>
      <c r="BW777" s="23"/>
      <c r="BX777" s="23"/>
    </row>
    <row r="778" spans="74:76" x14ac:dyDescent="0.2">
      <c r="BV778" s="23"/>
      <c r="BW778" s="23"/>
      <c r="BX778" s="23"/>
    </row>
    <row r="779" spans="74:76" x14ac:dyDescent="0.2">
      <c r="BV779" s="23"/>
      <c r="BW779" s="23"/>
      <c r="BX779" s="23"/>
    </row>
    <row r="780" spans="74:76" x14ac:dyDescent="0.2">
      <c r="BV780" s="23"/>
      <c r="BW780" s="23"/>
      <c r="BX780" s="23"/>
    </row>
    <row r="781" spans="74:76" x14ac:dyDescent="0.2">
      <c r="BV781" s="23"/>
      <c r="BW781" s="23"/>
      <c r="BX781" s="23"/>
    </row>
    <row r="782" spans="74:76" x14ac:dyDescent="0.2">
      <c r="BV782" s="23"/>
      <c r="BW782" s="23"/>
      <c r="BX782" s="23"/>
    </row>
    <row r="783" spans="74:76" x14ac:dyDescent="0.2">
      <c r="BV783" s="23"/>
      <c r="BW783" s="23"/>
      <c r="BX783" s="23"/>
    </row>
    <row r="784" spans="74:76" x14ac:dyDescent="0.2">
      <c r="BV784" s="23"/>
      <c r="BW784" s="23"/>
      <c r="BX784" s="23"/>
    </row>
    <row r="785" spans="74:76" x14ac:dyDescent="0.2">
      <c r="BV785" s="23"/>
      <c r="BW785" s="23"/>
      <c r="BX785" s="23"/>
    </row>
    <row r="786" spans="74:76" x14ac:dyDescent="0.2">
      <c r="BV786" s="23"/>
      <c r="BW786" s="23"/>
      <c r="BX786" s="23"/>
    </row>
    <row r="787" spans="74:76" x14ac:dyDescent="0.2">
      <c r="BV787" s="23"/>
      <c r="BW787" s="23"/>
      <c r="BX787" s="23"/>
    </row>
    <row r="788" spans="74:76" x14ac:dyDescent="0.2">
      <c r="BV788" s="23"/>
      <c r="BW788" s="23"/>
      <c r="BX788" s="23"/>
    </row>
    <row r="789" spans="74:76" x14ac:dyDescent="0.2">
      <c r="BV789" s="23"/>
      <c r="BW789" s="23"/>
      <c r="BX789" s="23"/>
    </row>
    <row r="790" spans="74:76" x14ac:dyDescent="0.2">
      <c r="BV790" s="23"/>
      <c r="BW790" s="23"/>
      <c r="BX790" s="23"/>
    </row>
    <row r="791" spans="74:76" x14ac:dyDescent="0.2">
      <c r="BV791" s="23"/>
      <c r="BW791" s="23"/>
      <c r="BX791" s="23"/>
    </row>
    <row r="792" spans="74:76" x14ac:dyDescent="0.2">
      <c r="BV792" s="23"/>
      <c r="BW792" s="23"/>
      <c r="BX792" s="23"/>
    </row>
    <row r="793" spans="74:76" x14ac:dyDescent="0.2">
      <c r="BV793" s="23"/>
      <c r="BW793" s="23"/>
      <c r="BX793" s="23"/>
    </row>
    <row r="794" spans="74:76" x14ac:dyDescent="0.2">
      <c r="BV794" s="23"/>
      <c r="BW794" s="23"/>
      <c r="BX794" s="23"/>
    </row>
    <row r="795" spans="74:76" x14ac:dyDescent="0.2">
      <c r="BV795" s="23"/>
      <c r="BW795" s="23"/>
      <c r="BX795" s="23"/>
    </row>
    <row r="796" spans="74:76" x14ac:dyDescent="0.2">
      <c r="BV796" s="23"/>
      <c r="BW796" s="23"/>
      <c r="BX796" s="23"/>
    </row>
    <row r="797" spans="74:76" x14ac:dyDescent="0.2">
      <c r="BV797" s="23"/>
      <c r="BW797" s="23"/>
      <c r="BX797" s="23"/>
    </row>
    <row r="798" spans="74:76" x14ac:dyDescent="0.2">
      <c r="BV798" s="23"/>
      <c r="BW798" s="23"/>
      <c r="BX798" s="23"/>
    </row>
    <row r="799" spans="74:76" x14ac:dyDescent="0.2">
      <c r="BV799" s="23"/>
      <c r="BW799" s="23"/>
      <c r="BX799" s="23"/>
    </row>
    <row r="800" spans="74:76" x14ac:dyDescent="0.2">
      <c r="BV800" s="23"/>
      <c r="BW800" s="23"/>
      <c r="BX800" s="23"/>
    </row>
    <row r="801" spans="74:76" x14ac:dyDescent="0.2">
      <c r="BV801" s="23"/>
      <c r="BW801" s="23"/>
      <c r="BX801" s="23"/>
    </row>
    <row r="802" spans="74:76" x14ac:dyDescent="0.2">
      <c r="BV802" s="23"/>
      <c r="BW802" s="23"/>
      <c r="BX802" s="23"/>
    </row>
    <row r="803" spans="74:76" x14ac:dyDescent="0.2">
      <c r="BV803" s="23"/>
      <c r="BW803" s="23"/>
      <c r="BX803" s="23"/>
    </row>
    <row r="804" spans="74:76" x14ac:dyDescent="0.2">
      <c r="BV804" s="23"/>
      <c r="BW804" s="23"/>
      <c r="BX804" s="23"/>
    </row>
    <row r="805" spans="74:76" x14ac:dyDescent="0.2">
      <c r="BV805" s="23"/>
      <c r="BW805" s="23"/>
      <c r="BX805" s="23"/>
    </row>
    <row r="806" spans="74:76" x14ac:dyDescent="0.2">
      <c r="BV806" s="23"/>
      <c r="BW806" s="23"/>
      <c r="BX806" s="23"/>
    </row>
    <row r="807" spans="74:76" x14ac:dyDescent="0.2">
      <c r="BV807" s="23"/>
      <c r="BW807" s="23"/>
      <c r="BX807" s="23"/>
    </row>
    <row r="808" spans="74:76" x14ac:dyDescent="0.2">
      <c r="BV808" s="23"/>
      <c r="BW808" s="23"/>
      <c r="BX808" s="23"/>
    </row>
    <row r="809" spans="74:76" x14ac:dyDescent="0.2">
      <c r="BV809" s="23"/>
      <c r="BW809" s="23"/>
      <c r="BX809" s="23"/>
    </row>
    <row r="810" spans="74:76" x14ac:dyDescent="0.2">
      <c r="BV810" s="23"/>
      <c r="BW810" s="23"/>
      <c r="BX810" s="23"/>
    </row>
    <row r="811" spans="74:76" x14ac:dyDescent="0.2">
      <c r="BV811" s="23"/>
      <c r="BW811" s="23"/>
      <c r="BX811" s="23"/>
    </row>
    <row r="812" spans="74:76" x14ac:dyDescent="0.2">
      <c r="BV812" s="23"/>
      <c r="BW812" s="23"/>
      <c r="BX812" s="23"/>
    </row>
    <row r="813" spans="74:76" x14ac:dyDescent="0.2">
      <c r="BV813" s="23"/>
      <c r="BW813" s="23"/>
      <c r="BX813" s="23"/>
    </row>
    <row r="814" spans="74:76" x14ac:dyDescent="0.2">
      <c r="BV814" s="23"/>
      <c r="BW814" s="23"/>
      <c r="BX814" s="23"/>
    </row>
    <row r="815" spans="74:76" x14ac:dyDescent="0.2">
      <c r="BV815" s="23"/>
      <c r="BW815" s="23"/>
      <c r="BX815" s="23"/>
    </row>
    <row r="816" spans="74:76" x14ac:dyDescent="0.2">
      <c r="BV816" s="23"/>
      <c r="BW816" s="23"/>
      <c r="BX816" s="23"/>
    </row>
    <row r="817" spans="74:76" x14ac:dyDescent="0.2">
      <c r="BV817" s="23"/>
      <c r="BW817" s="23"/>
      <c r="BX817" s="23"/>
    </row>
    <row r="818" spans="74:76" x14ac:dyDescent="0.2">
      <c r="BV818" s="23"/>
      <c r="BW818" s="23"/>
      <c r="BX818" s="23"/>
    </row>
    <row r="819" spans="74:76" x14ac:dyDescent="0.2">
      <c r="BV819" s="23"/>
      <c r="BW819" s="23"/>
      <c r="BX819" s="23"/>
    </row>
    <row r="820" spans="74:76" x14ac:dyDescent="0.2">
      <c r="BV820" s="23"/>
      <c r="BW820" s="23"/>
      <c r="BX820" s="23"/>
    </row>
    <row r="821" spans="74:76" x14ac:dyDescent="0.2">
      <c r="BV821" s="23"/>
      <c r="BW821" s="23"/>
      <c r="BX821" s="23"/>
    </row>
    <row r="822" spans="74:76" x14ac:dyDescent="0.2">
      <c r="BV822" s="23"/>
      <c r="BW822" s="23"/>
      <c r="BX822" s="23"/>
    </row>
    <row r="823" spans="74:76" x14ac:dyDescent="0.2">
      <c r="BV823" s="23"/>
      <c r="BW823" s="23"/>
      <c r="BX823" s="23"/>
    </row>
    <row r="824" spans="74:76" x14ac:dyDescent="0.2">
      <c r="BV824" s="23"/>
      <c r="BW824" s="23"/>
      <c r="BX824" s="23"/>
    </row>
    <row r="825" spans="74:76" x14ac:dyDescent="0.2">
      <c r="BV825" s="23"/>
      <c r="BW825" s="23"/>
      <c r="BX825" s="23"/>
    </row>
    <row r="826" spans="74:76" x14ac:dyDescent="0.2">
      <c r="BV826" s="23"/>
      <c r="BW826" s="23"/>
      <c r="BX826" s="23"/>
    </row>
    <row r="827" spans="74:76" x14ac:dyDescent="0.2">
      <c r="BV827" s="23"/>
      <c r="BW827" s="23"/>
      <c r="BX827" s="23"/>
    </row>
    <row r="828" spans="74:76" x14ac:dyDescent="0.2">
      <c r="BV828" s="23"/>
      <c r="BW828" s="23"/>
      <c r="BX828" s="23"/>
    </row>
    <row r="829" spans="74:76" x14ac:dyDescent="0.2">
      <c r="BV829" s="23"/>
      <c r="BW829" s="23"/>
      <c r="BX829" s="23"/>
    </row>
    <row r="830" spans="74:76" x14ac:dyDescent="0.2">
      <c r="BV830" s="23"/>
      <c r="BW830" s="23"/>
      <c r="BX830" s="23"/>
    </row>
    <row r="831" spans="74:76" x14ac:dyDescent="0.2">
      <c r="BV831" s="23"/>
      <c r="BW831" s="23"/>
      <c r="BX831" s="23"/>
    </row>
    <row r="832" spans="74:76" x14ac:dyDescent="0.2">
      <c r="BV832" s="23"/>
      <c r="BW832" s="23"/>
      <c r="BX832" s="23"/>
    </row>
    <row r="833" spans="74:76" x14ac:dyDescent="0.2">
      <c r="BV833" s="23"/>
      <c r="BW833" s="23"/>
      <c r="BX833" s="23"/>
    </row>
    <row r="834" spans="74:76" x14ac:dyDescent="0.2">
      <c r="BV834" s="23"/>
      <c r="BW834" s="23"/>
      <c r="BX834" s="23"/>
    </row>
    <row r="835" spans="74:76" x14ac:dyDescent="0.2">
      <c r="BV835" s="23"/>
      <c r="BW835" s="23"/>
      <c r="BX835" s="23"/>
    </row>
    <row r="836" spans="74:76" x14ac:dyDescent="0.2">
      <c r="BV836" s="23"/>
      <c r="BW836" s="23"/>
      <c r="BX836" s="23"/>
    </row>
    <row r="837" spans="74:76" x14ac:dyDescent="0.2">
      <c r="BV837" s="23"/>
      <c r="BW837" s="23"/>
      <c r="BX837" s="23"/>
    </row>
    <row r="838" spans="74:76" x14ac:dyDescent="0.2">
      <c r="BV838" s="23"/>
      <c r="BW838" s="23"/>
      <c r="BX838" s="23"/>
    </row>
    <row r="839" spans="74:76" x14ac:dyDescent="0.2">
      <c r="BV839" s="23"/>
      <c r="BW839" s="23"/>
      <c r="BX839" s="23"/>
    </row>
    <row r="840" spans="74:76" x14ac:dyDescent="0.2">
      <c r="BV840" s="23"/>
      <c r="BW840" s="23"/>
      <c r="BX840" s="23"/>
    </row>
    <row r="841" spans="74:76" x14ac:dyDescent="0.2">
      <c r="BV841" s="23"/>
      <c r="BW841" s="23"/>
      <c r="BX841" s="23"/>
    </row>
    <row r="842" spans="74:76" x14ac:dyDescent="0.2">
      <c r="BV842" s="23"/>
      <c r="BW842" s="23"/>
      <c r="BX842" s="23"/>
    </row>
    <row r="843" spans="74:76" x14ac:dyDescent="0.2">
      <c r="BV843" s="23"/>
      <c r="BW843" s="23"/>
      <c r="BX843" s="23"/>
    </row>
    <row r="844" spans="74:76" x14ac:dyDescent="0.2">
      <c r="BV844" s="23"/>
      <c r="BW844" s="23"/>
      <c r="BX844" s="23"/>
    </row>
    <row r="845" spans="74:76" x14ac:dyDescent="0.2">
      <c r="BV845" s="23"/>
      <c r="BW845" s="23"/>
      <c r="BX845" s="23"/>
    </row>
    <row r="846" spans="74:76" x14ac:dyDescent="0.2">
      <c r="BV846" s="23"/>
      <c r="BW846" s="23"/>
      <c r="BX846" s="23"/>
    </row>
    <row r="847" spans="74:76" x14ac:dyDescent="0.2">
      <c r="BV847" s="23"/>
      <c r="BW847" s="23"/>
      <c r="BX847" s="23"/>
    </row>
    <row r="848" spans="74:76" x14ac:dyDescent="0.2">
      <c r="BV848" s="23"/>
      <c r="BW848" s="23"/>
      <c r="BX848" s="23"/>
    </row>
    <row r="849" spans="74:76" x14ac:dyDescent="0.2">
      <c r="BV849" s="23"/>
      <c r="BW849" s="23"/>
      <c r="BX849" s="23"/>
    </row>
    <row r="850" spans="74:76" x14ac:dyDescent="0.2">
      <c r="BV850" s="23"/>
      <c r="BW850" s="23"/>
      <c r="BX850" s="23"/>
    </row>
    <row r="851" spans="74:76" x14ac:dyDescent="0.2">
      <c r="BV851" s="23"/>
      <c r="BW851" s="23"/>
      <c r="BX851" s="23"/>
    </row>
    <row r="852" spans="74:76" x14ac:dyDescent="0.2">
      <c r="BV852" s="23"/>
      <c r="BW852" s="23"/>
      <c r="BX852" s="23"/>
    </row>
    <row r="853" spans="74:76" x14ac:dyDescent="0.2">
      <c r="BV853" s="23"/>
      <c r="BW853" s="23"/>
      <c r="BX853" s="23"/>
    </row>
    <row r="854" spans="74:76" x14ac:dyDescent="0.2">
      <c r="BV854" s="23"/>
      <c r="BW854" s="23"/>
      <c r="BX854" s="23"/>
    </row>
    <row r="855" spans="74:76" x14ac:dyDescent="0.2">
      <c r="BV855" s="23"/>
      <c r="BW855" s="23"/>
      <c r="BX855" s="23"/>
    </row>
    <row r="856" spans="74:76" x14ac:dyDescent="0.2">
      <c r="BV856" s="23"/>
      <c r="BW856" s="23"/>
      <c r="BX856" s="23"/>
    </row>
    <row r="857" spans="74:76" x14ac:dyDescent="0.2">
      <c r="BV857" s="23"/>
      <c r="BW857" s="23"/>
      <c r="BX857" s="23"/>
    </row>
    <row r="858" spans="74:76" x14ac:dyDescent="0.2">
      <c r="BV858" s="23"/>
      <c r="BW858" s="23"/>
      <c r="BX858" s="23"/>
    </row>
    <row r="859" spans="74:76" x14ac:dyDescent="0.2">
      <c r="BV859" s="23"/>
      <c r="BW859" s="23"/>
      <c r="BX859" s="23"/>
    </row>
    <row r="860" spans="74:76" x14ac:dyDescent="0.2">
      <c r="BV860" s="23"/>
      <c r="BW860" s="23"/>
      <c r="BX860" s="23"/>
    </row>
    <row r="861" spans="74:76" x14ac:dyDescent="0.2">
      <c r="BV861" s="23"/>
      <c r="BW861" s="23"/>
      <c r="BX861" s="23"/>
    </row>
    <row r="862" spans="74:76" x14ac:dyDescent="0.2">
      <c r="BV862" s="23"/>
      <c r="BW862" s="23"/>
      <c r="BX862" s="23"/>
    </row>
    <row r="863" spans="74:76" x14ac:dyDescent="0.2">
      <c r="BV863" s="23"/>
      <c r="BW863" s="23"/>
      <c r="BX863" s="23"/>
    </row>
    <row r="864" spans="74:76" x14ac:dyDescent="0.2">
      <c r="BV864" s="23"/>
      <c r="BW864" s="23"/>
      <c r="BX864" s="23"/>
    </row>
    <row r="865" spans="74:76" x14ac:dyDescent="0.2">
      <c r="BV865" s="23"/>
      <c r="BW865" s="23"/>
      <c r="BX865" s="23"/>
    </row>
    <row r="866" spans="74:76" x14ac:dyDescent="0.2">
      <c r="BV866" s="23"/>
      <c r="BW866" s="23"/>
      <c r="BX866" s="23"/>
    </row>
    <row r="867" spans="74:76" x14ac:dyDescent="0.2">
      <c r="BV867" s="23"/>
      <c r="BW867" s="23"/>
      <c r="BX867" s="23"/>
    </row>
    <row r="868" spans="74:76" x14ac:dyDescent="0.2">
      <c r="BV868" s="23"/>
      <c r="BW868" s="23"/>
      <c r="BX868" s="23"/>
    </row>
    <row r="869" spans="74:76" x14ac:dyDescent="0.2">
      <c r="BV869" s="23"/>
      <c r="BW869" s="23"/>
      <c r="BX869" s="23"/>
    </row>
    <row r="870" spans="74:76" x14ac:dyDescent="0.2">
      <c r="BV870" s="23"/>
      <c r="BW870" s="23"/>
      <c r="BX870" s="23"/>
    </row>
    <row r="871" spans="74:76" x14ac:dyDescent="0.2">
      <c r="BV871" s="23"/>
      <c r="BW871" s="23"/>
      <c r="BX871" s="23"/>
    </row>
    <row r="872" spans="74:76" x14ac:dyDescent="0.2">
      <c r="BV872" s="23"/>
      <c r="BW872" s="23"/>
      <c r="BX872" s="23"/>
    </row>
    <row r="873" spans="74:76" x14ac:dyDescent="0.2">
      <c r="BV873" s="23"/>
      <c r="BW873" s="23"/>
      <c r="BX873" s="23"/>
    </row>
    <row r="874" spans="74:76" x14ac:dyDescent="0.2">
      <c r="BV874" s="23"/>
      <c r="BW874" s="23"/>
      <c r="BX874" s="23"/>
    </row>
    <row r="875" spans="74:76" x14ac:dyDescent="0.2">
      <c r="BV875" s="23"/>
      <c r="BW875" s="23"/>
      <c r="BX875" s="23"/>
    </row>
    <row r="876" spans="74:76" x14ac:dyDescent="0.2">
      <c r="BV876" s="23"/>
      <c r="BW876" s="23"/>
      <c r="BX876" s="23"/>
    </row>
    <row r="877" spans="74:76" x14ac:dyDescent="0.2">
      <c r="BV877" s="23"/>
      <c r="BW877" s="23"/>
      <c r="BX877" s="23"/>
    </row>
    <row r="878" spans="74:76" x14ac:dyDescent="0.2">
      <c r="BV878" s="23"/>
      <c r="BW878" s="23"/>
      <c r="BX878" s="23"/>
    </row>
    <row r="879" spans="74:76" x14ac:dyDescent="0.2">
      <c r="BV879" s="23"/>
      <c r="BW879" s="23"/>
      <c r="BX879" s="23"/>
    </row>
    <row r="880" spans="74:76" x14ac:dyDescent="0.2">
      <c r="BV880" s="23"/>
      <c r="BW880" s="23"/>
      <c r="BX880" s="23"/>
    </row>
    <row r="881" spans="74:76" x14ac:dyDescent="0.2">
      <c r="BV881" s="23"/>
      <c r="BW881" s="23"/>
      <c r="BX881" s="23"/>
    </row>
    <row r="882" spans="74:76" x14ac:dyDescent="0.2">
      <c r="BV882" s="23"/>
      <c r="BW882" s="23"/>
      <c r="BX882" s="23"/>
    </row>
    <row r="883" spans="74:76" x14ac:dyDescent="0.2">
      <c r="BV883" s="23"/>
      <c r="BW883" s="23"/>
      <c r="BX883" s="23"/>
    </row>
    <row r="884" spans="74:76" x14ac:dyDescent="0.2">
      <c r="BV884" s="23"/>
      <c r="BW884" s="23"/>
      <c r="BX884" s="23"/>
    </row>
    <row r="885" spans="74:76" x14ac:dyDescent="0.2">
      <c r="BV885" s="23"/>
      <c r="BW885" s="23"/>
      <c r="BX885" s="23"/>
    </row>
    <row r="886" spans="74:76" x14ac:dyDescent="0.2">
      <c r="BV886" s="23"/>
      <c r="BW886" s="23"/>
      <c r="BX886" s="23"/>
    </row>
    <row r="887" spans="74:76" x14ac:dyDescent="0.2">
      <c r="BV887" s="23"/>
      <c r="BW887" s="23"/>
      <c r="BX887" s="23"/>
    </row>
    <row r="888" spans="74:76" x14ac:dyDescent="0.2">
      <c r="BV888" s="23"/>
      <c r="BW888" s="23"/>
      <c r="BX888" s="23"/>
    </row>
    <row r="889" spans="74:76" x14ac:dyDescent="0.2">
      <c r="BV889" s="23"/>
      <c r="BW889" s="23"/>
      <c r="BX889" s="23"/>
    </row>
    <row r="890" spans="74:76" x14ac:dyDescent="0.2">
      <c r="BV890" s="23"/>
      <c r="BW890" s="23"/>
      <c r="BX890" s="23"/>
    </row>
    <row r="891" spans="74:76" x14ac:dyDescent="0.2">
      <c r="BV891" s="23"/>
      <c r="BW891" s="23"/>
      <c r="BX891" s="23"/>
    </row>
    <row r="892" spans="74:76" x14ac:dyDescent="0.2">
      <c r="BV892" s="23"/>
      <c r="BW892" s="23"/>
      <c r="BX892" s="23"/>
    </row>
    <row r="893" spans="74:76" x14ac:dyDescent="0.2">
      <c r="BV893" s="23"/>
      <c r="BW893" s="23"/>
      <c r="BX893" s="23"/>
    </row>
    <row r="894" spans="74:76" x14ac:dyDescent="0.2">
      <c r="BV894" s="23"/>
      <c r="BW894" s="23"/>
      <c r="BX894" s="23"/>
    </row>
    <row r="895" spans="74:76" x14ac:dyDescent="0.2">
      <c r="BV895" s="23"/>
      <c r="BW895" s="23"/>
      <c r="BX895" s="23"/>
    </row>
    <row r="896" spans="74:76" x14ac:dyDescent="0.2">
      <c r="BV896" s="23"/>
      <c r="BW896" s="23"/>
      <c r="BX896" s="23"/>
    </row>
    <row r="897" spans="74:76" x14ac:dyDescent="0.2">
      <c r="BV897" s="23"/>
      <c r="BW897" s="23"/>
      <c r="BX897" s="23"/>
    </row>
    <row r="898" spans="74:76" x14ac:dyDescent="0.2">
      <c r="BV898" s="23"/>
      <c r="BW898" s="23"/>
      <c r="BX898" s="23"/>
    </row>
    <row r="899" spans="74:76" x14ac:dyDescent="0.2">
      <c r="BV899" s="23"/>
      <c r="BW899" s="23"/>
      <c r="BX899" s="23"/>
    </row>
    <row r="900" spans="74:76" x14ac:dyDescent="0.2">
      <c r="BV900" s="23"/>
      <c r="BW900" s="23"/>
      <c r="BX900" s="23"/>
    </row>
    <row r="901" spans="74:76" x14ac:dyDescent="0.2">
      <c r="BV901" s="23"/>
      <c r="BW901" s="23"/>
      <c r="BX901" s="23"/>
    </row>
    <row r="902" spans="74:76" x14ac:dyDescent="0.2">
      <c r="BV902" s="23"/>
      <c r="BW902" s="23"/>
      <c r="BX902" s="23"/>
    </row>
    <row r="903" spans="74:76" x14ac:dyDescent="0.2">
      <c r="BV903" s="23"/>
      <c r="BW903" s="23"/>
      <c r="BX903" s="23"/>
    </row>
    <row r="904" spans="74:76" x14ac:dyDescent="0.2">
      <c r="BV904" s="23"/>
      <c r="BW904" s="23"/>
      <c r="BX904" s="23"/>
    </row>
    <row r="905" spans="74:76" x14ac:dyDescent="0.2">
      <c r="BV905" s="23"/>
      <c r="BW905" s="23"/>
      <c r="BX905" s="23"/>
    </row>
    <row r="906" spans="74:76" x14ac:dyDescent="0.2">
      <c r="BV906" s="23"/>
      <c r="BW906" s="23"/>
      <c r="BX906" s="23"/>
    </row>
    <row r="907" spans="74:76" x14ac:dyDescent="0.2">
      <c r="BV907" s="23"/>
      <c r="BW907" s="23"/>
      <c r="BX907" s="23"/>
    </row>
    <row r="908" spans="74:76" x14ac:dyDescent="0.2">
      <c r="BV908" s="23"/>
      <c r="BW908" s="23"/>
      <c r="BX908" s="23"/>
    </row>
    <row r="909" spans="74:76" x14ac:dyDescent="0.2">
      <c r="BV909" s="23"/>
      <c r="BW909" s="23"/>
      <c r="BX909" s="23"/>
    </row>
    <row r="910" spans="74:76" x14ac:dyDescent="0.2">
      <c r="BV910" s="23"/>
      <c r="BW910" s="23"/>
      <c r="BX910" s="23"/>
    </row>
    <row r="911" spans="74:76" x14ac:dyDescent="0.2">
      <c r="BV911" s="23"/>
      <c r="BW911" s="23"/>
      <c r="BX911" s="23"/>
    </row>
    <row r="912" spans="74:76" x14ac:dyDescent="0.2">
      <c r="BV912" s="23"/>
      <c r="BW912" s="23"/>
      <c r="BX912" s="23"/>
    </row>
    <row r="913" spans="74:76" x14ac:dyDescent="0.2">
      <c r="BV913" s="23"/>
      <c r="BW913" s="23"/>
      <c r="BX913" s="23"/>
    </row>
    <row r="914" spans="74:76" x14ac:dyDescent="0.2">
      <c r="BV914" s="23"/>
      <c r="BW914" s="23"/>
      <c r="BX914" s="23"/>
    </row>
    <row r="915" spans="74:76" x14ac:dyDescent="0.2">
      <c r="BV915" s="23"/>
      <c r="BW915" s="23"/>
      <c r="BX915" s="23"/>
    </row>
    <row r="916" spans="74:76" x14ac:dyDescent="0.2">
      <c r="BV916" s="23"/>
      <c r="BW916" s="23"/>
      <c r="BX916" s="23"/>
    </row>
    <row r="917" spans="74:76" x14ac:dyDescent="0.2">
      <c r="BV917" s="23"/>
      <c r="BW917" s="23"/>
      <c r="BX917" s="23"/>
    </row>
    <row r="918" spans="74:76" x14ac:dyDescent="0.2">
      <c r="BV918" s="23"/>
      <c r="BW918" s="23"/>
      <c r="BX918" s="23"/>
    </row>
    <row r="919" spans="74:76" x14ac:dyDescent="0.2">
      <c r="BV919" s="23"/>
      <c r="BW919" s="23"/>
      <c r="BX919" s="23"/>
    </row>
    <row r="920" spans="74:76" x14ac:dyDescent="0.2">
      <c r="BV920" s="23"/>
      <c r="BW920" s="23"/>
      <c r="BX920" s="23"/>
    </row>
    <row r="921" spans="74:76" x14ac:dyDescent="0.2">
      <c r="BV921" s="23"/>
      <c r="BW921" s="23"/>
      <c r="BX921" s="23"/>
    </row>
    <row r="922" spans="74:76" x14ac:dyDescent="0.2">
      <c r="BV922" s="23"/>
      <c r="BW922" s="23"/>
      <c r="BX922" s="23"/>
    </row>
    <row r="923" spans="74:76" x14ac:dyDescent="0.2">
      <c r="BV923" s="23"/>
      <c r="BW923" s="23"/>
      <c r="BX923" s="23"/>
    </row>
    <row r="924" spans="74:76" x14ac:dyDescent="0.2">
      <c r="BV924" s="23"/>
      <c r="BW924" s="23"/>
      <c r="BX924" s="23"/>
    </row>
    <row r="925" spans="74:76" x14ac:dyDescent="0.2">
      <c r="BV925" s="23"/>
      <c r="BW925" s="23"/>
      <c r="BX925" s="23"/>
    </row>
    <row r="926" spans="74:76" x14ac:dyDescent="0.2">
      <c r="BV926" s="23"/>
      <c r="BW926" s="23"/>
      <c r="BX926" s="23"/>
    </row>
    <row r="927" spans="74:76" x14ac:dyDescent="0.2">
      <c r="BV927" s="23"/>
      <c r="BW927" s="23"/>
      <c r="BX927" s="23"/>
    </row>
    <row r="928" spans="74:76" x14ac:dyDescent="0.2">
      <c r="BV928" s="23"/>
      <c r="BW928" s="23"/>
      <c r="BX928" s="23"/>
    </row>
    <row r="929" spans="74:76" x14ac:dyDescent="0.2">
      <c r="BV929" s="23"/>
      <c r="BW929" s="23"/>
      <c r="BX929" s="23"/>
    </row>
    <row r="930" spans="74:76" x14ac:dyDescent="0.2">
      <c r="BV930" s="23"/>
      <c r="BW930" s="23"/>
      <c r="BX930" s="23"/>
    </row>
    <row r="931" spans="74:76" x14ac:dyDescent="0.2">
      <c r="BV931" s="23"/>
      <c r="BW931" s="23"/>
      <c r="BX931" s="23"/>
    </row>
    <row r="932" spans="74:76" x14ac:dyDescent="0.2">
      <c r="BV932" s="23"/>
      <c r="BW932" s="23"/>
      <c r="BX932" s="23"/>
    </row>
    <row r="933" spans="74:76" x14ac:dyDescent="0.2">
      <c r="BV933" s="23"/>
      <c r="BW933" s="23"/>
      <c r="BX933" s="23"/>
    </row>
    <row r="934" spans="74:76" x14ac:dyDescent="0.2">
      <c r="BV934" s="23"/>
      <c r="BW934" s="23"/>
      <c r="BX934" s="23"/>
    </row>
    <row r="935" spans="74:76" x14ac:dyDescent="0.2">
      <c r="BV935" s="23"/>
      <c r="BW935" s="23"/>
      <c r="BX935" s="23"/>
    </row>
    <row r="936" spans="74:76" x14ac:dyDescent="0.2">
      <c r="BV936" s="23"/>
      <c r="BW936" s="23"/>
      <c r="BX936" s="23"/>
    </row>
    <row r="937" spans="74:76" x14ac:dyDescent="0.2">
      <c r="BV937" s="23"/>
      <c r="BW937" s="23"/>
      <c r="BX937" s="23"/>
    </row>
    <row r="938" spans="74:76" x14ac:dyDescent="0.2">
      <c r="BV938" s="23"/>
      <c r="BW938" s="23"/>
      <c r="BX938" s="23"/>
    </row>
    <row r="939" spans="74:76" x14ac:dyDescent="0.2">
      <c r="BV939" s="23"/>
      <c r="BW939" s="23"/>
      <c r="BX939" s="23"/>
    </row>
    <row r="940" spans="74:76" x14ac:dyDescent="0.2">
      <c r="BV940" s="23"/>
      <c r="BW940" s="23"/>
      <c r="BX940" s="23"/>
    </row>
    <row r="941" spans="74:76" x14ac:dyDescent="0.2">
      <c r="BV941" s="23"/>
      <c r="BW941" s="23"/>
      <c r="BX941" s="23"/>
    </row>
    <row r="942" spans="74:76" x14ac:dyDescent="0.2">
      <c r="BV942" s="23"/>
      <c r="BW942" s="23"/>
      <c r="BX942" s="23"/>
    </row>
    <row r="943" spans="74:76" x14ac:dyDescent="0.2">
      <c r="BV943" s="23"/>
      <c r="BW943" s="23"/>
      <c r="BX943" s="23"/>
    </row>
    <row r="944" spans="74:76" x14ac:dyDescent="0.2">
      <c r="BV944" s="23"/>
      <c r="BW944" s="23"/>
      <c r="BX944" s="23"/>
    </row>
    <row r="945" spans="74:76" x14ac:dyDescent="0.2">
      <c r="BV945" s="23"/>
      <c r="BW945" s="23"/>
      <c r="BX945" s="23"/>
    </row>
    <row r="946" spans="74:76" x14ac:dyDescent="0.2">
      <c r="BV946" s="23"/>
      <c r="BW946" s="23"/>
      <c r="BX946" s="23"/>
    </row>
    <row r="947" spans="74:76" x14ac:dyDescent="0.2">
      <c r="BV947" s="23"/>
      <c r="BW947" s="23"/>
      <c r="BX947" s="23"/>
    </row>
    <row r="948" spans="74:76" x14ac:dyDescent="0.2">
      <c r="BV948" s="23"/>
      <c r="BW948" s="23"/>
      <c r="BX948" s="23"/>
    </row>
    <row r="949" spans="74:76" x14ac:dyDescent="0.2">
      <c r="BV949" s="23"/>
      <c r="BW949" s="23"/>
      <c r="BX949" s="23"/>
    </row>
    <row r="950" spans="74:76" x14ac:dyDescent="0.2">
      <c r="BV950" s="23"/>
      <c r="BW950" s="23"/>
      <c r="BX950" s="23"/>
    </row>
    <row r="951" spans="74:76" x14ac:dyDescent="0.2">
      <c r="BV951" s="23"/>
      <c r="BW951" s="23"/>
      <c r="BX951" s="23"/>
    </row>
    <row r="952" spans="74:76" x14ac:dyDescent="0.2">
      <c r="BV952" s="23"/>
      <c r="BW952" s="23"/>
      <c r="BX952" s="23"/>
    </row>
    <row r="953" spans="74:76" x14ac:dyDescent="0.2">
      <c r="BV953" s="23"/>
      <c r="BW953" s="23"/>
      <c r="BX953" s="23"/>
    </row>
    <row r="954" spans="74:76" x14ac:dyDescent="0.2">
      <c r="BV954" s="23"/>
      <c r="BW954" s="23"/>
      <c r="BX954" s="23"/>
    </row>
    <row r="955" spans="74:76" x14ac:dyDescent="0.2">
      <c r="BV955" s="23"/>
      <c r="BW955" s="23"/>
      <c r="BX955" s="23"/>
    </row>
    <row r="956" spans="74:76" x14ac:dyDescent="0.2">
      <c r="BV956" s="23"/>
      <c r="BW956" s="23"/>
      <c r="BX956" s="23"/>
    </row>
    <row r="957" spans="74:76" x14ac:dyDescent="0.2">
      <c r="BV957" s="23"/>
      <c r="BW957" s="23"/>
      <c r="BX957" s="23"/>
    </row>
    <row r="958" spans="74:76" x14ac:dyDescent="0.2">
      <c r="BV958" s="23"/>
      <c r="BW958" s="23"/>
      <c r="BX958" s="23"/>
    </row>
    <row r="959" spans="74:76" x14ac:dyDescent="0.2">
      <c r="BV959" s="23"/>
      <c r="BW959" s="23"/>
      <c r="BX959" s="23"/>
    </row>
    <row r="960" spans="74:76" x14ac:dyDescent="0.2">
      <c r="BV960" s="23"/>
      <c r="BW960" s="23"/>
      <c r="BX960" s="23"/>
    </row>
    <row r="961" spans="74:76" x14ac:dyDescent="0.2">
      <c r="BV961" s="23"/>
      <c r="BW961" s="23"/>
      <c r="BX961" s="23"/>
    </row>
    <row r="962" spans="74:76" x14ac:dyDescent="0.2">
      <c r="BV962" s="23"/>
      <c r="BW962" s="23"/>
      <c r="BX962" s="23"/>
    </row>
    <row r="963" spans="74:76" x14ac:dyDescent="0.2">
      <c r="BV963" s="23"/>
      <c r="BW963" s="23"/>
      <c r="BX963" s="23"/>
    </row>
    <row r="964" spans="74:76" x14ac:dyDescent="0.2">
      <c r="BV964" s="23"/>
      <c r="BW964" s="23"/>
      <c r="BX964" s="23"/>
    </row>
    <row r="965" spans="74:76" x14ac:dyDescent="0.2">
      <c r="BV965" s="23"/>
      <c r="BW965" s="23"/>
      <c r="BX965" s="23"/>
    </row>
    <row r="966" spans="74:76" x14ac:dyDescent="0.2">
      <c r="BV966" s="23"/>
      <c r="BW966" s="23"/>
      <c r="BX966" s="23"/>
    </row>
    <row r="967" spans="74:76" x14ac:dyDescent="0.2">
      <c r="BV967" s="23"/>
      <c r="BW967" s="23"/>
      <c r="BX967" s="23"/>
    </row>
    <row r="968" spans="74:76" x14ac:dyDescent="0.2">
      <c r="BV968" s="23"/>
      <c r="BW968" s="23"/>
      <c r="BX968" s="23"/>
    </row>
    <row r="969" spans="74:76" x14ac:dyDescent="0.2">
      <c r="BV969" s="23"/>
      <c r="BW969" s="23"/>
      <c r="BX969" s="23"/>
    </row>
    <row r="970" spans="74:76" x14ac:dyDescent="0.2">
      <c r="BV970" s="23"/>
      <c r="BW970" s="23"/>
      <c r="BX970" s="23"/>
    </row>
    <row r="971" spans="74:76" x14ac:dyDescent="0.2">
      <c r="BV971" s="23"/>
      <c r="BW971" s="23"/>
      <c r="BX971" s="23"/>
    </row>
    <row r="972" spans="74:76" x14ac:dyDescent="0.2">
      <c r="BV972" s="23"/>
      <c r="BW972" s="23"/>
      <c r="BX972" s="23"/>
    </row>
    <row r="973" spans="74:76" x14ac:dyDescent="0.2">
      <c r="BV973" s="23"/>
      <c r="BW973" s="23"/>
      <c r="BX973" s="23"/>
    </row>
    <row r="974" spans="74:76" x14ac:dyDescent="0.2">
      <c r="BV974" s="23"/>
      <c r="BW974" s="23"/>
      <c r="BX974" s="23"/>
    </row>
    <row r="975" spans="74:76" x14ac:dyDescent="0.2">
      <c r="BV975" s="23"/>
      <c r="BW975" s="23"/>
      <c r="BX975" s="23"/>
    </row>
    <row r="976" spans="74:76" x14ac:dyDescent="0.2">
      <c r="BV976" s="23"/>
      <c r="BW976" s="23"/>
      <c r="BX976" s="23"/>
    </row>
    <row r="977" spans="74:76" x14ac:dyDescent="0.2">
      <c r="BV977" s="23"/>
      <c r="BW977" s="23"/>
      <c r="BX977" s="23"/>
    </row>
    <row r="978" spans="74:76" x14ac:dyDescent="0.2">
      <c r="BV978" s="23"/>
      <c r="BW978" s="23"/>
      <c r="BX978" s="23"/>
    </row>
    <row r="979" spans="74:76" x14ac:dyDescent="0.2">
      <c r="BV979" s="23"/>
      <c r="BW979" s="23"/>
      <c r="BX979" s="23"/>
    </row>
    <row r="980" spans="74:76" x14ac:dyDescent="0.2">
      <c r="BV980" s="23"/>
      <c r="BW980" s="23"/>
      <c r="BX980" s="23"/>
    </row>
    <row r="981" spans="74:76" x14ac:dyDescent="0.2">
      <c r="BV981" s="23"/>
      <c r="BW981" s="23"/>
      <c r="BX981" s="23"/>
    </row>
    <row r="982" spans="74:76" x14ac:dyDescent="0.2">
      <c r="BV982" s="23"/>
      <c r="BW982" s="23"/>
      <c r="BX982" s="23"/>
    </row>
    <row r="983" spans="74:76" x14ac:dyDescent="0.2">
      <c r="BV983" s="23"/>
      <c r="BW983" s="23"/>
      <c r="BX983" s="23"/>
    </row>
    <row r="984" spans="74:76" x14ac:dyDescent="0.2">
      <c r="BV984" s="23"/>
      <c r="BW984" s="23"/>
      <c r="BX984" s="23"/>
    </row>
    <row r="985" spans="74:76" x14ac:dyDescent="0.2">
      <c r="BV985" s="23"/>
      <c r="BW985" s="23"/>
      <c r="BX985" s="23"/>
    </row>
    <row r="986" spans="74:76" x14ac:dyDescent="0.2">
      <c r="BV986" s="23"/>
      <c r="BW986" s="23"/>
      <c r="BX986" s="23"/>
    </row>
    <row r="987" spans="74:76" x14ac:dyDescent="0.2">
      <c r="BV987" s="23"/>
      <c r="BW987" s="23"/>
      <c r="BX987" s="23"/>
    </row>
    <row r="988" spans="74:76" x14ac:dyDescent="0.2">
      <c r="BV988" s="23"/>
      <c r="BW988" s="23"/>
      <c r="BX988" s="23"/>
    </row>
    <row r="989" spans="74:76" x14ac:dyDescent="0.2">
      <c r="BV989" s="23"/>
      <c r="BW989" s="23"/>
      <c r="BX989" s="23"/>
    </row>
    <row r="990" spans="74:76" x14ac:dyDescent="0.2">
      <c r="BV990" s="23"/>
      <c r="BW990" s="23"/>
      <c r="BX990" s="23"/>
    </row>
    <row r="991" spans="74:76" x14ac:dyDescent="0.2">
      <c r="BV991" s="23"/>
      <c r="BW991" s="23"/>
      <c r="BX991" s="23"/>
    </row>
    <row r="992" spans="74:76" x14ac:dyDescent="0.2">
      <c r="BV992" s="23"/>
      <c r="BW992" s="23"/>
      <c r="BX992" s="23"/>
    </row>
    <row r="993" spans="74:76" x14ac:dyDescent="0.2">
      <c r="BV993" s="23"/>
      <c r="BW993" s="23"/>
      <c r="BX993" s="23"/>
    </row>
    <row r="994" spans="74:76" x14ac:dyDescent="0.2">
      <c r="BV994" s="23"/>
      <c r="BW994" s="23"/>
      <c r="BX994" s="23"/>
    </row>
    <row r="995" spans="74:76" x14ac:dyDescent="0.2">
      <c r="BV995" s="23"/>
      <c r="BW995" s="23"/>
      <c r="BX995" s="23"/>
    </row>
    <row r="996" spans="74:76" x14ac:dyDescent="0.2">
      <c r="BV996" s="23"/>
      <c r="BW996" s="23"/>
      <c r="BX996" s="23"/>
    </row>
    <row r="997" spans="74:76" x14ac:dyDescent="0.2">
      <c r="BV997" s="23"/>
      <c r="BW997" s="23"/>
      <c r="BX997" s="23"/>
    </row>
    <row r="998" spans="74:76" x14ac:dyDescent="0.2">
      <c r="BV998" s="23"/>
      <c r="BW998" s="23"/>
      <c r="BX998" s="23"/>
    </row>
    <row r="999" spans="74:76" x14ac:dyDescent="0.2">
      <c r="BV999" s="23"/>
      <c r="BW999" s="23"/>
      <c r="BX999" s="23"/>
    </row>
    <row r="1000" spans="74:76" x14ac:dyDescent="0.2">
      <c r="BV1000" s="23"/>
      <c r="BW1000" s="23"/>
      <c r="BX1000" s="23"/>
    </row>
    <row r="1001" spans="74:76" x14ac:dyDescent="0.2">
      <c r="BV1001" s="23"/>
      <c r="BW1001" s="23"/>
      <c r="BX1001" s="23"/>
    </row>
    <row r="1002" spans="74:76" x14ac:dyDescent="0.2">
      <c r="BV1002" s="23"/>
      <c r="BW1002" s="23"/>
      <c r="BX1002" s="23"/>
    </row>
    <row r="1003" spans="74:76" x14ac:dyDescent="0.2">
      <c r="BV1003" s="23"/>
      <c r="BW1003" s="23"/>
      <c r="BX1003" s="23"/>
    </row>
    <row r="1004" spans="74:76" x14ac:dyDescent="0.2">
      <c r="BV1004" s="23"/>
      <c r="BW1004" s="23"/>
      <c r="BX1004" s="23"/>
    </row>
    <row r="1005" spans="74:76" x14ac:dyDescent="0.2">
      <c r="BV1005" s="23"/>
      <c r="BW1005" s="23"/>
      <c r="BX1005" s="23"/>
    </row>
    <row r="1006" spans="74:76" x14ac:dyDescent="0.2">
      <c r="BV1006" s="23"/>
      <c r="BW1006" s="23"/>
      <c r="BX1006" s="23"/>
    </row>
    <row r="1007" spans="74:76" x14ac:dyDescent="0.2">
      <c r="BV1007" s="23"/>
      <c r="BW1007" s="23"/>
      <c r="BX1007" s="23"/>
    </row>
    <row r="1008" spans="74:76" x14ac:dyDescent="0.2">
      <c r="BV1008" s="23"/>
      <c r="BW1008" s="23"/>
      <c r="BX1008" s="23"/>
    </row>
    <row r="1009" spans="74:76" x14ac:dyDescent="0.2">
      <c r="BV1009" s="23"/>
      <c r="BW1009" s="23"/>
      <c r="BX1009" s="23"/>
    </row>
    <row r="1010" spans="74:76" x14ac:dyDescent="0.2">
      <c r="BV1010" s="23"/>
      <c r="BW1010" s="23"/>
      <c r="BX1010" s="23"/>
    </row>
    <row r="1011" spans="74:76" x14ac:dyDescent="0.2">
      <c r="BV1011" s="23"/>
      <c r="BW1011" s="23"/>
      <c r="BX1011" s="23"/>
    </row>
    <row r="1012" spans="74:76" x14ac:dyDescent="0.2">
      <c r="BV1012" s="23"/>
      <c r="BW1012" s="23"/>
      <c r="BX1012" s="23"/>
    </row>
    <row r="1013" spans="74:76" x14ac:dyDescent="0.2">
      <c r="BV1013" s="23"/>
      <c r="BW1013" s="23"/>
      <c r="BX1013" s="23"/>
    </row>
    <row r="1014" spans="74:76" x14ac:dyDescent="0.2">
      <c r="BV1014" s="23"/>
      <c r="BW1014" s="23"/>
      <c r="BX1014" s="23"/>
    </row>
    <row r="1015" spans="74:76" x14ac:dyDescent="0.2">
      <c r="BV1015" s="23"/>
      <c r="BW1015" s="23"/>
      <c r="BX1015" s="23"/>
    </row>
    <row r="1016" spans="74:76" x14ac:dyDescent="0.2">
      <c r="BV1016" s="23"/>
      <c r="BW1016" s="23"/>
      <c r="BX1016" s="23"/>
    </row>
    <row r="1017" spans="74:76" x14ac:dyDescent="0.2">
      <c r="BV1017" s="23"/>
      <c r="BW1017" s="23"/>
      <c r="BX1017" s="23"/>
    </row>
    <row r="1018" spans="74:76" x14ac:dyDescent="0.2">
      <c r="BV1018" s="23"/>
      <c r="BW1018" s="23"/>
      <c r="BX1018" s="23"/>
    </row>
    <row r="1019" spans="74:76" x14ac:dyDescent="0.2">
      <c r="BV1019" s="23"/>
      <c r="BW1019" s="23"/>
      <c r="BX1019" s="23"/>
    </row>
    <row r="1020" spans="74:76" x14ac:dyDescent="0.2">
      <c r="BV1020" s="23"/>
      <c r="BW1020" s="23"/>
      <c r="BX1020" s="23"/>
    </row>
    <row r="1021" spans="74:76" x14ac:dyDescent="0.2">
      <c r="BV1021" s="23"/>
      <c r="BW1021" s="23"/>
      <c r="BX1021" s="23"/>
    </row>
    <row r="1022" spans="74:76" x14ac:dyDescent="0.2">
      <c r="BV1022" s="23"/>
      <c r="BW1022" s="23"/>
      <c r="BX1022" s="23"/>
    </row>
    <row r="1023" spans="74:76" x14ac:dyDescent="0.2">
      <c r="BV1023" s="23"/>
      <c r="BW1023" s="23"/>
      <c r="BX1023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P1023"/>
  <sheetViews>
    <sheetView workbookViewId="0">
      <selection sqref="A1:E1"/>
    </sheetView>
  </sheetViews>
  <sheetFormatPr baseColWidth="10" defaultColWidth="12.5703125" defaultRowHeight="15.75" customHeight="1" x14ac:dyDescent="0.2"/>
  <cols>
    <col min="1" max="1" width="33" customWidth="1"/>
    <col min="9" max="9" width="13.42578125" customWidth="1"/>
    <col min="12" max="12" width="13.42578125" customWidth="1"/>
    <col min="33" max="33" width="13.140625" customWidth="1"/>
  </cols>
  <sheetData>
    <row r="1" spans="1:68" x14ac:dyDescent="0.2">
      <c r="A1" s="309" t="s">
        <v>0</v>
      </c>
      <c r="B1" s="310"/>
      <c r="C1" s="310"/>
      <c r="D1" s="310"/>
      <c r="E1" s="311"/>
      <c r="T1" s="22" t="s">
        <v>131</v>
      </c>
      <c r="AA1" s="24"/>
      <c r="AB1" s="24"/>
      <c r="AJ1" s="23"/>
    </row>
    <row r="2" spans="1:68" x14ac:dyDescent="0.2">
      <c r="A2" s="5" t="s">
        <v>1</v>
      </c>
      <c r="B2" s="6" t="s">
        <v>132</v>
      </c>
      <c r="C2" s="6" t="s">
        <v>133</v>
      </c>
      <c r="D2" s="6" t="s">
        <v>134</v>
      </c>
      <c r="E2" s="6" t="s">
        <v>135</v>
      </c>
      <c r="F2" s="6" t="s">
        <v>136</v>
      </c>
      <c r="G2" s="6" t="s">
        <v>137</v>
      </c>
      <c r="H2" s="6" t="s">
        <v>138</v>
      </c>
      <c r="I2" s="6" t="s">
        <v>139</v>
      </c>
      <c r="J2" s="6" t="s">
        <v>140</v>
      </c>
      <c r="K2" s="6" t="s">
        <v>141</v>
      </c>
      <c r="L2" s="6" t="s">
        <v>142</v>
      </c>
      <c r="M2" s="6" t="s">
        <v>143</v>
      </c>
      <c r="N2" s="6" t="s">
        <v>144</v>
      </c>
      <c r="O2" s="6" t="s">
        <v>145</v>
      </c>
      <c r="P2" s="6" t="s">
        <v>146</v>
      </c>
      <c r="Q2" s="6" t="s">
        <v>147</v>
      </c>
      <c r="R2" s="6" t="s">
        <v>148</v>
      </c>
      <c r="S2" s="6" t="s">
        <v>149</v>
      </c>
      <c r="T2" s="6" t="s">
        <v>150</v>
      </c>
      <c r="U2" s="6" t="s">
        <v>151</v>
      </c>
      <c r="V2" s="6" t="s">
        <v>152</v>
      </c>
      <c r="W2" s="6" t="s">
        <v>153</v>
      </c>
      <c r="X2" s="6" t="s">
        <v>154</v>
      </c>
      <c r="Y2" s="6" t="s">
        <v>155</v>
      </c>
      <c r="Z2" s="6" t="s">
        <v>156</v>
      </c>
      <c r="AA2" s="6" t="s">
        <v>157</v>
      </c>
      <c r="AB2" s="6" t="s">
        <v>158</v>
      </c>
      <c r="AC2" s="6" t="s">
        <v>159</v>
      </c>
      <c r="AD2" s="6" t="s">
        <v>160</v>
      </c>
      <c r="AE2" s="6" t="s">
        <v>161</v>
      </c>
      <c r="AF2" s="6" t="s">
        <v>162</v>
      </c>
      <c r="AG2" s="6" t="s">
        <v>163</v>
      </c>
      <c r="AH2" s="6" t="s">
        <v>164</v>
      </c>
      <c r="AI2" s="6" t="s">
        <v>165</v>
      </c>
      <c r="AJ2" s="6" t="s">
        <v>166</v>
      </c>
      <c r="AK2" s="6" t="s">
        <v>167</v>
      </c>
      <c r="AL2" s="6" t="s">
        <v>168</v>
      </c>
      <c r="AM2" s="6" t="s">
        <v>169</v>
      </c>
      <c r="AN2" s="6" t="s">
        <v>170</v>
      </c>
      <c r="AO2" s="6" t="s">
        <v>171</v>
      </c>
      <c r="AP2" s="6" t="s">
        <v>172</v>
      </c>
      <c r="AQ2" s="6" t="s">
        <v>173</v>
      </c>
      <c r="AR2" s="6" t="s">
        <v>174</v>
      </c>
      <c r="AS2" s="6" t="s">
        <v>175</v>
      </c>
      <c r="AT2" s="6" t="s">
        <v>176</v>
      </c>
      <c r="AU2" s="6" t="s">
        <v>177</v>
      </c>
      <c r="AV2" s="6" t="s">
        <v>178</v>
      </c>
      <c r="AW2" s="6" t="s">
        <v>179</v>
      </c>
      <c r="AX2" s="6" t="s">
        <v>180</v>
      </c>
      <c r="AY2" s="6" t="s">
        <v>181</v>
      </c>
      <c r="AZ2" s="6" t="s">
        <v>182</v>
      </c>
      <c r="BA2" s="6" t="s">
        <v>183</v>
      </c>
      <c r="BB2" s="6" t="s">
        <v>184</v>
      </c>
      <c r="BC2" s="6" t="s">
        <v>185</v>
      </c>
      <c r="BD2" s="6" t="s">
        <v>186</v>
      </c>
      <c r="BE2" s="6" t="s">
        <v>187</v>
      </c>
      <c r="BF2" s="6" t="s">
        <v>188</v>
      </c>
      <c r="BG2" s="6" t="s">
        <v>189</v>
      </c>
      <c r="BH2" s="6" t="s">
        <v>190</v>
      </c>
      <c r="BI2" s="6" t="s">
        <v>191</v>
      </c>
      <c r="BJ2" s="6" t="s">
        <v>192</v>
      </c>
      <c r="BK2" s="6" t="s">
        <v>193</v>
      </c>
      <c r="BL2" s="6" t="s">
        <v>194</v>
      </c>
      <c r="BM2" s="6" t="s">
        <v>195</v>
      </c>
      <c r="BN2" s="6" t="s">
        <v>196</v>
      </c>
      <c r="BO2" s="6" t="s">
        <v>2</v>
      </c>
      <c r="BP2" s="25"/>
    </row>
    <row r="3" spans="1:68" x14ac:dyDescent="0.2">
      <c r="A3" s="5" t="s">
        <v>77</v>
      </c>
      <c r="B3" s="26">
        <v>66</v>
      </c>
      <c r="C3" s="26">
        <v>0</v>
      </c>
      <c r="D3" s="15">
        <f t="shared" ref="D3:D56" si="0">B3-C3</f>
        <v>66</v>
      </c>
      <c r="E3" s="26">
        <v>0</v>
      </c>
      <c r="F3" s="27">
        <f t="shared" ref="F3:F56" si="1">D3-E3</f>
        <v>66</v>
      </c>
      <c r="G3" s="19">
        <v>0</v>
      </c>
      <c r="H3" s="27">
        <f t="shared" ref="H3:H26" si="2">F3-G3</f>
        <v>66</v>
      </c>
      <c r="I3" s="19">
        <v>0</v>
      </c>
      <c r="J3" s="20">
        <v>8</v>
      </c>
      <c r="K3" s="28">
        <v>57</v>
      </c>
      <c r="L3" s="19">
        <v>0</v>
      </c>
      <c r="M3" s="20">
        <v>2</v>
      </c>
      <c r="N3" s="9">
        <f t="shared" ref="N3:N28" si="3">K3+L3-M3</f>
        <v>55</v>
      </c>
      <c r="O3" s="20">
        <v>2</v>
      </c>
      <c r="P3" s="19">
        <v>0</v>
      </c>
      <c r="Q3" s="27">
        <f t="shared" ref="Q3:Q56" si="4">N3+P3-O3</f>
        <v>53</v>
      </c>
      <c r="R3" s="19">
        <v>1</v>
      </c>
      <c r="S3" s="19">
        <v>0</v>
      </c>
      <c r="T3" s="29">
        <f t="shared" ref="T3:T24" si="5">Q3+S3-R3</f>
        <v>52</v>
      </c>
      <c r="U3" s="19">
        <v>0</v>
      </c>
      <c r="V3" s="19">
        <v>0</v>
      </c>
      <c r="W3" s="27">
        <f t="shared" ref="W3:W40" si="6">T3+V3-U3</f>
        <v>52</v>
      </c>
      <c r="X3" s="19">
        <v>0</v>
      </c>
      <c r="Y3" s="19">
        <v>0</v>
      </c>
      <c r="Z3" s="27">
        <f t="shared" ref="Z3:Z56" si="7">W3+X3-Y3</f>
        <v>52</v>
      </c>
      <c r="AA3" s="19">
        <v>0</v>
      </c>
      <c r="AB3" s="19">
        <v>1</v>
      </c>
      <c r="AC3" s="14">
        <f t="shared" ref="AC3:AC56" si="8">Z3+AA3-AB3</f>
        <v>51</v>
      </c>
      <c r="AD3" s="7">
        <v>0</v>
      </c>
      <c r="AE3" s="20">
        <v>0</v>
      </c>
      <c r="AF3" s="14">
        <f t="shared" ref="AF3:AF56" si="9">AC3+AD3-AE3</f>
        <v>51</v>
      </c>
      <c r="AG3" s="19">
        <v>0</v>
      </c>
      <c r="AH3" s="20">
        <v>0</v>
      </c>
      <c r="AI3" s="14">
        <f t="shared" ref="AI3:AI25" si="10">AF3+AG3-AH3</f>
        <v>51</v>
      </c>
      <c r="AJ3" s="15">
        <v>0</v>
      </c>
      <c r="AK3" s="20">
        <v>5</v>
      </c>
      <c r="AL3" s="14">
        <f t="shared" ref="AL3:AL56" si="11">AI3+AJ3-AK3</f>
        <v>46</v>
      </c>
      <c r="AM3" s="7">
        <v>0</v>
      </c>
      <c r="AN3" s="7">
        <v>0</v>
      </c>
      <c r="AO3" s="14">
        <f t="shared" ref="AO3:AO56" si="12">AL3+AM3-AN3</f>
        <v>46</v>
      </c>
      <c r="AP3" s="7">
        <v>0</v>
      </c>
      <c r="AQ3" s="7">
        <v>12</v>
      </c>
      <c r="AR3" s="14">
        <f t="shared" ref="AR3:AR56" si="13">AO3+AP3-AQ3</f>
        <v>34</v>
      </c>
      <c r="AS3" s="7">
        <v>0</v>
      </c>
      <c r="AT3" s="7">
        <v>0</v>
      </c>
      <c r="AU3" s="14">
        <f t="shared" ref="AU3:AU56" si="14">AR3+AS3-AT3</f>
        <v>34</v>
      </c>
      <c r="AV3" s="7">
        <v>0</v>
      </c>
      <c r="AW3" s="7">
        <v>2</v>
      </c>
      <c r="AX3" s="14">
        <f t="shared" ref="AX3:AX56" si="15">AU3+AV3-AW3</f>
        <v>32</v>
      </c>
      <c r="AY3" s="7">
        <v>0</v>
      </c>
      <c r="AZ3" s="7">
        <v>0</v>
      </c>
      <c r="BA3" s="14">
        <f t="shared" ref="BA3:BA56" si="16">AX3+AY3-AZ3</f>
        <v>32</v>
      </c>
      <c r="BB3" s="7">
        <v>0</v>
      </c>
      <c r="BC3" s="7">
        <v>3</v>
      </c>
      <c r="BD3" s="14">
        <f t="shared" ref="BD3:BD56" si="17">BA3+BB3-BC3</f>
        <v>29</v>
      </c>
      <c r="BE3" s="7">
        <v>0</v>
      </c>
      <c r="BF3" s="7">
        <v>0</v>
      </c>
      <c r="BG3" s="14">
        <f t="shared" ref="BG3:BG56" si="18">BD3+BE3-BF3</f>
        <v>29</v>
      </c>
      <c r="BH3" s="7">
        <v>0</v>
      </c>
      <c r="BI3" s="7">
        <v>1</v>
      </c>
      <c r="BJ3" s="14">
        <f t="shared" ref="BJ3:BJ56" si="19">BG3+BH3-BI3</f>
        <v>28</v>
      </c>
      <c r="BK3" s="7">
        <v>0</v>
      </c>
      <c r="BL3" s="7">
        <v>1</v>
      </c>
      <c r="BM3" s="14">
        <f t="shared" ref="BM3:BM55" si="20">BJ3+BK3-BL3</f>
        <v>27</v>
      </c>
      <c r="BN3" s="7">
        <v>3</v>
      </c>
      <c r="BO3" s="14">
        <f t="shared" ref="BO3:BO56" si="21">BM3-BN3</f>
        <v>24</v>
      </c>
      <c r="BP3" s="30"/>
    </row>
    <row r="4" spans="1:68" x14ac:dyDescent="0.2">
      <c r="A4" s="13" t="s">
        <v>78</v>
      </c>
      <c r="B4" s="26">
        <v>28</v>
      </c>
      <c r="C4" s="26">
        <v>1</v>
      </c>
      <c r="D4" s="15">
        <f t="shared" si="0"/>
        <v>27</v>
      </c>
      <c r="E4" s="26">
        <v>0</v>
      </c>
      <c r="F4" s="27">
        <f t="shared" si="1"/>
        <v>27</v>
      </c>
      <c r="G4" s="19">
        <v>0</v>
      </c>
      <c r="H4" s="27">
        <f t="shared" si="2"/>
        <v>27</v>
      </c>
      <c r="I4" s="19">
        <v>0</v>
      </c>
      <c r="J4" s="20">
        <v>0</v>
      </c>
      <c r="K4" s="27">
        <f t="shared" ref="K4:K28" si="22">H4+I4-J4</f>
        <v>27</v>
      </c>
      <c r="L4" s="19">
        <v>0</v>
      </c>
      <c r="M4" s="20">
        <v>0</v>
      </c>
      <c r="N4" s="29">
        <f t="shared" si="3"/>
        <v>27</v>
      </c>
      <c r="O4" s="20">
        <v>0</v>
      </c>
      <c r="P4" s="19">
        <v>0</v>
      </c>
      <c r="Q4" s="27">
        <f t="shared" si="4"/>
        <v>27</v>
      </c>
      <c r="R4" s="19">
        <v>0</v>
      </c>
      <c r="S4" s="19">
        <v>0</v>
      </c>
      <c r="T4" s="27">
        <f t="shared" si="5"/>
        <v>27</v>
      </c>
      <c r="U4" s="19">
        <v>0</v>
      </c>
      <c r="V4" s="19">
        <v>0</v>
      </c>
      <c r="W4" s="27">
        <f t="shared" si="6"/>
        <v>27</v>
      </c>
      <c r="X4" s="19">
        <v>0</v>
      </c>
      <c r="Y4" s="19">
        <v>0</v>
      </c>
      <c r="Z4" s="27">
        <f t="shared" si="7"/>
        <v>27</v>
      </c>
      <c r="AA4" s="19">
        <v>0</v>
      </c>
      <c r="AB4" s="19">
        <v>0</v>
      </c>
      <c r="AC4" s="14">
        <f t="shared" si="8"/>
        <v>27</v>
      </c>
      <c r="AD4" s="7">
        <v>0</v>
      </c>
      <c r="AE4" s="20">
        <v>0</v>
      </c>
      <c r="AF4" s="14">
        <f t="shared" si="9"/>
        <v>27</v>
      </c>
      <c r="AG4" s="19">
        <v>0</v>
      </c>
      <c r="AH4" s="20">
        <v>0</v>
      </c>
      <c r="AI4" s="14">
        <f t="shared" si="10"/>
        <v>27</v>
      </c>
      <c r="AJ4" s="15">
        <v>0</v>
      </c>
      <c r="AK4" s="20">
        <v>0</v>
      </c>
      <c r="AL4" s="14">
        <f t="shared" si="11"/>
        <v>27</v>
      </c>
      <c r="AM4" s="7">
        <v>0</v>
      </c>
      <c r="AN4" s="7">
        <v>0</v>
      </c>
      <c r="AO4" s="14">
        <f t="shared" si="12"/>
        <v>27</v>
      </c>
      <c r="AP4" s="7">
        <v>0</v>
      </c>
      <c r="AQ4" s="7">
        <v>0</v>
      </c>
      <c r="AR4" s="14">
        <f t="shared" si="13"/>
        <v>27</v>
      </c>
      <c r="AS4" s="7">
        <v>0</v>
      </c>
      <c r="AT4" s="7">
        <v>0</v>
      </c>
      <c r="AU4" s="14">
        <f t="shared" si="14"/>
        <v>27</v>
      </c>
      <c r="AV4" s="7">
        <v>0</v>
      </c>
      <c r="AW4" s="7">
        <v>1</v>
      </c>
      <c r="AX4" s="14">
        <f t="shared" si="15"/>
        <v>26</v>
      </c>
      <c r="AY4" s="7">
        <v>0</v>
      </c>
      <c r="AZ4" s="7">
        <v>1</v>
      </c>
      <c r="BA4" s="17">
        <f t="shared" si="16"/>
        <v>25</v>
      </c>
      <c r="BB4" s="7">
        <v>0</v>
      </c>
      <c r="BC4" s="7">
        <v>2</v>
      </c>
      <c r="BD4" s="14">
        <f t="shared" si="17"/>
        <v>23</v>
      </c>
      <c r="BE4" s="7">
        <v>0</v>
      </c>
      <c r="BF4" s="7">
        <v>0</v>
      </c>
      <c r="BG4" s="14">
        <f t="shared" si="18"/>
        <v>23</v>
      </c>
      <c r="BH4" s="7">
        <v>0</v>
      </c>
      <c r="BI4" s="7">
        <v>0</v>
      </c>
      <c r="BJ4" s="14">
        <f t="shared" si="19"/>
        <v>23</v>
      </c>
      <c r="BK4" s="7">
        <v>0</v>
      </c>
      <c r="BL4" s="7">
        <v>0</v>
      </c>
      <c r="BM4" s="14">
        <f t="shared" si="20"/>
        <v>23</v>
      </c>
      <c r="BN4" s="7">
        <v>0</v>
      </c>
      <c r="BO4" s="14">
        <f t="shared" si="21"/>
        <v>23</v>
      </c>
      <c r="BP4" s="23"/>
    </row>
    <row r="5" spans="1:68" x14ac:dyDescent="0.2">
      <c r="A5" s="13" t="s">
        <v>79</v>
      </c>
      <c r="B5" s="26">
        <v>5</v>
      </c>
      <c r="C5" s="26">
        <v>0</v>
      </c>
      <c r="D5" s="15">
        <f t="shared" si="0"/>
        <v>5</v>
      </c>
      <c r="E5" s="26">
        <v>1</v>
      </c>
      <c r="F5" s="27">
        <f t="shared" si="1"/>
        <v>4</v>
      </c>
      <c r="G5" s="19">
        <v>0</v>
      </c>
      <c r="H5" s="27">
        <f t="shared" si="2"/>
        <v>4</v>
      </c>
      <c r="I5" s="19">
        <v>0</v>
      </c>
      <c r="J5" s="20">
        <v>1</v>
      </c>
      <c r="K5" s="27">
        <f t="shared" si="22"/>
        <v>3</v>
      </c>
      <c r="L5" s="19">
        <v>1</v>
      </c>
      <c r="M5" s="20">
        <v>4</v>
      </c>
      <c r="N5" s="29">
        <f t="shared" si="3"/>
        <v>0</v>
      </c>
      <c r="O5" s="20">
        <v>0</v>
      </c>
      <c r="P5" s="19">
        <v>11</v>
      </c>
      <c r="Q5" s="27">
        <f t="shared" si="4"/>
        <v>11</v>
      </c>
      <c r="R5" s="19">
        <v>2</v>
      </c>
      <c r="S5" s="19">
        <v>0</v>
      </c>
      <c r="T5" s="27">
        <f t="shared" si="5"/>
        <v>9</v>
      </c>
      <c r="U5" s="19">
        <v>1</v>
      </c>
      <c r="V5" s="19">
        <v>0</v>
      </c>
      <c r="W5" s="27">
        <f t="shared" si="6"/>
        <v>8</v>
      </c>
      <c r="X5" s="19">
        <v>0</v>
      </c>
      <c r="Y5" s="19">
        <v>0</v>
      </c>
      <c r="Z5" s="27">
        <f t="shared" si="7"/>
        <v>8</v>
      </c>
      <c r="AA5" s="19">
        <v>0</v>
      </c>
      <c r="AB5" s="19">
        <v>1</v>
      </c>
      <c r="AC5" s="14">
        <f t="shared" si="8"/>
        <v>7</v>
      </c>
      <c r="AD5" s="7">
        <v>0</v>
      </c>
      <c r="AE5" s="20">
        <v>0</v>
      </c>
      <c r="AF5" s="14">
        <f t="shared" si="9"/>
        <v>7</v>
      </c>
      <c r="AG5" s="19">
        <v>0</v>
      </c>
      <c r="AH5" s="20">
        <v>2</v>
      </c>
      <c r="AI5" s="14">
        <f t="shared" si="10"/>
        <v>5</v>
      </c>
      <c r="AJ5" s="15">
        <v>0</v>
      </c>
      <c r="AK5" s="20">
        <v>0</v>
      </c>
      <c r="AL5" s="14">
        <f t="shared" si="11"/>
        <v>5</v>
      </c>
      <c r="AM5" s="7">
        <v>0</v>
      </c>
      <c r="AN5" s="7">
        <v>0</v>
      </c>
      <c r="AO5" s="14">
        <f t="shared" si="12"/>
        <v>5</v>
      </c>
      <c r="AP5" s="7">
        <v>0</v>
      </c>
      <c r="AQ5" s="7">
        <v>0</v>
      </c>
      <c r="AR5" s="14">
        <f t="shared" si="13"/>
        <v>5</v>
      </c>
      <c r="AS5" s="7">
        <v>0</v>
      </c>
      <c r="AT5" s="7">
        <v>1</v>
      </c>
      <c r="AU5" s="14">
        <f t="shared" si="14"/>
        <v>4</v>
      </c>
      <c r="AV5" s="7">
        <v>0</v>
      </c>
      <c r="AW5" s="7">
        <v>0</v>
      </c>
      <c r="AX5" s="14">
        <f t="shared" si="15"/>
        <v>4</v>
      </c>
      <c r="AY5" s="7">
        <v>0</v>
      </c>
      <c r="AZ5" s="7">
        <v>0</v>
      </c>
      <c r="BA5" s="14">
        <f t="shared" si="16"/>
        <v>4</v>
      </c>
      <c r="BB5" s="7">
        <v>0</v>
      </c>
      <c r="BC5" s="7">
        <v>0</v>
      </c>
      <c r="BD5" s="14">
        <f t="shared" si="17"/>
        <v>4</v>
      </c>
      <c r="BE5" s="7">
        <v>0</v>
      </c>
      <c r="BF5" s="7">
        <v>2</v>
      </c>
      <c r="BG5" s="14">
        <f t="shared" si="18"/>
        <v>2</v>
      </c>
      <c r="BH5" s="7">
        <v>0</v>
      </c>
      <c r="BI5" s="7">
        <v>0</v>
      </c>
      <c r="BJ5" s="14">
        <f t="shared" si="19"/>
        <v>2</v>
      </c>
      <c r="BK5" s="7">
        <v>0</v>
      </c>
      <c r="BL5" s="7">
        <v>0</v>
      </c>
      <c r="BM5" s="14">
        <f t="shared" si="20"/>
        <v>2</v>
      </c>
      <c r="BN5" s="7">
        <v>1</v>
      </c>
      <c r="BO5" s="14">
        <f t="shared" si="21"/>
        <v>1</v>
      </c>
      <c r="BP5" s="23"/>
    </row>
    <row r="6" spans="1:68" x14ac:dyDescent="0.2">
      <c r="A6" s="5" t="s">
        <v>80</v>
      </c>
      <c r="B6" s="26">
        <v>4</v>
      </c>
      <c r="C6" s="26">
        <v>0</v>
      </c>
      <c r="D6" s="15">
        <f t="shared" si="0"/>
        <v>4</v>
      </c>
      <c r="E6" s="26">
        <v>0</v>
      </c>
      <c r="F6" s="27">
        <f t="shared" si="1"/>
        <v>4</v>
      </c>
      <c r="G6" s="19">
        <v>0</v>
      </c>
      <c r="H6" s="27">
        <f t="shared" si="2"/>
        <v>4</v>
      </c>
      <c r="I6" s="19">
        <v>0</v>
      </c>
      <c r="J6" s="20">
        <v>0</v>
      </c>
      <c r="K6" s="27">
        <f t="shared" si="22"/>
        <v>4</v>
      </c>
      <c r="L6" s="19">
        <v>7</v>
      </c>
      <c r="M6" s="9">
        <v>3</v>
      </c>
      <c r="N6" s="29">
        <f t="shared" si="3"/>
        <v>8</v>
      </c>
      <c r="O6" s="20">
        <v>0</v>
      </c>
      <c r="P6" s="19">
        <v>0</v>
      </c>
      <c r="Q6" s="27">
        <f t="shared" si="4"/>
        <v>8</v>
      </c>
      <c r="R6" s="24"/>
      <c r="S6" s="19">
        <v>0</v>
      </c>
      <c r="T6" s="27">
        <f t="shared" si="5"/>
        <v>8</v>
      </c>
      <c r="U6" s="19">
        <v>0</v>
      </c>
      <c r="V6" s="19">
        <v>0</v>
      </c>
      <c r="W6" s="27">
        <f t="shared" si="6"/>
        <v>8</v>
      </c>
      <c r="X6" s="19">
        <v>0</v>
      </c>
      <c r="Y6" s="19">
        <v>0</v>
      </c>
      <c r="Z6" s="27">
        <f t="shared" si="7"/>
        <v>8</v>
      </c>
      <c r="AA6" s="19">
        <v>0</v>
      </c>
      <c r="AB6" s="19">
        <v>1</v>
      </c>
      <c r="AC6" s="17">
        <f t="shared" si="8"/>
        <v>7</v>
      </c>
      <c r="AD6" s="7">
        <v>0</v>
      </c>
      <c r="AE6" s="20">
        <v>0</v>
      </c>
      <c r="AF6" s="14">
        <f t="shared" si="9"/>
        <v>7</v>
      </c>
      <c r="AG6" s="19">
        <v>0</v>
      </c>
      <c r="AH6" s="20">
        <v>0</v>
      </c>
      <c r="AI6" s="14">
        <f t="shared" si="10"/>
        <v>7</v>
      </c>
      <c r="AJ6" s="15">
        <v>0</v>
      </c>
      <c r="AK6" s="20">
        <v>0</v>
      </c>
      <c r="AL6" s="14">
        <f t="shared" si="11"/>
        <v>7</v>
      </c>
      <c r="AM6" s="7">
        <v>0</v>
      </c>
      <c r="AN6" s="7">
        <v>0</v>
      </c>
      <c r="AO6" s="14">
        <f t="shared" si="12"/>
        <v>7</v>
      </c>
      <c r="AP6" s="7">
        <v>0</v>
      </c>
      <c r="AQ6" s="7">
        <v>1</v>
      </c>
      <c r="AR6" s="14">
        <f t="shared" si="13"/>
        <v>6</v>
      </c>
      <c r="AS6" s="7">
        <v>0</v>
      </c>
      <c r="AT6" s="7">
        <v>0</v>
      </c>
      <c r="AU6" s="14">
        <f t="shared" si="14"/>
        <v>6</v>
      </c>
      <c r="AV6" s="7">
        <v>0</v>
      </c>
      <c r="AW6" s="7">
        <v>0</v>
      </c>
      <c r="AX6" s="14">
        <f t="shared" si="15"/>
        <v>6</v>
      </c>
      <c r="AY6" s="7">
        <v>0</v>
      </c>
      <c r="AZ6" s="7">
        <v>0</v>
      </c>
      <c r="BA6" s="14">
        <f t="shared" si="16"/>
        <v>6</v>
      </c>
      <c r="BB6" s="7">
        <v>0</v>
      </c>
      <c r="BC6" s="7">
        <v>0</v>
      </c>
      <c r="BD6" s="14">
        <f t="shared" si="17"/>
        <v>6</v>
      </c>
      <c r="BE6" s="7">
        <v>0</v>
      </c>
      <c r="BF6" s="7">
        <v>1</v>
      </c>
      <c r="BG6" s="14">
        <f t="shared" si="18"/>
        <v>5</v>
      </c>
      <c r="BH6" s="7">
        <v>0</v>
      </c>
      <c r="BI6" s="7">
        <v>0</v>
      </c>
      <c r="BJ6" s="14">
        <f t="shared" si="19"/>
        <v>5</v>
      </c>
      <c r="BK6" s="7">
        <v>0</v>
      </c>
      <c r="BL6" s="7">
        <v>0</v>
      </c>
      <c r="BM6" s="14">
        <f t="shared" si="20"/>
        <v>5</v>
      </c>
      <c r="BN6" s="7">
        <v>0</v>
      </c>
      <c r="BO6" s="14">
        <f t="shared" si="21"/>
        <v>5</v>
      </c>
      <c r="BP6" s="23"/>
    </row>
    <row r="7" spans="1:68" x14ac:dyDescent="0.2">
      <c r="A7" s="13" t="s">
        <v>81</v>
      </c>
      <c r="B7" s="26">
        <v>10</v>
      </c>
      <c r="C7" s="26">
        <v>0</v>
      </c>
      <c r="D7" s="15">
        <f t="shared" si="0"/>
        <v>10</v>
      </c>
      <c r="E7" s="26">
        <v>1</v>
      </c>
      <c r="F7" s="27">
        <f t="shared" si="1"/>
        <v>9</v>
      </c>
      <c r="G7" s="19">
        <v>1</v>
      </c>
      <c r="H7" s="27">
        <f t="shared" si="2"/>
        <v>8</v>
      </c>
      <c r="I7" s="19">
        <v>0</v>
      </c>
      <c r="J7" s="20">
        <v>1</v>
      </c>
      <c r="K7" s="27">
        <f t="shared" si="22"/>
        <v>7</v>
      </c>
      <c r="L7" s="19">
        <v>0</v>
      </c>
      <c r="M7" s="20">
        <v>0</v>
      </c>
      <c r="N7" s="29">
        <f t="shared" si="3"/>
        <v>7</v>
      </c>
      <c r="O7" s="20">
        <v>1</v>
      </c>
      <c r="P7" s="19">
        <v>0</v>
      </c>
      <c r="Q7" s="27">
        <f t="shared" si="4"/>
        <v>6</v>
      </c>
      <c r="R7" s="19">
        <v>0</v>
      </c>
      <c r="S7" s="19">
        <v>0</v>
      </c>
      <c r="T7" s="27">
        <f t="shared" si="5"/>
        <v>6</v>
      </c>
      <c r="U7" s="19">
        <v>0</v>
      </c>
      <c r="V7" s="19">
        <v>0</v>
      </c>
      <c r="W7" s="27">
        <f t="shared" si="6"/>
        <v>6</v>
      </c>
      <c r="X7" s="19">
        <v>0</v>
      </c>
      <c r="Y7" s="19">
        <v>0</v>
      </c>
      <c r="Z7" s="27">
        <f t="shared" si="7"/>
        <v>6</v>
      </c>
      <c r="AA7" s="19">
        <v>0</v>
      </c>
      <c r="AB7" s="19">
        <v>0</v>
      </c>
      <c r="AC7" s="14">
        <f t="shared" si="8"/>
        <v>6</v>
      </c>
      <c r="AD7" s="7">
        <v>0</v>
      </c>
      <c r="AE7" s="20">
        <v>0</v>
      </c>
      <c r="AF7" s="14">
        <f t="shared" si="9"/>
        <v>6</v>
      </c>
      <c r="AG7" s="19">
        <v>0</v>
      </c>
      <c r="AH7" s="20">
        <v>0</v>
      </c>
      <c r="AI7" s="14">
        <f t="shared" si="10"/>
        <v>6</v>
      </c>
      <c r="AJ7" s="15">
        <v>0</v>
      </c>
      <c r="AK7" s="20">
        <v>0</v>
      </c>
      <c r="AL7" s="14">
        <f t="shared" si="11"/>
        <v>6</v>
      </c>
      <c r="AM7" s="7">
        <v>0</v>
      </c>
      <c r="AN7" s="7">
        <v>0</v>
      </c>
      <c r="AO7" s="14">
        <f t="shared" si="12"/>
        <v>6</v>
      </c>
      <c r="AP7" s="7">
        <v>0</v>
      </c>
      <c r="AQ7" s="7">
        <v>0</v>
      </c>
      <c r="AR7" s="14">
        <f t="shared" si="13"/>
        <v>6</v>
      </c>
      <c r="AS7" s="7">
        <v>0</v>
      </c>
      <c r="AT7" s="7">
        <v>0</v>
      </c>
      <c r="AU7" s="14">
        <f t="shared" si="14"/>
        <v>6</v>
      </c>
      <c r="AV7" s="7">
        <v>0</v>
      </c>
      <c r="AW7" s="7">
        <v>0</v>
      </c>
      <c r="AX7" s="14">
        <f t="shared" si="15"/>
        <v>6</v>
      </c>
      <c r="AY7" s="7">
        <v>0</v>
      </c>
      <c r="AZ7" s="7">
        <v>0</v>
      </c>
      <c r="BA7" s="14">
        <f t="shared" si="16"/>
        <v>6</v>
      </c>
      <c r="BB7" s="7">
        <v>0</v>
      </c>
      <c r="BC7" s="7">
        <v>0</v>
      </c>
      <c r="BD7" s="14">
        <f t="shared" si="17"/>
        <v>6</v>
      </c>
      <c r="BE7" s="7">
        <v>0</v>
      </c>
      <c r="BF7" s="7">
        <v>0</v>
      </c>
      <c r="BG7" s="14">
        <f t="shared" si="18"/>
        <v>6</v>
      </c>
      <c r="BH7" s="7">
        <v>0</v>
      </c>
      <c r="BI7" s="7">
        <v>0</v>
      </c>
      <c r="BJ7" s="14">
        <f t="shared" si="19"/>
        <v>6</v>
      </c>
      <c r="BK7" s="7">
        <v>0</v>
      </c>
      <c r="BL7" s="7">
        <v>0</v>
      </c>
      <c r="BM7" s="14">
        <f t="shared" si="20"/>
        <v>6</v>
      </c>
      <c r="BN7" s="7">
        <v>0</v>
      </c>
      <c r="BO7" s="14">
        <f t="shared" si="21"/>
        <v>6</v>
      </c>
      <c r="BP7" s="23"/>
    </row>
    <row r="8" spans="1:68" x14ac:dyDescent="0.2">
      <c r="A8" s="13" t="s">
        <v>82</v>
      </c>
      <c r="B8" s="26">
        <v>20</v>
      </c>
      <c r="C8" s="26">
        <v>2</v>
      </c>
      <c r="D8" s="15">
        <f t="shared" si="0"/>
        <v>18</v>
      </c>
      <c r="E8" s="26">
        <v>4</v>
      </c>
      <c r="F8" s="27">
        <f t="shared" si="1"/>
        <v>14</v>
      </c>
      <c r="G8" s="19">
        <v>0</v>
      </c>
      <c r="H8" s="27">
        <f t="shared" si="2"/>
        <v>14</v>
      </c>
      <c r="I8" s="19">
        <v>0</v>
      </c>
      <c r="J8" s="20">
        <v>0</v>
      </c>
      <c r="K8" s="27">
        <f t="shared" si="22"/>
        <v>14</v>
      </c>
      <c r="L8" s="19">
        <v>0</v>
      </c>
      <c r="M8" s="20">
        <v>0</v>
      </c>
      <c r="N8" s="29">
        <f t="shared" si="3"/>
        <v>14</v>
      </c>
      <c r="O8" s="20">
        <v>0</v>
      </c>
      <c r="P8" s="19">
        <v>0</v>
      </c>
      <c r="Q8" s="27">
        <f t="shared" si="4"/>
        <v>14</v>
      </c>
      <c r="R8" s="19">
        <v>1</v>
      </c>
      <c r="S8" s="19">
        <v>0</v>
      </c>
      <c r="T8" s="27">
        <f t="shared" si="5"/>
        <v>13</v>
      </c>
      <c r="U8" s="19">
        <v>2</v>
      </c>
      <c r="V8" s="19">
        <v>0</v>
      </c>
      <c r="W8" s="27">
        <f t="shared" si="6"/>
        <v>11</v>
      </c>
      <c r="X8" s="19">
        <v>0</v>
      </c>
      <c r="Y8" s="19">
        <v>1</v>
      </c>
      <c r="Z8" s="27">
        <f t="shared" si="7"/>
        <v>10</v>
      </c>
      <c r="AA8" s="19">
        <v>0</v>
      </c>
      <c r="AB8" s="19">
        <v>0</v>
      </c>
      <c r="AC8" s="14">
        <f t="shared" si="8"/>
        <v>10</v>
      </c>
      <c r="AD8" s="7">
        <v>0</v>
      </c>
      <c r="AE8" s="20">
        <v>1</v>
      </c>
      <c r="AF8" s="14">
        <f t="shared" si="9"/>
        <v>9</v>
      </c>
      <c r="AG8" s="19">
        <v>0</v>
      </c>
      <c r="AH8" s="20">
        <v>0</v>
      </c>
      <c r="AI8" s="14">
        <f t="shared" si="10"/>
        <v>9</v>
      </c>
      <c r="AJ8" s="15">
        <v>0</v>
      </c>
      <c r="AK8" s="20">
        <v>0</v>
      </c>
      <c r="AL8" s="14">
        <f t="shared" si="11"/>
        <v>9</v>
      </c>
      <c r="AM8" s="7">
        <v>0</v>
      </c>
      <c r="AN8" s="7">
        <v>1</v>
      </c>
      <c r="AO8" s="14">
        <f t="shared" si="12"/>
        <v>8</v>
      </c>
      <c r="AP8" s="7">
        <v>0</v>
      </c>
      <c r="AQ8" s="7">
        <v>0</v>
      </c>
      <c r="AR8" s="14">
        <f t="shared" si="13"/>
        <v>8</v>
      </c>
      <c r="AS8" s="7">
        <v>0</v>
      </c>
      <c r="AT8" s="7">
        <v>0</v>
      </c>
      <c r="AU8" s="14">
        <f t="shared" si="14"/>
        <v>8</v>
      </c>
      <c r="AV8" s="7">
        <v>0</v>
      </c>
      <c r="AW8" s="7">
        <v>1</v>
      </c>
      <c r="AX8" s="14">
        <f t="shared" si="15"/>
        <v>7</v>
      </c>
      <c r="AY8" s="7">
        <v>0</v>
      </c>
      <c r="AZ8" s="7">
        <v>0</v>
      </c>
      <c r="BA8" s="14">
        <f t="shared" si="16"/>
        <v>7</v>
      </c>
      <c r="BB8" s="7">
        <v>0</v>
      </c>
      <c r="BC8" s="7">
        <v>0</v>
      </c>
      <c r="BD8" s="14">
        <f t="shared" si="17"/>
        <v>7</v>
      </c>
      <c r="BE8" s="7">
        <v>0</v>
      </c>
      <c r="BF8" s="7">
        <v>0</v>
      </c>
      <c r="BG8" s="14">
        <f t="shared" si="18"/>
        <v>7</v>
      </c>
      <c r="BH8" s="7">
        <v>0</v>
      </c>
      <c r="BI8" s="7">
        <v>0</v>
      </c>
      <c r="BJ8" s="14">
        <f t="shared" si="19"/>
        <v>7</v>
      </c>
      <c r="BK8" s="7">
        <v>0</v>
      </c>
      <c r="BL8" s="7">
        <v>0</v>
      </c>
      <c r="BM8" s="14">
        <f t="shared" si="20"/>
        <v>7</v>
      </c>
      <c r="BN8" s="7">
        <v>0</v>
      </c>
      <c r="BO8" s="14">
        <f t="shared" si="21"/>
        <v>7</v>
      </c>
      <c r="BP8" s="23"/>
    </row>
    <row r="9" spans="1:68" x14ac:dyDescent="0.2">
      <c r="A9" s="13" t="s">
        <v>83</v>
      </c>
      <c r="B9" s="26">
        <v>10</v>
      </c>
      <c r="C9" s="26">
        <v>0</v>
      </c>
      <c r="D9" s="15">
        <f t="shared" si="0"/>
        <v>10</v>
      </c>
      <c r="E9" s="26">
        <v>0</v>
      </c>
      <c r="F9" s="27">
        <f t="shared" si="1"/>
        <v>10</v>
      </c>
      <c r="G9" s="19">
        <v>0</v>
      </c>
      <c r="H9" s="27">
        <f t="shared" si="2"/>
        <v>10</v>
      </c>
      <c r="I9" s="19">
        <v>0</v>
      </c>
      <c r="J9" s="20">
        <v>0</v>
      </c>
      <c r="K9" s="27">
        <f t="shared" si="22"/>
        <v>10</v>
      </c>
      <c r="L9" s="19">
        <v>0</v>
      </c>
      <c r="M9" s="20">
        <v>0</v>
      </c>
      <c r="N9" s="29">
        <f t="shared" si="3"/>
        <v>10</v>
      </c>
      <c r="O9" s="20">
        <v>0</v>
      </c>
      <c r="P9" s="19">
        <v>0</v>
      </c>
      <c r="Q9" s="27">
        <f t="shared" si="4"/>
        <v>10</v>
      </c>
      <c r="R9" s="19">
        <v>0</v>
      </c>
      <c r="S9" s="19">
        <v>0</v>
      </c>
      <c r="T9" s="27">
        <f t="shared" si="5"/>
        <v>10</v>
      </c>
      <c r="U9" s="19">
        <v>0</v>
      </c>
      <c r="V9" s="19">
        <v>0</v>
      </c>
      <c r="W9" s="27">
        <f t="shared" si="6"/>
        <v>10</v>
      </c>
      <c r="X9" s="19">
        <v>0</v>
      </c>
      <c r="Y9" s="19">
        <v>0</v>
      </c>
      <c r="Z9" s="27">
        <f t="shared" si="7"/>
        <v>10</v>
      </c>
      <c r="AA9" s="19">
        <v>0</v>
      </c>
      <c r="AB9" s="19">
        <v>0</v>
      </c>
      <c r="AC9" s="17">
        <f t="shared" si="8"/>
        <v>10</v>
      </c>
      <c r="AD9" s="7">
        <v>0</v>
      </c>
      <c r="AE9" s="20">
        <v>1</v>
      </c>
      <c r="AF9" s="14">
        <f t="shared" si="9"/>
        <v>9</v>
      </c>
      <c r="AG9" s="19">
        <v>0</v>
      </c>
      <c r="AH9" s="20">
        <v>0</v>
      </c>
      <c r="AI9" s="14">
        <f t="shared" si="10"/>
        <v>9</v>
      </c>
      <c r="AJ9" s="15">
        <v>0</v>
      </c>
      <c r="AK9" s="20">
        <v>0</v>
      </c>
      <c r="AL9" s="14">
        <f t="shared" si="11"/>
        <v>9</v>
      </c>
      <c r="AM9" s="7">
        <v>0</v>
      </c>
      <c r="AN9" s="7">
        <v>0</v>
      </c>
      <c r="AO9" s="14">
        <f t="shared" si="12"/>
        <v>9</v>
      </c>
      <c r="AP9" s="7">
        <v>0</v>
      </c>
      <c r="AQ9" s="7">
        <v>0</v>
      </c>
      <c r="AR9" s="14">
        <f t="shared" si="13"/>
        <v>9</v>
      </c>
      <c r="AS9" s="7">
        <v>0</v>
      </c>
      <c r="AT9" s="7">
        <v>0</v>
      </c>
      <c r="AU9" s="14">
        <f t="shared" si="14"/>
        <v>9</v>
      </c>
      <c r="AV9" s="7">
        <v>0</v>
      </c>
      <c r="AW9" s="7">
        <v>0</v>
      </c>
      <c r="AX9" s="14">
        <f t="shared" si="15"/>
        <v>9</v>
      </c>
      <c r="AY9" s="7">
        <v>0</v>
      </c>
      <c r="AZ9" s="7">
        <v>0</v>
      </c>
      <c r="BA9" s="14">
        <f t="shared" si="16"/>
        <v>9</v>
      </c>
      <c r="BB9" s="7">
        <v>0</v>
      </c>
      <c r="BC9" s="7">
        <v>0</v>
      </c>
      <c r="BD9" s="14">
        <f t="shared" si="17"/>
        <v>9</v>
      </c>
      <c r="BE9" s="7">
        <v>0</v>
      </c>
      <c r="BF9" s="7">
        <v>0</v>
      </c>
      <c r="BG9" s="14">
        <f t="shared" si="18"/>
        <v>9</v>
      </c>
      <c r="BH9" s="7">
        <v>0</v>
      </c>
      <c r="BI9" s="7">
        <v>0</v>
      </c>
      <c r="BJ9" s="14">
        <f t="shared" si="19"/>
        <v>9</v>
      </c>
      <c r="BK9" s="7">
        <v>0</v>
      </c>
      <c r="BL9" s="7">
        <v>0</v>
      </c>
      <c r="BM9" s="14">
        <f t="shared" si="20"/>
        <v>9</v>
      </c>
      <c r="BN9" s="7">
        <v>0</v>
      </c>
      <c r="BO9" s="14">
        <f t="shared" si="21"/>
        <v>9</v>
      </c>
      <c r="BP9" s="23"/>
    </row>
    <row r="10" spans="1:68" x14ac:dyDescent="0.2">
      <c r="A10" s="16" t="s">
        <v>84</v>
      </c>
      <c r="B10" s="26">
        <v>19</v>
      </c>
      <c r="C10" s="26">
        <v>0</v>
      </c>
      <c r="D10" s="15">
        <f t="shared" si="0"/>
        <v>19</v>
      </c>
      <c r="E10" s="26">
        <v>1</v>
      </c>
      <c r="F10" s="27">
        <f t="shared" si="1"/>
        <v>18</v>
      </c>
      <c r="G10" s="19">
        <v>0</v>
      </c>
      <c r="H10" s="27">
        <f t="shared" si="2"/>
        <v>18</v>
      </c>
      <c r="I10" s="19">
        <v>0</v>
      </c>
      <c r="J10" s="20">
        <v>1</v>
      </c>
      <c r="K10" s="27">
        <f t="shared" si="22"/>
        <v>17</v>
      </c>
      <c r="L10" s="19">
        <v>0</v>
      </c>
      <c r="M10" s="20">
        <v>0</v>
      </c>
      <c r="N10" s="29">
        <f t="shared" si="3"/>
        <v>17</v>
      </c>
      <c r="O10" s="20">
        <v>0</v>
      </c>
      <c r="P10" s="19">
        <v>0</v>
      </c>
      <c r="Q10" s="27">
        <f t="shared" si="4"/>
        <v>17</v>
      </c>
      <c r="R10" s="19">
        <v>0</v>
      </c>
      <c r="S10" s="19">
        <v>0</v>
      </c>
      <c r="T10" s="27">
        <f t="shared" si="5"/>
        <v>17</v>
      </c>
      <c r="U10" s="19">
        <v>0</v>
      </c>
      <c r="V10" s="19">
        <v>0</v>
      </c>
      <c r="W10" s="27">
        <f t="shared" si="6"/>
        <v>17</v>
      </c>
      <c r="X10" s="19">
        <v>0</v>
      </c>
      <c r="Y10" s="19">
        <v>0</v>
      </c>
      <c r="Z10" s="27">
        <f t="shared" si="7"/>
        <v>17</v>
      </c>
      <c r="AA10" s="19">
        <v>0</v>
      </c>
      <c r="AB10" s="19">
        <v>1</v>
      </c>
      <c r="AC10" s="14">
        <f t="shared" si="8"/>
        <v>16</v>
      </c>
      <c r="AD10" s="7">
        <v>0</v>
      </c>
      <c r="AE10" s="20">
        <v>1</v>
      </c>
      <c r="AF10" s="14">
        <f t="shared" si="9"/>
        <v>15</v>
      </c>
      <c r="AG10" s="19">
        <v>0</v>
      </c>
      <c r="AH10" s="20">
        <v>0</v>
      </c>
      <c r="AI10" s="14">
        <f t="shared" si="10"/>
        <v>15</v>
      </c>
      <c r="AJ10" s="15">
        <v>0</v>
      </c>
      <c r="AK10" s="20">
        <v>1</v>
      </c>
      <c r="AL10" s="14">
        <f t="shared" si="11"/>
        <v>14</v>
      </c>
      <c r="AM10" s="7">
        <v>0</v>
      </c>
      <c r="AN10" s="7">
        <v>0</v>
      </c>
      <c r="AO10" s="14">
        <f t="shared" si="12"/>
        <v>14</v>
      </c>
      <c r="AP10" s="7">
        <v>0</v>
      </c>
      <c r="AQ10" s="7">
        <v>5</v>
      </c>
      <c r="AR10" s="14">
        <f t="shared" si="13"/>
        <v>9</v>
      </c>
      <c r="AS10" s="7">
        <v>0</v>
      </c>
      <c r="AT10" s="7">
        <v>2</v>
      </c>
      <c r="AU10" s="14">
        <f t="shared" si="14"/>
        <v>7</v>
      </c>
      <c r="AV10" s="7">
        <v>0</v>
      </c>
      <c r="AW10" s="7">
        <v>0</v>
      </c>
      <c r="AX10" s="14">
        <f t="shared" si="15"/>
        <v>7</v>
      </c>
      <c r="AY10" s="7">
        <v>0</v>
      </c>
      <c r="AZ10" s="7">
        <v>1</v>
      </c>
      <c r="BA10" s="14">
        <f t="shared" si="16"/>
        <v>6</v>
      </c>
      <c r="BB10" s="7">
        <v>0</v>
      </c>
      <c r="BC10" s="7">
        <v>0</v>
      </c>
      <c r="BD10" s="14">
        <f t="shared" si="17"/>
        <v>6</v>
      </c>
      <c r="BE10" s="7">
        <v>0</v>
      </c>
      <c r="BF10" s="7">
        <v>0</v>
      </c>
      <c r="BG10" s="14">
        <f t="shared" si="18"/>
        <v>6</v>
      </c>
      <c r="BH10" s="7">
        <v>0</v>
      </c>
      <c r="BI10" s="7">
        <v>2</v>
      </c>
      <c r="BJ10" s="14">
        <f t="shared" si="19"/>
        <v>4</v>
      </c>
      <c r="BK10" s="7">
        <v>0</v>
      </c>
      <c r="BL10" s="7">
        <v>0</v>
      </c>
      <c r="BM10" s="14">
        <f t="shared" si="20"/>
        <v>4</v>
      </c>
      <c r="BN10" s="7">
        <v>0</v>
      </c>
      <c r="BO10" s="14">
        <f t="shared" si="21"/>
        <v>4</v>
      </c>
      <c r="BP10" s="23"/>
    </row>
    <row r="11" spans="1:68" x14ac:dyDescent="0.2">
      <c r="A11" s="13" t="s">
        <v>85</v>
      </c>
      <c r="B11" s="26">
        <v>19</v>
      </c>
      <c r="C11" s="26">
        <v>0</v>
      </c>
      <c r="D11" s="15">
        <f t="shared" si="0"/>
        <v>19</v>
      </c>
      <c r="E11" s="26">
        <v>0</v>
      </c>
      <c r="F11" s="27">
        <f t="shared" si="1"/>
        <v>19</v>
      </c>
      <c r="G11" s="19">
        <v>0</v>
      </c>
      <c r="H11" s="27">
        <f t="shared" si="2"/>
        <v>19</v>
      </c>
      <c r="I11" s="19">
        <v>0</v>
      </c>
      <c r="J11" s="20">
        <v>0</v>
      </c>
      <c r="K11" s="27">
        <f t="shared" si="22"/>
        <v>19</v>
      </c>
      <c r="L11" s="19">
        <v>0</v>
      </c>
      <c r="M11" s="20">
        <v>0</v>
      </c>
      <c r="N11" s="29">
        <f t="shared" si="3"/>
        <v>19</v>
      </c>
      <c r="O11" s="20">
        <v>0</v>
      </c>
      <c r="P11" s="19">
        <v>0</v>
      </c>
      <c r="Q11" s="27">
        <f t="shared" si="4"/>
        <v>19</v>
      </c>
      <c r="R11" s="19">
        <v>0</v>
      </c>
      <c r="S11" s="19">
        <v>0</v>
      </c>
      <c r="T11" s="27">
        <f t="shared" si="5"/>
        <v>19</v>
      </c>
      <c r="U11" s="19">
        <v>0</v>
      </c>
      <c r="V11" s="19">
        <v>0</v>
      </c>
      <c r="W11" s="27">
        <f t="shared" si="6"/>
        <v>19</v>
      </c>
      <c r="X11" s="19">
        <v>0</v>
      </c>
      <c r="Y11" s="19">
        <v>0</v>
      </c>
      <c r="Z11" s="27">
        <f t="shared" si="7"/>
        <v>19</v>
      </c>
      <c r="AA11" s="19">
        <v>0</v>
      </c>
      <c r="AB11" s="19">
        <v>0</v>
      </c>
      <c r="AC11" s="14">
        <f t="shared" si="8"/>
        <v>19</v>
      </c>
      <c r="AD11" s="7">
        <v>0</v>
      </c>
      <c r="AE11" s="20">
        <v>0</v>
      </c>
      <c r="AF11" s="14">
        <f t="shared" si="9"/>
        <v>19</v>
      </c>
      <c r="AG11" s="19">
        <v>0</v>
      </c>
      <c r="AH11" s="20">
        <v>2</v>
      </c>
      <c r="AI11" s="14">
        <f t="shared" si="10"/>
        <v>17</v>
      </c>
      <c r="AJ11" s="15">
        <v>0</v>
      </c>
      <c r="AK11" s="20">
        <v>1</v>
      </c>
      <c r="AL11" s="14">
        <f t="shared" si="11"/>
        <v>16</v>
      </c>
      <c r="AM11" s="7">
        <v>0</v>
      </c>
      <c r="AN11" s="7">
        <v>0</v>
      </c>
      <c r="AO11" s="14">
        <f t="shared" si="12"/>
        <v>16</v>
      </c>
      <c r="AP11" s="7">
        <v>0</v>
      </c>
      <c r="AQ11" s="7">
        <v>0</v>
      </c>
      <c r="AR11" s="14">
        <f t="shared" si="13"/>
        <v>16</v>
      </c>
      <c r="AS11" s="7">
        <v>0</v>
      </c>
      <c r="AT11" s="7">
        <v>0</v>
      </c>
      <c r="AU11" s="14">
        <f t="shared" si="14"/>
        <v>16</v>
      </c>
      <c r="AV11" s="7">
        <v>0</v>
      </c>
      <c r="AW11" s="7">
        <v>0</v>
      </c>
      <c r="AX11" s="14">
        <f t="shared" si="15"/>
        <v>16</v>
      </c>
      <c r="AY11" s="7">
        <v>0</v>
      </c>
      <c r="AZ11" s="7">
        <v>0</v>
      </c>
      <c r="BA11" s="14">
        <f t="shared" si="16"/>
        <v>16</v>
      </c>
      <c r="BB11" s="7">
        <v>0</v>
      </c>
      <c r="BC11" s="7">
        <v>0</v>
      </c>
      <c r="BD11" s="14">
        <f t="shared" si="17"/>
        <v>16</v>
      </c>
      <c r="BE11" s="7">
        <v>0</v>
      </c>
      <c r="BF11" s="7">
        <v>0</v>
      </c>
      <c r="BG11" s="14">
        <f t="shared" si="18"/>
        <v>16</v>
      </c>
      <c r="BH11" s="7">
        <v>0</v>
      </c>
      <c r="BI11" s="7">
        <v>0</v>
      </c>
      <c r="BJ11" s="14">
        <f t="shared" si="19"/>
        <v>16</v>
      </c>
      <c r="BK11" s="7">
        <v>0</v>
      </c>
      <c r="BL11" s="7">
        <v>0</v>
      </c>
      <c r="BM11" s="14">
        <f t="shared" si="20"/>
        <v>16</v>
      </c>
      <c r="BN11" s="7">
        <v>0</v>
      </c>
      <c r="BO11" s="14">
        <f t="shared" si="21"/>
        <v>16</v>
      </c>
      <c r="BP11" s="23"/>
    </row>
    <row r="12" spans="1:68" x14ac:dyDescent="0.2">
      <c r="A12" s="13" t="s">
        <v>86</v>
      </c>
      <c r="B12" s="26">
        <v>6</v>
      </c>
      <c r="C12" s="26">
        <v>0</v>
      </c>
      <c r="D12" s="15">
        <f t="shared" si="0"/>
        <v>6</v>
      </c>
      <c r="E12" s="26">
        <v>0</v>
      </c>
      <c r="F12" s="27">
        <f t="shared" si="1"/>
        <v>6</v>
      </c>
      <c r="G12" s="19">
        <v>0</v>
      </c>
      <c r="H12" s="27">
        <f t="shared" si="2"/>
        <v>6</v>
      </c>
      <c r="I12" s="19">
        <v>0</v>
      </c>
      <c r="J12" s="20">
        <v>1</v>
      </c>
      <c r="K12" s="27">
        <f t="shared" si="22"/>
        <v>5</v>
      </c>
      <c r="L12" s="19">
        <v>0</v>
      </c>
      <c r="M12" s="20">
        <v>0</v>
      </c>
      <c r="N12" s="29">
        <f t="shared" si="3"/>
        <v>5</v>
      </c>
      <c r="O12" s="20">
        <v>0</v>
      </c>
      <c r="P12" s="19">
        <v>0</v>
      </c>
      <c r="Q12" s="27">
        <f t="shared" si="4"/>
        <v>5</v>
      </c>
      <c r="R12" s="19">
        <v>0</v>
      </c>
      <c r="S12" s="19">
        <v>0</v>
      </c>
      <c r="T12" s="27">
        <f t="shared" si="5"/>
        <v>5</v>
      </c>
      <c r="U12" s="19">
        <v>0</v>
      </c>
      <c r="V12" s="19">
        <v>0</v>
      </c>
      <c r="W12" s="27">
        <f t="shared" si="6"/>
        <v>5</v>
      </c>
      <c r="X12" s="19">
        <v>0</v>
      </c>
      <c r="Y12" s="19">
        <v>0</v>
      </c>
      <c r="Z12" s="27">
        <f t="shared" si="7"/>
        <v>5</v>
      </c>
      <c r="AA12" s="19">
        <v>0</v>
      </c>
      <c r="AB12" s="19">
        <v>0</v>
      </c>
      <c r="AC12" s="14">
        <f t="shared" si="8"/>
        <v>5</v>
      </c>
      <c r="AD12" s="7">
        <v>0</v>
      </c>
      <c r="AE12" s="20">
        <v>0</v>
      </c>
      <c r="AF12" s="14">
        <f t="shared" si="9"/>
        <v>5</v>
      </c>
      <c r="AG12" s="19">
        <v>0</v>
      </c>
      <c r="AH12" s="20">
        <v>0</v>
      </c>
      <c r="AI12" s="14">
        <f t="shared" si="10"/>
        <v>5</v>
      </c>
      <c r="AJ12" s="15">
        <v>0</v>
      </c>
      <c r="AK12" s="20">
        <v>0</v>
      </c>
      <c r="AL12" s="14">
        <f t="shared" si="11"/>
        <v>5</v>
      </c>
      <c r="AM12" s="7">
        <v>0</v>
      </c>
      <c r="AN12" s="7">
        <v>0</v>
      </c>
      <c r="AO12" s="14">
        <f t="shared" si="12"/>
        <v>5</v>
      </c>
      <c r="AP12" s="7">
        <v>0</v>
      </c>
      <c r="AQ12" s="7">
        <v>0</v>
      </c>
      <c r="AR12" s="14">
        <f t="shared" si="13"/>
        <v>5</v>
      </c>
      <c r="AS12" s="7">
        <v>0</v>
      </c>
      <c r="AT12" s="7">
        <v>0</v>
      </c>
      <c r="AU12" s="14">
        <f t="shared" si="14"/>
        <v>5</v>
      </c>
      <c r="AV12" s="7">
        <v>0</v>
      </c>
      <c r="AW12" s="7">
        <v>0</v>
      </c>
      <c r="AX12" s="14">
        <f t="shared" si="15"/>
        <v>5</v>
      </c>
      <c r="AY12" s="7">
        <v>0</v>
      </c>
      <c r="AZ12" s="7">
        <v>0</v>
      </c>
      <c r="BA12" s="14">
        <f t="shared" si="16"/>
        <v>5</v>
      </c>
      <c r="BB12" s="7">
        <v>0</v>
      </c>
      <c r="BC12" s="7">
        <v>0</v>
      </c>
      <c r="BD12" s="14">
        <f t="shared" si="17"/>
        <v>5</v>
      </c>
      <c r="BE12" s="7">
        <v>0</v>
      </c>
      <c r="BF12" s="7">
        <v>0</v>
      </c>
      <c r="BG12" s="14">
        <f t="shared" si="18"/>
        <v>5</v>
      </c>
      <c r="BH12" s="7">
        <v>0</v>
      </c>
      <c r="BI12" s="7">
        <v>0</v>
      </c>
      <c r="BJ12" s="14">
        <f t="shared" si="19"/>
        <v>5</v>
      </c>
      <c r="BK12" s="7">
        <v>0</v>
      </c>
      <c r="BL12" s="7">
        <v>0</v>
      </c>
      <c r="BM12" s="14">
        <f t="shared" si="20"/>
        <v>5</v>
      </c>
      <c r="BN12" s="7">
        <v>0</v>
      </c>
      <c r="BO12" s="14">
        <f t="shared" si="21"/>
        <v>5</v>
      </c>
      <c r="BP12" s="23"/>
    </row>
    <row r="13" spans="1:68" x14ac:dyDescent="0.2">
      <c r="A13" s="13" t="s">
        <v>87</v>
      </c>
      <c r="B13" s="26">
        <v>13</v>
      </c>
      <c r="C13" s="26">
        <v>0</v>
      </c>
      <c r="D13" s="15">
        <f t="shared" si="0"/>
        <v>13</v>
      </c>
      <c r="E13" s="26">
        <v>0</v>
      </c>
      <c r="F13" s="27">
        <f t="shared" si="1"/>
        <v>13</v>
      </c>
      <c r="G13" s="19">
        <v>0</v>
      </c>
      <c r="H13" s="27">
        <f t="shared" si="2"/>
        <v>13</v>
      </c>
      <c r="I13" s="19">
        <v>0</v>
      </c>
      <c r="J13" s="20">
        <v>3</v>
      </c>
      <c r="K13" s="27">
        <f t="shared" si="22"/>
        <v>10</v>
      </c>
      <c r="L13" s="10">
        <v>7</v>
      </c>
      <c r="M13" s="20">
        <v>16</v>
      </c>
      <c r="N13" s="29">
        <f t="shared" si="3"/>
        <v>1</v>
      </c>
      <c r="O13" s="20">
        <v>0</v>
      </c>
      <c r="P13" s="19">
        <v>12</v>
      </c>
      <c r="Q13" s="27">
        <f t="shared" si="4"/>
        <v>13</v>
      </c>
      <c r="R13" s="19">
        <v>0</v>
      </c>
      <c r="S13" s="19">
        <v>0</v>
      </c>
      <c r="T13" s="27">
        <f t="shared" si="5"/>
        <v>13</v>
      </c>
      <c r="U13" s="19">
        <v>0</v>
      </c>
      <c r="V13" s="19">
        <v>0</v>
      </c>
      <c r="W13" s="27">
        <f t="shared" si="6"/>
        <v>13</v>
      </c>
      <c r="X13" s="19">
        <v>0</v>
      </c>
      <c r="Y13" s="19">
        <v>0</v>
      </c>
      <c r="Z13" s="27">
        <f t="shared" si="7"/>
        <v>13</v>
      </c>
      <c r="AA13" s="19">
        <v>0</v>
      </c>
      <c r="AB13" s="19">
        <v>0</v>
      </c>
      <c r="AC13" s="14">
        <f t="shared" si="8"/>
        <v>13</v>
      </c>
      <c r="AD13" s="7">
        <v>0</v>
      </c>
      <c r="AE13" s="20">
        <v>0</v>
      </c>
      <c r="AF13" s="14">
        <f t="shared" si="9"/>
        <v>13</v>
      </c>
      <c r="AG13" s="19">
        <v>0</v>
      </c>
      <c r="AH13" s="20">
        <v>1</v>
      </c>
      <c r="AI13" s="14">
        <f t="shared" si="10"/>
        <v>12</v>
      </c>
      <c r="AJ13" s="15">
        <v>0</v>
      </c>
      <c r="AK13" s="20">
        <v>1</v>
      </c>
      <c r="AL13" s="14">
        <f t="shared" si="11"/>
        <v>11</v>
      </c>
      <c r="AM13" s="7">
        <v>0</v>
      </c>
      <c r="AN13" s="7">
        <v>0</v>
      </c>
      <c r="AO13" s="14">
        <f t="shared" si="12"/>
        <v>11</v>
      </c>
      <c r="AP13" s="7">
        <v>0</v>
      </c>
      <c r="AQ13" s="7">
        <v>0</v>
      </c>
      <c r="AR13" s="14">
        <f t="shared" si="13"/>
        <v>11</v>
      </c>
      <c r="AS13" s="7">
        <v>0</v>
      </c>
      <c r="AT13" s="7">
        <v>0</v>
      </c>
      <c r="AU13" s="14">
        <f t="shared" si="14"/>
        <v>11</v>
      </c>
      <c r="AV13" s="7">
        <v>0</v>
      </c>
      <c r="AW13" s="7">
        <v>0</v>
      </c>
      <c r="AX13" s="14">
        <f t="shared" si="15"/>
        <v>11</v>
      </c>
      <c r="AY13" s="7">
        <v>0</v>
      </c>
      <c r="AZ13" s="7">
        <v>0</v>
      </c>
      <c r="BA13" s="14">
        <f t="shared" si="16"/>
        <v>11</v>
      </c>
      <c r="BB13" s="7">
        <v>0</v>
      </c>
      <c r="BC13" s="7">
        <v>0</v>
      </c>
      <c r="BD13" s="14">
        <f t="shared" si="17"/>
        <v>11</v>
      </c>
      <c r="BE13" s="7">
        <v>0</v>
      </c>
      <c r="BF13" s="7">
        <v>0</v>
      </c>
      <c r="BG13" s="14">
        <f t="shared" si="18"/>
        <v>11</v>
      </c>
      <c r="BH13" s="7">
        <v>0</v>
      </c>
      <c r="BI13" s="7">
        <v>1</v>
      </c>
      <c r="BJ13" s="14">
        <f t="shared" si="19"/>
        <v>10</v>
      </c>
      <c r="BK13" s="7">
        <v>0</v>
      </c>
      <c r="BL13" s="7">
        <v>0</v>
      </c>
      <c r="BM13" s="14">
        <f t="shared" si="20"/>
        <v>10</v>
      </c>
      <c r="BN13" s="7">
        <v>0</v>
      </c>
      <c r="BO13" s="14">
        <f t="shared" si="21"/>
        <v>10</v>
      </c>
      <c r="BP13" s="23"/>
    </row>
    <row r="14" spans="1:68" x14ac:dyDescent="0.2">
      <c r="A14" s="13" t="s">
        <v>88</v>
      </c>
      <c r="B14" s="26">
        <v>12</v>
      </c>
      <c r="C14" s="26">
        <v>0</v>
      </c>
      <c r="D14" s="15">
        <f t="shared" si="0"/>
        <v>12</v>
      </c>
      <c r="E14" s="26">
        <v>0</v>
      </c>
      <c r="F14" s="27">
        <f t="shared" si="1"/>
        <v>12</v>
      </c>
      <c r="G14" s="19">
        <v>0</v>
      </c>
      <c r="H14" s="27">
        <f t="shared" si="2"/>
        <v>12</v>
      </c>
      <c r="I14" s="19">
        <v>0</v>
      </c>
      <c r="J14" s="20">
        <v>0</v>
      </c>
      <c r="K14" s="27">
        <f t="shared" si="22"/>
        <v>12</v>
      </c>
      <c r="L14" s="19">
        <v>0</v>
      </c>
      <c r="M14" s="20">
        <v>0</v>
      </c>
      <c r="N14" s="29">
        <f t="shared" si="3"/>
        <v>12</v>
      </c>
      <c r="O14" s="20">
        <v>1</v>
      </c>
      <c r="P14" s="19">
        <v>0</v>
      </c>
      <c r="Q14" s="27">
        <f t="shared" si="4"/>
        <v>11</v>
      </c>
      <c r="R14" s="19">
        <v>0</v>
      </c>
      <c r="S14" s="19">
        <v>0</v>
      </c>
      <c r="T14" s="27">
        <f t="shared" si="5"/>
        <v>11</v>
      </c>
      <c r="U14" s="19">
        <v>0</v>
      </c>
      <c r="V14" s="19">
        <v>0</v>
      </c>
      <c r="W14" s="27">
        <f t="shared" si="6"/>
        <v>11</v>
      </c>
      <c r="X14" s="19">
        <v>0</v>
      </c>
      <c r="Y14" s="19">
        <v>0</v>
      </c>
      <c r="Z14" s="27">
        <f t="shared" si="7"/>
        <v>11</v>
      </c>
      <c r="AA14" s="19">
        <v>0</v>
      </c>
      <c r="AB14" s="19">
        <v>0</v>
      </c>
      <c r="AC14" s="14">
        <f t="shared" si="8"/>
        <v>11</v>
      </c>
      <c r="AD14" s="7">
        <v>0</v>
      </c>
      <c r="AE14" s="20">
        <v>0</v>
      </c>
      <c r="AF14" s="14">
        <f t="shared" si="9"/>
        <v>11</v>
      </c>
      <c r="AG14" s="19">
        <v>0</v>
      </c>
      <c r="AH14" s="20">
        <v>0</v>
      </c>
      <c r="AI14" s="14">
        <f t="shared" si="10"/>
        <v>11</v>
      </c>
      <c r="AJ14" s="15">
        <v>0</v>
      </c>
      <c r="AK14" s="20">
        <v>0</v>
      </c>
      <c r="AL14" s="14">
        <f t="shared" si="11"/>
        <v>11</v>
      </c>
      <c r="AM14" s="7">
        <v>0</v>
      </c>
      <c r="AN14" s="7">
        <v>0</v>
      </c>
      <c r="AO14" s="14">
        <f t="shared" si="12"/>
        <v>11</v>
      </c>
      <c r="AP14" s="7">
        <v>0</v>
      </c>
      <c r="AQ14" s="7">
        <v>0</v>
      </c>
      <c r="AR14" s="14">
        <f t="shared" si="13"/>
        <v>11</v>
      </c>
      <c r="AS14" s="7">
        <v>0</v>
      </c>
      <c r="AT14" s="7">
        <v>0</v>
      </c>
      <c r="AU14" s="14">
        <f t="shared" si="14"/>
        <v>11</v>
      </c>
      <c r="AV14" s="7">
        <v>0</v>
      </c>
      <c r="AW14" s="7">
        <v>0</v>
      </c>
      <c r="AX14" s="14">
        <f t="shared" si="15"/>
        <v>11</v>
      </c>
      <c r="AY14" s="7">
        <v>0</v>
      </c>
      <c r="AZ14" s="7">
        <v>0</v>
      </c>
      <c r="BA14" s="14">
        <f t="shared" si="16"/>
        <v>11</v>
      </c>
      <c r="BB14" s="7">
        <v>0</v>
      </c>
      <c r="BC14" s="7">
        <v>0</v>
      </c>
      <c r="BD14" s="14">
        <f t="shared" si="17"/>
        <v>11</v>
      </c>
      <c r="BE14" s="7">
        <v>0</v>
      </c>
      <c r="BF14" s="7">
        <v>0</v>
      </c>
      <c r="BG14" s="14">
        <f t="shared" si="18"/>
        <v>11</v>
      </c>
      <c r="BH14" s="7">
        <v>0</v>
      </c>
      <c r="BI14" s="7">
        <v>0</v>
      </c>
      <c r="BJ14" s="14">
        <f t="shared" si="19"/>
        <v>11</v>
      </c>
      <c r="BK14" s="7">
        <v>0</v>
      </c>
      <c r="BL14" s="7">
        <v>0</v>
      </c>
      <c r="BM14" s="14">
        <f t="shared" si="20"/>
        <v>11</v>
      </c>
      <c r="BN14" s="7">
        <v>0</v>
      </c>
      <c r="BO14" s="14">
        <f t="shared" si="21"/>
        <v>11</v>
      </c>
      <c r="BP14" s="23"/>
    </row>
    <row r="15" spans="1:68" x14ac:dyDescent="0.2">
      <c r="A15" s="13" t="s">
        <v>89</v>
      </c>
      <c r="B15" s="26">
        <v>4</v>
      </c>
      <c r="C15" s="26">
        <v>0</v>
      </c>
      <c r="D15" s="15">
        <f t="shared" si="0"/>
        <v>4</v>
      </c>
      <c r="E15" s="26">
        <v>0</v>
      </c>
      <c r="F15" s="27">
        <f t="shared" si="1"/>
        <v>4</v>
      </c>
      <c r="G15" s="19">
        <v>3</v>
      </c>
      <c r="H15" s="27">
        <f t="shared" si="2"/>
        <v>1</v>
      </c>
      <c r="I15" s="19">
        <v>0</v>
      </c>
      <c r="J15" s="20">
        <v>0</v>
      </c>
      <c r="K15" s="27">
        <f t="shared" si="22"/>
        <v>1</v>
      </c>
      <c r="L15" s="19">
        <v>0</v>
      </c>
      <c r="M15" s="20">
        <v>0</v>
      </c>
      <c r="N15" s="29">
        <f t="shared" si="3"/>
        <v>1</v>
      </c>
      <c r="O15" s="20">
        <v>1</v>
      </c>
      <c r="P15" s="19">
        <v>0</v>
      </c>
      <c r="Q15" s="27">
        <f t="shared" si="4"/>
        <v>0</v>
      </c>
      <c r="R15" s="19">
        <v>0</v>
      </c>
      <c r="S15" s="19">
        <v>0</v>
      </c>
      <c r="T15" s="27">
        <f t="shared" si="5"/>
        <v>0</v>
      </c>
      <c r="U15" s="19">
        <v>0</v>
      </c>
      <c r="V15" s="19">
        <v>0</v>
      </c>
      <c r="W15" s="27">
        <f t="shared" si="6"/>
        <v>0</v>
      </c>
      <c r="X15" s="19">
        <v>0</v>
      </c>
      <c r="Y15" s="19">
        <v>0</v>
      </c>
      <c r="Z15" s="27">
        <f t="shared" si="7"/>
        <v>0</v>
      </c>
      <c r="AA15" s="19">
        <v>0</v>
      </c>
      <c r="AB15" s="19">
        <v>0</v>
      </c>
      <c r="AC15" s="14">
        <f t="shared" si="8"/>
        <v>0</v>
      </c>
      <c r="AD15" s="7">
        <v>0</v>
      </c>
      <c r="AE15" s="20">
        <v>0</v>
      </c>
      <c r="AF15" s="14">
        <f t="shared" si="9"/>
        <v>0</v>
      </c>
      <c r="AG15" s="19">
        <v>0</v>
      </c>
      <c r="AH15" s="20">
        <v>0</v>
      </c>
      <c r="AI15" s="14">
        <f t="shared" si="10"/>
        <v>0</v>
      </c>
      <c r="AJ15" s="15">
        <v>0</v>
      </c>
      <c r="AK15" s="20">
        <v>0</v>
      </c>
      <c r="AL15" s="14">
        <f t="shared" si="11"/>
        <v>0</v>
      </c>
      <c r="AM15" s="7">
        <v>0</v>
      </c>
      <c r="AN15" s="7">
        <v>0</v>
      </c>
      <c r="AO15" s="14">
        <f t="shared" si="12"/>
        <v>0</v>
      </c>
      <c r="AP15" s="7">
        <v>0</v>
      </c>
      <c r="AQ15" s="7">
        <v>0</v>
      </c>
      <c r="AR15" s="14">
        <f t="shared" si="13"/>
        <v>0</v>
      </c>
      <c r="AS15" s="7">
        <v>0</v>
      </c>
      <c r="AT15" s="7">
        <v>0</v>
      </c>
      <c r="AU15" s="14">
        <f t="shared" si="14"/>
        <v>0</v>
      </c>
      <c r="AV15" s="7">
        <v>0</v>
      </c>
      <c r="AW15" s="7">
        <v>0</v>
      </c>
      <c r="AX15" s="14">
        <f t="shared" si="15"/>
        <v>0</v>
      </c>
      <c r="AY15" s="7">
        <v>0</v>
      </c>
      <c r="AZ15" s="7">
        <v>0</v>
      </c>
      <c r="BA15" s="14">
        <f t="shared" si="16"/>
        <v>0</v>
      </c>
      <c r="BB15" s="7">
        <v>0</v>
      </c>
      <c r="BC15" s="7">
        <v>0</v>
      </c>
      <c r="BD15" s="14">
        <f t="shared" si="17"/>
        <v>0</v>
      </c>
      <c r="BE15" s="7">
        <v>0</v>
      </c>
      <c r="BF15" s="7">
        <v>0</v>
      </c>
      <c r="BG15" s="14">
        <f t="shared" si="18"/>
        <v>0</v>
      </c>
      <c r="BH15" s="7">
        <v>0</v>
      </c>
      <c r="BI15" s="7">
        <v>0</v>
      </c>
      <c r="BJ15" s="14">
        <f t="shared" si="19"/>
        <v>0</v>
      </c>
      <c r="BK15" s="7">
        <v>0</v>
      </c>
      <c r="BL15" s="7">
        <v>0</v>
      </c>
      <c r="BM15" s="14">
        <f t="shared" si="20"/>
        <v>0</v>
      </c>
      <c r="BN15" s="7">
        <v>0</v>
      </c>
      <c r="BO15" s="14">
        <f t="shared" si="21"/>
        <v>0</v>
      </c>
      <c r="BP15" s="23"/>
    </row>
    <row r="16" spans="1:68" x14ac:dyDescent="0.2">
      <c r="A16" s="13" t="s">
        <v>90</v>
      </c>
      <c r="B16" s="26">
        <v>11</v>
      </c>
      <c r="C16" s="26">
        <v>0</v>
      </c>
      <c r="D16" s="15">
        <f t="shared" si="0"/>
        <v>11</v>
      </c>
      <c r="E16" s="26">
        <v>0</v>
      </c>
      <c r="F16" s="27">
        <f t="shared" si="1"/>
        <v>11</v>
      </c>
      <c r="G16" s="19">
        <v>0</v>
      </c>
      <c r="H16" s="27">
        <f t="shared" si="2"/>
        <v>11</v>
      </c>
      <c r="I16" s="19">
        <v>0</v>
      </c>
      <c r="J16" s="20">
        <v>0</v>
      </c>
      <c r="K16" s="27">
        <f t="shared" si="22"/>
        <v>11</v>
      </c>
      <c r="L16" s="19">
        <v>0</v>
      </c>
      <c r="M16" s="20">
        <v>0</v>
      </c>
      <c r="N16" s="29">
        <f t="shared" si="3"/>
        <v>11</v>
      </c>
      <c r="O16" s="20">
        <v>0</v>
      </c>
      <c r="P16" s="19">
        <v>0</v>
      </c>
      <c r="Q16" s="27">
        <f t="shared" si="4"/>
        <v>11</v>
      </c>
      <c r="R16" s="19">
        <v>0</v>
      </c>
      <c r="S16" s="19">
        <v>0</v>
      </c>
      <c r="T16" s="27">
        <f t="shared" si="5"/>
        <v>11</v>
      </c>
      <c r="U16" s="19">
        <v>0</v>
      </c>
      <c r="V16" s="19">
        <v>0</v>
      </c>
      <c r="W16" s="27">
        <f t="shared" si="6"/>
        <v>11</v>
      </c>
      <c r="X16" s="19">
        <v>0</v>
      </c>
      <c r="Y16" s="19">
        <v>0</v>
      </c>
      <c r="Z16" s="27">
        <f t="shared" si="7"/>
        <v>11</v>
      </c>
      <c r="AA16" s="19">
        <v>0</v>
      </c>
      <c r="AB16" s="19">
        <v>0</v>
      </c>
      <c r="AC16" s="14">
        <f t="shared" si="8"/>
        <v>11</v>
      </c>
      <c r="AD16" s="7">
        <v>0</v>
      </c>
      <c r="AE16" s="20">
        <v>0</v>
      </c>
      <c r="AF16" s="14">
        <f t="shared" si="9"/>
        <v>11</v>
      </c>
      <c r="AG16" s="19">
        <v>0</v>
      </c>
      <c r="AH16" s="20">
        <v>0</v>
      </c>
      <c r="AI16" s="14">
        <f t="shared" si="10"/>
        <v>11</v>
      </c>
      <c r="AJ16" s="15">
        <v>0</v>
      </c>
      <c r="AK16" s="20">
        <v>0</v>
      </c>
      <c r="AL16" s="14">
        <f t="shared" si="11"/>
        <v>11</v>
      </c>
      <c r="AM16" s="7">
        <v>0</v>
      </c>
      <c r="AN16" s="7">
        <v>0</v>
      </c>
      <c r="AO16" s="14">
        <f t="shared" si="12"/>
        <v>11</v>
      </c>
      <c r="AP16" s="7">
        <v>0</v>
      </c>
      <c r="AQ16" s="7">
        <v>0</v>
      </c>
      <c r="AR16" s="14">
        <f t="shared" si="13"/>
        <v>11</v>
      </c>
      <c r="AS16" s="7">
        <v>0</v>
      </c>
      <c r="AT16" s="7">
        <v>0</v>
      </c>
      <c r="AU16" s="14">
        <f t="shared" si="14"/>
        <v>11</v>
      </c>
      <c r="AV16" s="7">
        <v>0</v>
      </c>
      <c r="AW16" s="7">
        <v>0</v>
      </c>
      <c r="AX16" s="14">
        <f t="shared" si="15"/>
        <v>11</v>
      </c>
      <c r="AY16" s="7">
        <v>0</v>
      </c>
      <c r="AZ16" s="7">
        <v>0</v>
      </c>
      <c r="BA16" s="14">
        <f t="shared" si="16"/>
        <v>11</v>
      </c>
      <c r="BB16" s="7">
        <v>0</v>
      </c>
      <c r="BC16" s="7">
        <v>0</v>
      </c>
      <c r="BD16" s="14">
        <f t="shared" si="17"/>
        <v>11</v>
      </c>
      <c r="BE16" s="7">
        <v>0</v>
      </c>
      <c r="BF16" s="7">
        <v>0</v>
      </c>
      <c r="BG16" s="14">
        <f t="shared" si="18"/>
        <v>11</v>
      </c>
      <c r="BH16" s="7">
        <v>0</v>
      </c>
      <c r="BI16" s="7">
        <v>0</v>
      </c>
      <c r="BJ16" s="14">
        <f t="shared" si="19"/>
        <v>11</v>
      </c>
      <c r="BK16" s="7">
        <v>0</v>
      </c>
      <c r="BL16" s="7">
        <v>0</v>
      </c>
      <c r="BM16" s="14">
        <f t="shared" si="20"/>
        <v>11</v>
      </c>
      <c r="BN16" s="7">
        <v>0</v>
      </c>
      <c r="BO16" s="14">
        <f t="shared" si="21"/>
        <v>11</v>
      </c>
      <c r="BP16" s="23"/>
    </row>
    <row r="17" spans="1:68" x14ac:dyDescent="0.2">
      <c r="A17" s="13" t="s">
        <v>91</v>
      </c>
      <c r="B17" s="26">
        <v>2</v>
      </c>
      <c r="C17" s="26">
        <v>0</v>
      </c>
      <c r="D17" s="15">
        <f t="shared" si="0"/>
        <v>2</v>
      </c>
      <c r="E17" s="26">
        <v>0</v>
      </c>
      <c r="F17" s="27">
        <f t="shared" si="1"/>
        <v>2</v>
      </c>
      <c r="G17" s="19">
        <v>0</v>
      </c>
      <c r="H17" s="27">
        <f t="shared" si="2"/>
        <v>2</v>
      </c>
      <c r="I17" s="19">
        <v>0</v>
      </c>
      <c r="J17" s="20">
        <v>0</v>
      </c>
      <c r="K17" s="27">
        <f t="shared" si="22"/>
        <v>2</v>
      </c>
      <c r="L17" s="19">
        <v>0</v>
      </c>
      <c r="M17" s="20">
        <v>0</v>
      </c>
      <c r="N17" s="29">
        <f t="shared" si="3"/>
        <v>2</v>
      </c>
      <c r="O17" s="20">
        <v>0</v>
      </c>
      <c r="P17" s="19">
        <v>0</v>
      </c>
      <c r="Q17" s="27">
        <f t="shared" si="4"/>
        <v>2</v>
      </c>
      <c r="R17" s="19">
        <v>0</v>
      </c>
      <c r="S17" s="19">
        <v>0</v>
      </c>
      <c r="T17" s="27">
        <f t="shared" si="5"/>
        <v>2</v>
      </c>
      <c r="U17" s="19">
        <v>0</v>
      </c>
      <c r="V17" s="19">
        <v>0</v>
      </c>
      <c r="W17" s="27">
        <f t="shared" si="6"/>
        <v>2</v>
      </c>
      <c r="X17" s="19">
        <v>0</v>
      </c>
      <c r="Y17" s="19">
        <v>0</v>
      </c>
      <c r="Z17" s="27">
        <f t="shared" si="7"/>
        <v>2</v>
      </c>
      <c r="AA17" s="19">
        <v>0</v>
      </c>
      <c r="AB17" s="19">
        <v>0</v>
      </c>
      <c r="AC17" s="14">
        <f t="shared" si="8"/>
        <v>2</v>
      </c>
      <c r="AD17" s="7">
        <v>0</v>
      </c>
      <c r="AE17" s="20">
        <v>0</v>
      </c>
      <c r="AF17" s="14">
        <f t="shared" si="9"/>
        <v>2</v>
      </c>
      <c r="AG17" s="19">
        <v>0</v>
      </c>
      <c r="AH17" s="20">
        <v>0</v>
      </c>
      <c r="AI17" s="14">
        <f t="shared" si="10"/>
        <v>2</v>
      </c>
      <c r="AJ17" s="15">
        <v>0</v>
      </c>
      <c r="AK17" s="20">
        <v>0</v>
      </c>
      <c r="AL17" s="14">
        <f t="shared" si="11"/>
        <v>2</v>
      </c>
      <c r="AM17" s="7">
        <v>0</v>
      </c>
      <c r="AN17" s="7">
        <v>0</v>
      </c>
      <c r="AO17" s="14">
        <f t="shared" si="12"/>
        <v>2</v>
      </c>
      <c r="AP17" s="7">
        <v>0</v>
      </c>
      <c r="AQ17" s="7">
        <v>0</v>
      </c>
      <c r="AR17" s="14">
        <f t="shared" si="13"/>
        <v>2</v>
      </c>
      <c r="AS17" s="7">
        <v>0</v>
      </c>
      <c r="AT17" s="7">
        <v>0</v>
      </c>
      <c r="AU17" s="14">
        <f t="shared" si="14"/>
        <v>2</v>
      </c>
      <c r="AV17" s="7">
        <v>0</v>
      </c>
      <c r="AW17" s="7">
        <v>0</v>
      </c>
      <c r="AX17" s="14">
        <f t="shared" si="15"/>
        <v>2</v>
      </c>
      <c r="AY17" s="7">
        <v>0</v>
      </c>
      <c r="AZ17" s="7">
        <v>0</v>
      </c>
      <c r="BA17" s="14">
        <f t="shared" si="16"/>
        <v>2</v>
      </c>
      <c r="BB17" s="7">
        <v>0</v>
      </c>
      <c r="BC17" s="7">
        <v>0</v>
      </c>
      <c r="BD17" s="14">
        <f t="shared" si="17"/>
        <v>2</v>
      </c>
      <c r="BE17" s="7">
        <v>0</v>
      </c>
      <c r="BF17" s="7">
        <v>0</v>
      </c>
      <c r="BG17" s="14">
        <f t="shared" si="18"/>
        <v>2</v>
      </c>
      <c r="BH17" s="7">
        <v>0</v>
      </c>
      <c r="BI17" s="7">
        <v>0</v>
      </c>
      <c r="BJ17" s="14">
        <f t="shared" si="19"/>
        <v>2</v>
      </c>
      <c r="BK17" s="7">
        <v>0</v>
      </c>
      <c r="BL17" s="7">
        <v>0</v>
      </c>
      <c r="BM17" s="14">
        <f t="shared" si="20"/>
        <v>2</v>
      </c>
      <c r="BN17" s="7">
        <v>0</v>
      </c>
      <c r="BO17" s="14">
        <f t="shared" si="21"/>
        <v>2</v>
      </c>
      <c r="BP17" s="23"/>
    </row>
    <row r="18" spans="1:68" x14ac:dyDescent="0.2">
      <c r="A18" s="13" t="s">
        <v>92</v>
      </c>
      <c r="B18" s="26">
        <v>4</v>
      </c>
      <c r="C18" s="26">
        <v>0</v>
      </c>
      <c r="D18" s="15">
        <f t="shared" si="0"/>
        <v>4</v>
      </c>
      <c r="E18" s="26">
        <v>0</v>
      </c>
      <c r="F18" s="27">
        <f t="shared" si="1"/>
        <v>4</v>
      </c>
      <c r="G18" s="19">
        <v>0</v>
      </c>
      <c r="H18" s="27">
        <f t="shared" si="2"/>
        <v>4</v>
      </c>
      <c r="I18" s="19">
        <v>0</v>
      </c>
      <c r="J18" s="20">
        <v>0</v>
      </c>
      <c r="K18" s="27">
        <f t="shared" si="22"/>
        <v>4</v>
      </c>
      <c r="L18" s="19">
        <v>0</v>
      </c>
      <c r="M18" s="20">
        <v>0</v>
      </c>
      <c r="N18" s="29">
        <f t="shared" si="3"/>
        <v>4</v>
      </c>
      <c r="O18" s="20">
        <v>0</v>
      </c>
      <c r="P18" s="19">
        <v>0</v>
      </c>
      <c r="Q18" s="27">
        <f t="shared" si="4"/>
        <v>4</v>
      </c>
      <c r="R18" s="19">
        <v>0</v>
      </c>
      <c r="S18" s="19">
        <v>0</v>
      </c>
      <c r="T18" s="27">
        <f t="shared" si="5"/>
        <v>4</v>
      </c>
      <c r="U18" s="19">
        <v>0</v>
      </c>
      <c r="V18" s="19">
        <v>0</v>
      </c>
      <c r="W18" s="27">
        <f t="shared" si="6"/>
        <v>4</v>
      </c>
      <c r="X18" s="19">
        <v>0</v>
      </c>
      <c r="Y18" s="19">
        <v>0</v>
      </c>
      <c r="Z18" s="27">
        <f t="shared" si="7"/>
        <v>4</v>
      </c>
      <c r="AA18" s="19">
        <v>0</v>
      </c>
      <c r="AB18" s="19">
        <v>0</v>
      </c>
      <c r="AC18" s="14">
        <f t="shared" si="8"/>
        <v>4</v>
      </c>
      <c r="AD18" s="7">
        <v>0</v>
      </c>
      <c r="AE18" s="20">
        <v>0</v>
      </c>
      <c r="AF18" s="14">
        <f t="shared" si="9"/>
        <v>4</v>
      </c>
      <c r="AG18" s="19">
        <v>0</v>
      </c>
      <c r="AH18" s="20">
        <v>0</v>
      </c>
      <c r="AI18" s="14">
        <f t="shared" si="10"/>
        <v>4</v>
      </c>
      <c r="AJ18" s="15">
        <v>0</v>
      </c>
      <c r="AK18" s="20">
        <v>0</v>
      </c>
      <c r="AL18" s="14">
        <f t="shared" si="11"/>
        <v>4</v>
      </c>
      <c r="AM18" s="7">
        <v>0</v>
      </c>
      <c r="AN18" s="7">
        <v>0</v>
      </c>
      <c r="AO18" s="14">
        <f t="shared" si="12"/>
        <v>4</v>
      </c>
      <c r="AP18" s="7">
        <v>0</v>
      </c>
      <c r="AQ18" s="7">
        <v>0</v>
      </c>
      <c r="AR18" s="14">
        <f t="shared" si="13"/>
        <v>4</v>
      </c>
      <c r="AS18" s="7">
        <v>0</v>
      </c>
      <c r="AT18" s="7">
        <v>0</v>
      </c>
      <c r="AU18" s="14">
        <f t="shared" si="14"/>
        <v>4</v>
      </c>
      <c r="AV18" s="7">
        <v>0</v>
      </c>
      <c r="AW18" s="7">
        <v>0</v>
      </c>
      <c r="AX18" s="14">
        <f t="shared" si="15"/>
        <v>4</v>
      </c>
      <c r="AY18" s="7">
        <v>0</v>
      </c>
      <c r="AZ18" s="7">
        <v>0</v>
      </c>
      <c r="BA18" s="14">
        <f t="shared" si="16"/>
        <v>4</v>
      </c>
      <c r="BB18" s="7">
        <v>0</v>
      </c>
      <c r="BC18" s="7">
        <v>0</v>
      </c>
      <c r="BD18" s="14">
        <f t="shared" si="17"/>
        <v>4</v>
      </c>
      <c r="BE18" s="7">
        <v>0</v>
      </c>
      <c r="BF18" s="7">
        <v>0</v>
      </c>
      <c r="BG18" s="14">
        <f t="shared" si="18"/>
        <v>4</v>
      </c>
      <c r="BH18" s="7">
        <v>0</v>
      </c>
      <c r="BI18" s="7">
        <v>0</v>
      </c>
      <c r="BJ18" s="14">
        <f t="shared" si="19"/>
        <v>4</v>
      </c>
      <c r="BK18" s="7">
        <v>0</v>
      </c>
      <c r="BL18" s="7">
        <v>0</v>
      </c>
      <c r="BM18" s="14">
        <f t="shared" si="20"/>
        <v>4</v>
      </c>
      <c r="BN18" s="7">
        <v>0</v>
      </c>
      <c r="BO18" s="14">
        <f t="shared" si="21"/>
        <v>4</v>
      </c>
      <c r="BP18" s="23"/>
    </row>
    <row r="19" spans="1:68" x14ac:dyDescent="0.2">
      <c r="A19" s="13" t="s">
        <v>93</v>
      </c>
      <c r="B19" s="26">
        <v>32</v>
      </c>
      <c r="C19" s="26">
        <v>0</v>
      </c>
      <c r="D19" s="15">
        <f t="shared" si="0"/>
        <v>32</v>
      </c>
      <c r="E19" s="26">
        <v>0</v>
      </c>
      <c r="F19" s="27">
        <f t="shared" si="1"/>
        <v>32</v>
      </c>
      <c r="G19" s="19">
        <v>0</v>
      </c>
      <c r="H19" s="27">
        <f t="shared" si="2"/>
        <v>32</v>
      </c>
      <c r="I19" s="19">
        <v>0</v>
      </c>
      <c r="J19" s="20">
        <v>0</v>
      </c>
      <c r="K19" s="27">
        <f t="shared" si="22"/>
        <v>32</v>
      </c>
      <c r="L19" s="19">
        <v>0</v>
      </c>
      <c r="M19" s="20">
        <v>0</v>
      </c>
      <c r="N19" s="29">
        <f t="shared" si="3"/>
        <v>32</v>
      </c>
      <c r="O19" s="20">
        <v>0</v>
      </c>
      <c r="P19" s="19">
        <v>0</v>
      </c>
      <c r="Q19" s="27">
        <f t="shared" si="4"/>
        <v>32</v>
      </c>
      <c r="R19" s="19">
        <v>0</v>
      </c>
      <c r="S19" s="19">
        <v>0</v>
      </c>
      <c r="T19" s="27">
        <f t="shared" si="5"/>
        <v>32</v>
      </c>
      <c r="U19" s="19">
        <v>0</v>
      </c>
      <c r="V19" s="19">
        <v>0</v>
      </c>
      <c r="W19" s="27">
        <f t="shared" si="6"/>
        <v>32</v>
      </c>
      <c r="X19" s="19">
        <v>0</v>
      </c>
      <c r="Y19" s="19">
        <v>0</v>
      </c>
      <c r="Z19" s="27">
        <f t="shared" si="7"/>
        <v>32</v>
      </c>
      <c r="AA19" s="19">
        <v>0</v>
      </c>
      <c r="AB19" s="19">
        <v>0</v>
      </c>
      <c r="AC19" s="14">
        <f t="shared" si="8"/>
        <v>32</v>
      </c>
      <c r="AD19" s="7">
        <v>0</v>
      </c>
      <c r="AE19" s="20">
        <v>0</v>
      </c>
      <c r="AF19" s="14">
        <f t="shared" si="9"/>
        <v>32</v>
      </c>
      <c r="AG19" s="19">
        <v>0</v>
      </c>
      <c r="AH19" s="20">
        <v>0</v>
      </c>
      <c r="AI19" s="14">
        <f t="shared" si="10"/>
        <v>32</v>
      </c>
      <c r="AJ19" s="15">
        <v>0</v>
      </c>
      <c r="AK19" s="20">
        <v>0</v>
      </c>
      <c r="AL19" s="14">
        <f t="shared" si="11"/>
        <v>32</v>
      </c>
      <c r="AM19" s="7">
        <v>0</v>
      </c>
      <c r="AN19" s="7">
        <v>0</v>
      </c>
      <c r="AO19" s="14">
        <f t="shared" si="12"/>
        <v>32</v>
      </c>
      <c r="AP19" s="7">
        <v>0</v>
      </c>
      <c r="AQ19" s="7">
        <v>0</v>
      </c>
      <c r="AR19" s="14">
        <f t="shared" si="13"/>
        <v>32</v>
      </c>
      <c r="AS19" s="7">
        <v>0</v>
      </c>
      <c r="AT19" s="7">
        <v>0</v>
      </c>
      <c r="AU19" s="14">
        <f t="shared" si="14"/>
        <v>32</v>
      </c>
      <c r="AV19" s="7">
        <v>0</v>
      </c>
      <c r="AW19" s="7">
        <v>0</v>
      </c>
      <c r="AX19" s="14">
        <f t="shared" si="15"/>
        <v>32</v>
      </c>
      <c r="AY19" s="7">
        <v>0</v>
      </c>
      <c r="AZ19" s="7">
        <v>0</v>
      </c>
      <c r="BA19" s="14">
        <f t="shared" si="16"/>
        <v>32</v>
      </c>
      <c r="BB19" s="7">
        <v>0</v>
      </c>
      <c r="BC19" s="7">
        <v>0</v>
      </c>
      <c r="BD19" s="14">
        <f t="shared" si="17"/>
        <v>32</v>
      </c>
      <c r="BE19" s="7">
        <v>0</v>
      </c>
      <c r="BF19" s="7">
        <v>0</v>
      </c>
      <c r="BG19" s="14">
        <f t="shared" si="18"/>
        <v>32</v>
      </c>
      <c r="BH19" s="7">
        <v>0</v>
      </c>
      <c r="BI19" s="7">
        <v>0</v>
      </c>
      <c r="BJ19" s="14">
        <f t="shared" si="19"/>
        <v>32</v>
      </c>
      <c r="BK19" s="7">
        <v>0</v>
      </c>
      <c r="BL19" s="7">
        <v>0</v>
      </c>
      <c r="BM19" s="14">
        <f t="shared" si="20"/>
        <v>32</v>
      </c>
      <c r="BN19" s="7">
        <v>0</v>
      </c>
      <c r="BO19" s="14">
        <f t="shared" si="21"/>
        <v>32</v>
      </c>
      <c r="BP19" s="23"/>
    </row>
    <row r="20" spans="1:68" x14ac:dyDescent="0.2">
      <c r="A20" s="13" t="s">
        <v>94</v>
      </c>
      <c r="B20" s="26">
        <v>24</v>
      </c>
      <c r="C20" s="26">
        <v>0</v>
      </c>
      <c r="D20" s="15">
        <f t="shared" si="0"/>
        <v>24</v>
      </c>
      <c r="E20" s="26">
        <v>0</v>
      </c>
      <c r="F20" s="27">
        <f t="shared" si="1"/>
        <v>24</v>
      </c>
      <c r="G20" s="19">
        <v>0</v>
      </c>
      <c r="H20" s="27">
        <f t="shared" si="2"/>
        <v>24</v>
      </c>
      <c r="I20" s="19">
        <v>0</v>
      </c>
      <c r="J20" s="20">
        <v>0</v>
      </c>
      <c r="K20" s="27">
        <f t="shared" si="22"/>
        <v>24</v>
      </c>
      <c r="L20" s="19">
        <v>0</v>
      </c>
      <c r="M20" s="20">
        <v>0</v>
      </c>
      <c r="N20" s="29">
        <f t="shared" si="3"/>
        <v>24</v>
      </c>
      <c r="O20" s="20">
        <v>0</v>
      </c>
      <c r="P20" s="19">
        <v>0</v>
      </c>
      <c r="Q20" s="27">
        <f t="shared" si="4"/>
        <v>24</v>
      </c>
      <c r="R20" s="19">
        <v>0</v>
      </c>
      <c r="S20" s="19">
        <v>0</v>
      </c>
      <c r="T20" s="27">
        <f t="shared" si="5"/>
        <v>24</v>
      </c>
      <c r="U20" s="19">
        <v>0</v>
      </c>
      <c r="V20" s="19">
        <v>0</v>
      </c>
      <c r="W20" s="27">
        <f t="shared" si="6"/>
        <v>24</v>
      </c>
      <c r="X20" s="19">
        <v>0</v>
      </c>
      <c r="Y20" s="19">
        <v>0</v>
      </c>
      <c r="Z20" s="27">
        <f t="shared" si="7"/>
        <v>24</v>
      </c>
      <c r="AA20" s="19">
        <v>0</v>
      </c>
      <c r="AB20" s="19">
        <v>0</v>
      </c>
      <c r="AC20" s="14">
        <f t="shared" si="8"/>
        <v>24</v>
      </c>
      <c r="AD20" s="7">
        <v>0</v>
      </c>
      <c r="AE20" s="20">
        <v>0</v>
      </c>
      <c r="AF20" s="14">
        <f t="shared" si="9"/>
        <v>24</v>
      </c>
      <c r="AG20" s="19">
        <v>0</v>
      </c>
      <c r="AH20" s="20">
        <v>0</v>
      </c>
      <c r="AI20" s="14">
        <f t="shared" si="10"/>
        <v>24</v>
      </c>
      <c r="AJ20" s="15">
        <v>0</v>
      </c>
      <c r="AK20" s="20">
        <v>0</v>
      </c>
      <c r="AL20" s="14">
        <f t="shared" si="11"/>
        <v>24</v>
      </c>
      <c r="AM20" s="7">
        <v>0</v>
      </c>
      <c r="AN20" s="7">
        <v>0</v>
      </c>
      <c r="AO20" s="14">
        <f t="shared" si="12"/>
        <v>24</v>
      </c>
      <c r="AP20" s="7">
        <v>0</v>
      </c>
      <c r="AQ20" s="7">
        <v>0</v>
      </c>
      <c r="AR20" s="14">
        <f t="shared" si="13"/>
        <v>24</v>
      </c>
      <c r="AS20" s="7">
        <v>0</v>
      </c>
      <c r="AT20" s="7">
        <v>0</v>
      </c>
      <c r="AU20" s="14">
        <f t="shared" si="14"/>
        <v>24</v>
      </c>
      <c r="AV20" s="7">
        <v>0</v>
      </c>
      <c r="AW20" s="7">
        <v>0</v>
      </c>
      <c r="AX20" s="14">
        <f t="shared" si="15"/>
        <v>24</v>
      </c>
      <c r="AY20" s="7">
        <v>0</v>
      </c>
      <c r="AZ20" s="7">
        <v>0</v>
      </c>
      <c r="BA20" s="14">
        <f t="shared" si="16"/>
        <v>24</v>
      </c>
      <c r="BB20" s="7">
        <v>0</v>
      </c>
      <c r="BC20" s="7">
        <v>0</v>
      </c>
      <c r="BD20" s="14">
        <f t="shared" si="17"/>
        <v>24</v>
      </c>
      <c r="BE20" s="7">
        <v>0</v>
      </c>
      <c r="BF20" s="7">
        <v>0</v>
      </c>
      <c r="BG20" s="14">
        <f t="shared" si="18"/>
        <v>24</v>
      </c>
      <c r="BH20" s="7">
        <v>0</v>
      </c>
      <c r="BI20" s="7">
        <v>0</v>
      </c>
      <c r="BJ20" s="14">
        <f t="shared" si="19"/>
        <v>24</v>
      </c>
      <c r="BK20" s="7">
        <v>0</v>
      </c>
      <c r="BL20" s="7">
        <v>0</v>
      </c>
      <c r="BM20" s="14">
        <f t="shared" si="20"/>
        <v>24</v>
      </c>
      <c r="BN20" s="7">
        <v>0</v>
      </c>
      <c r="BO20" s="14">
        <f t="shared" si="21"/>
        <v>24</v>
      </c>
      <c r="BP20" s="23"/>
    </row>
    <row r="21" spans="1:68" x14ac:dyDescent="0.2">
      <c r="A21" s="13" t="s">
        <v>95</v>
      </c>
      <c r="B21" s="26">
        <v>25</v>
      </c>
      <c r="C21" s="26">
        <v>0</v>
      </c>
      <c r="D21" s="15">
        <f t="shared" si="0"/>
        <v>25</v>
      </c>
      <c r="E21" s="26">
        <v>0</v>
      </c>
      <c r="F21" s="27">
        <f t="shared" si="1"/>
        <v>25</v>
      </c>
      <c r="G21" s="19">
        <v>0</v>
      </c>
      <c r="H21" s="27">
        <f t="shared" si="2"/>
        <v>25</v>
      </c>
      <c r="I21" s="19">
        <v>0</v>
      </c>
      <c r="J21" s="20">
        <v>0</v>
      </c>
      <c r="K21" s="27">
        <f t="shared" si="22"/>
        <v>25</v>
      </c>
      <c r="L21" s="19">
        <v>0</v>
      </c>
      <c r="M21" s="20">
        <v>0</v>
      </c>
      <c r="N21" s="29">
        <f t="shared" si="3"/>
        <v>25</v>
      </c>
      <c r="O21" s="20">
        <v>0</v>
      </c>
      <c r="P21" s="19">
        <v>0</v>
      </c>
      <c r="Q21" s="27">
        <f t="shared" si="4"/>
        <v>25</v>
      </c>
      <c r="R21" s="19">
        <v>0</v>
      </c>
      <c r="S21" s="19">
        <v>0</v>
      </c>
      <c r="T21" s="27">
        <f t="shared" si="5"/>
        <v>25</v>
      </c>
      <c r="U21" s="19">
        <v>0</v>
      </c>
      <c r="V21" s="19">
        <v>0</v>
      </c>
      <c r="W21" s="27">
        <f t="shared" si="6"/>
        <v>25</v>
      </c>
      <c r="X21" s="19">
        <v>0</v>
      </c>
      <c r="Y21" s="19">
        <v>0</v>
      </c>
      <c r="Z21" s="27">
        <f t="shared" si="7"/>
        <v>25</v>
      </c>
      <c r="AA21" s="19">
        <v>0</v>
      </c>
      <c r="AB21" s="19">
        <v>0</v>
      </c>
      <c r="AC21" s="14">
        <f t="shared" si="8"/>
        <v>25</v>
      </c>
      <c r="AD21" s="7">
        <v>0</v>
      </c>
      <c r="AE21" s="20">
        <v>0</v>
      </c>
      <c r="AF21" s="14">
        <f t="shared" si="9"/>
        <v>25</v>
      </c>
      <c r="AG21" s="19">
        <v>0</v>
      </c>
      <c r="AH21" s="20">
        <v>0</v>
      </c>
      <c r="AI21" s="14">
        <f t="shared" si="10"/>
        <v>25</v>
      </c>
      <c r="AJ21" s="15">
        <v>0</v>
      </c>
      <c r="AK21" s="20">
        <v>0</v>
      </c>
      <c r="AL21" s="14">
        <f t="shared" si="11"/>
        <v>25</v>
      </c>
      <c r="AM21" s="7">
        <v>0</v>
      </c>
      <c r="AN21" s="7">
        <v>0</v>
      </c>
      <c r="AO21" s="14">
        <f t="shared" si="12"/>
        <v>25</v>
      </c>
      <c r="AP21" s="7">
        <v>0</v>
      </c>
      <c r="AQ21" s="7">
        <v>0</v>
      </c>
      <c r="AR21" s="14">
        <f t="shared" si="13"/>
        <v>25</v>
      </c>
      <c r="AS21" s="7">
        <v>0</v>
      </c>
      <c r="AT21" s="7">
        <v>0</v>
      </c>
      <c r="AU21" s="14">
        <f t="shared" si="14"/>
        <v>25</v>
      </c>
      <c r="AV21" s="7">
        <v>0</v>
      </c>
      <c r="AW21" s="7">
        <v>0</v>
      </c>
      <c r="AX21" s="14">
        <f t="shared" si="15"/>
        <v>25</v>
      </c>
      <c r="AY21" s="7">
        <v>0</v>
      </c>
      <c r="AZ21" s="7">
        <v>0</v>
      </c>
      <c r="BA21" s="14">
        <f t="shared" si="16"/>
        <v>25</v>
      </c>
      <c r="BB21" s="7">
        <v>0</v>
      </c>
      <c r="BC21" s="7">
        <v>0</v>
      </c>
      <c r="BD21" s="14">
        <f t="shared" si="17"/>
        <v>25</v>
      </c>
      <c r="BE21" s="7">
        <v>0</v>
      </c>
      <c r="BF21" s="7">
        <v>0</v>
      </c>
      <c r="BG21" s="14">
        <f t="shared" si="18"/>
        <v>25</v>
      </c>
      <c r="BH21" s="7">
        <v>0</v>
      </c>
      <c r="BI21" s="7">
        <v>0</v>
      </c>
      <c r="BJ21" s="14">
        <f t="shared" si="19"/>
        <v>25</v>
      </c>
      <c r="BK21" s="7">
        <v>0</v>
      </c>
      <c r="BL21" s="7">
        <v>0</v>
      </c>
      <c r="BM21" s="14">
        <f t="shared" si="20"/>
        <v>25</v>
      </c>
      <c r="BN21" s="7">
        <v>0</v>
      </c>
      <c r="BO21" s="14">
        <f t="shared" si="21"/>
        <v>25</v>
      </c>
      <c r="BP21" s="23"/>
    </row>
    <row r="22" spans="1:68" x14ac:dyDescent="0.2">
      <c r="A22" s="13" t="s">
        <v>96</v>
      </c>
      <c r="B22" s="26">
        <v>28</v>
      </c>
      <c r="C22" s="26">
        <v>0</v>
      </c>
      <c r="D22" s="15">
        <f t="shared" si="0"/>
        <v>28</v>
      </c>
      <c r="E22" s="26">
        <v>0</v>
      </c>
      <c r="F22" s="27">
        <f t="shared" si="1"/>
        <v>28</v>
      </c>
      <c r="G22" s="19">
        <v>0</v>
      </c>
      <c r="H22" s="27">
        <f t="shared" si="2"/>
        <v>28</v>
      </c>
      <c r="I22" s="19">
        <v>0</v>
      </c>
      <c r="J22" s="20">
        <v>0</v>
      </c>
      <c r="K22" s="27">
        <f t="shared" si="22"/>
        <v>28</v>
      </c>
      <c r="L22" s="19">
        <v>0</v>
      </c>
      <c r="M22" s="20">
        <v>0</v>
      </c>
      <c r="N22" s="29">
        <f t="shared" si="3"/>
        <v>28</v>
      </c>
      <c r="O22" s="20">
        <v>0</v>
      </c>
      <c r="P22" s="19">
        <v>0</v>
      </c>
      <c r="Q22" s="27">
        <f t="shared" si="4"/>
        <v>28</v>
      </c>
      <c r="R22" s="19">
        <v>0</v>
      </c>
      <c r="S22" s="19">
        <v>0</v>
      </c>
      <c r="T22" s="27">
        <f t="shared" si="5"/>
        <v>28</v>
      </c>
      <c r="U22" s="19">
        <v>0</v>
      </c>
      <c r="V22" s="19">
        <v>0</v>
      </c>
      <c r="W22" s="27">
        <f t="shared" si="6"/>
        <v>28</v>
      </c>
      <c r="X22" s="19">
        <v>0</v>
      </c>
      <c r="Y22" s="19">
        <v>0</v>
      </c>
      <c r="Z22" s="27">
        <f t="shared" si="7"/>
        <v>28</v>
      </c>
      <c r="AA22" s="19">
        <v>0</v>
      </c>
      <c r="AB22" s="19">
        <v>0</v>
      </c>
      <c r="AC22" s="14">
        <f t="shared" si="8"/>
        <v>28</v>
      </c>
      <c r="AD22" s="7">
        <v>0</v>
      </c>
      <c r="AE22" s="20">
        <v>0</v>
      </c>
      <c r="AF22" s="14">
        <f t="shared" si="9"/>
        <v>28</v>
      </c>
      <c r="AG22" s="19">
        <v>0</v>
      </c>
      <c r="AH22" s="20">
        <v>1</v>
      </c>
      <c r="AI22" s="14">
        <f t="shared" si="10"/>
        <v>27</v>
      </c>
      <c r="AJ22" s="15">
        <v>0</v>
      </c>
      <c r="AK22" s="20">
        <v>0</v>
      </c>
      <c r="AL22" s="14">
        <f t="shared" si="11"/>
        <v>27</v>
      </c>
      <c r="AM22" s="7">
        <v>0</v>
      </c>
      <c r="AN22" s="7">
        <v>0</v>
      </c>
      <c r="AO22" s="14">
        <f t="shared" si="12"/>
        <v>27</v>
      </c>
      <c r="AP22" s="7">
        <v>0</v>
      </c>
      <c r="AQ22" s="7">
        <v>0</v>
      </c>
      <c r="AR22" s="14">
        <f t="shared" si="13"/>
        <v>27</v>
      </c>
      <c r="AS22" s="7">
        <v>0</v>
      </c>
      <c r="AT22" s="7">
        <v>0</v>
      </c>
      <c r="AU22" s="14">
        <f t="shared" si="14"/>
        <v>27</v>
      </c>
      <c r="AV22" s="7">
        <v>0</v>
      </c>
      <c r="AW22" s="7">
        <v>0</v>
      </c>
      <c r="AX22" s="14">
        <f t="shared" si="15"/>
        <v>27</v>
      </c>
      <c r="AY22" s="7">
        <v>0</v>
      </c>
      <c r="AZ22" s="7">
        <v>0</v>
      </c>
      <c r="BA22" s="14">
        <f t="shared" si="16"/>
        <v>27</v>
      </c>
      <c r="BB22" s="7">
        <v>0</v>
      </c>
      <c r="BC22" s="7">
        <v>0</v>
      </c>
      <c r="BD22" s="14">
        <f t="shared" si="17"/>
        <v>27</v>
      </c>
      <c r="BE22" s="7">
        <v>0</v>
      </c>
      <c r="BF22" s="7">
        <v>0</v>
      </c>
      <c r="BG22" s="14">
        <f t="shared" si="18"/>
        <v>27</v>
      </c>
      <c r="BH22" s="7">
        <v>0</v>
      </c>
      <c r="BI22" s="7">
        <v>0</v>
      </c>
      <c r="BJ22" s="14">
        <f t="shared" si="19"/>
        <v>27</v>
      </c>
      <c r="BK22" s="7">
        <v>0</v>
      </c>
      <c r="BL22" s="7">
        <v>0</v>
      </c>
      <c r="BM22" s="14">
        <f t="shared" si="20"/>
        <v>27</v>
      </c>
      <c r="BN22" s="7">
        <v>0</v>
      </c>
      <c r="BO22" s="14">
        <f t="shared" si="21"/>
        <v>27</v>
      </c>
      <c r="BP22" s="23"/>
    </row>
    <row r="23" spans="1:68" x14ac:dyDescent="0.2">
      <c r="A23" s="13" t="s">
        <v>97</v>
      </c>
      <c r="B23" s="26">
        <v>3</v>
      </c>
      <c r="C23" s="26">
        <v>0</v>
      </c>
      <c r="D23" s="15">
        <f t="shared" si="0"/>
        <v>3</v>
      </c>
      <c r="E23" s="26">
        <v>0</v>
      </c>
      <c r="F23" s="27">
        <f t="shared" si="1"/>
        <v>3</v>
      </c>
      <c r="G23" s="19">
        <v>0</v>
      </c>
      <c r="H23" s="27">
        <f t="shared" si="2"/>
        <v>3</v>
      </c>
      <c r="I23" s="19">
        <v>0</v>
      </c>
      <c r="J23" s="20">
        <v>0</v>
      </c>
      <c r="K23" s="27">
        <f t="shared" si="22"/>
        <v>3</v>
      </c>
      <c r="L23" s="19">
        <v>0</v>
      </c>
      <c r="M23" s="20">
        <v>0</v>
      </c>
      <c r="N23" s="29">
        <f t="shared" si="3"/>
        <v>3</v>
      </c>
      <c r="O23" s="20">
        <v>0</v>
      </c>
      <c r="P23" s="19">
        <v>0</v>
      </c>
      <c r="Q23" s="27">
        <f t="shared" si="4"/>
        <v>3</v>
      </c>
      <c r="R23" s="19">
        <v>0</v>
      </c>
      <c r="S23" s="19">
        <v>0</v>
      </c>
      <c r="T23" s="27">
        <f t="shared" si="5"/>
        <v>3</v>
      </c>
      <c r="U23" s="19">
        <v>0</v>
      </c>
      <c r="V23" s="19">
        <v>0</v>
      </c>
      <c r="W23" s="27">
        <f t="shared" si="6"/>
        <v>3</v>
      </c>
      <c r="X23" s="19">
        <v>0</v>
      </c>
      <c r="Y23" s="19">
        <v>0</v>
      </c>
      <c r="Z23" s="27">
        <f t="shared" si="7"/>
        <v>3</v>
      </c>
      <c r="AA23" s="19">
        <v>0</v>
      </c>
      <c r="AB23" s="19">
        <v>0</v>
      </c>
      <c r="AC23" s="14">
        <f t="shared" si="8"/>
        <v>3</v>
      </c>
      <c r="AD23" s="7">
        <v>0</v>
      </c>
      <c r="AE23" s="20">
        <v>0</v>
      </c>
      <c r="AF23" s="14">
        <f t="shared" si="9"/>
        <v>3</v>
      </c>
      <c r="AG23" s="19">
        <v>0</v>
      </c>
      <c r="AH23" s="20">
        <v>0</v>
      </c>
      <c r="AI23" s="14">
        <f t="shared" si="10"/>
        <v>3</v>
      </c>
      <c r="AJ23" s="15">
        <v>0</v>
      </c>
      <c r="AK23" s="20">
        <v>0</v>
      </c>
      <c r="AL23" s="14">
        <f t="shared" si="11"/>
        <v>3</v>
      </c>
      <c r="AM23" s="7">
        <v>0</v>
      </c>
      <c r="AN23" s="7">
        <v>0</v>
      </c>
      <c r="AO23" s="14">
        <f t="shared" si="12"/>
        <v>3</v>
      </c>
      <c r="AP23" s="7">
        <v>0</v>
      </c>
      <c r="AQ23" s="7">
        <v>0</v>
      </c>
      <c r="AR23" s="14">
        <f t="shared" si="13"/>
        <v>3</v>
      </c>
      <c r="AS23" s="7">
        <v>0</v>
      </c>
      <c r="AT23" s="7">
        <v>0</v>
      </c>
      <c r="AU23" s="14">
        <f t="shared" si="14"/>
        <v>3</v>
      </c>
      <c r="AV23" s="7">
        <v>0</v>
      </c>
      <c r="AW23" s="7">
        <v>0</v>
      </c>
      <c r="AX23" s="14">
        <f t="shared" si="15"/>
        <v>3</v>
      </c>
      <c r="AY23" s="7">
        <v>0</v>
      </c>
      <c r="AZ23" s="7">
        <v>0</v>
      </c>
      <c r="BA23" s="14">
        <f t="shared" si="16"/>
        <v>3</v>
      </c>
      <c r="BB23" s="7">
        <v>0</v>
      </c>
      <c r="BC23" s="7">
        <v>0</v>
      </c>
      <c r="BD23" s="14">
        <f t="shared" si="17"/>
        <v>3</v>
      </c>
      <c r="BE23" s="7">
        <v>0</v>
      </c>
      <c r="BF23" s="7">
        <v>0</v>
      </c>
      <c r="BG23" s="14">
        <f t="shared" si="18"/>
        <v>3</v>
      </c>
      <c r="BH23" s="7">
        <v>0</v>
      </c>
      <c r="BI23" s="7">
        <v>0</v>
      </c>
      <c r="BJ23" s="14">
        <f t="shared" si="19"/>
        <v>3</v>
      </c>
      <c r="BK23" s="7">
        <v>0</v>
      </c>
      <c r="BL23" s="7">
        <v>0</v>
      </c>
      <c r="BM23" s="14">
        <f t="shared" si="20"/>
        <v>3</v>
      </c>
      <c r="BN23" s="7">
        <v>0</v>
      </c>
      <c r="BO23" s="14">
        <f t="shared" si="21"/>
        <v>3</v>
      </c>
      <c r="BP23" s="23"/>
    </row>
    <row r="24" spans="1:68" x14ac:dyDescent="0.2">
      <c r="A24" s="13" t="s">
        <v>98</v>
      </c>
      <c r="B24" s="26">
        <v>25</v>
      </c>
      <c r="C24" s="26">
        <v>5</v>
      </c>
      <c r="D24" s="15">
        <f t="shared" si="0"/>
        <v>20</v>
      </c>
      <c r="E24" s="26">
        <v>0</v>
      </c>
      <c r="F24" s="27">
        <f t="shared" si="1"/>
        <v>20</v>
      </c>
      <c r="G24" s="19">
        <v>0</v>
      </c>
      <c r="H24" s="27">
        <f t="shared" si="2"/>
        <v>20</v>
      </c>
      <c r="I24" s="19">
        <v>0</v>
      </c>
      <c r="J24" s="20">
        <v>0</v>
      </c>
      <c r="K24" s="27">
        <f t="shared" si="22"/>
        <v>20</v>
      </c>
      <c r="L24" s="19">
        <v>0</v>
      </c>
      <c r="M24" s="20">
        <v>0</v>
      </c>
      <c r="N24" s="29">
        <f t="shared" si="3"/>
        <v>20</v>
      </c>
      <c r="O24" s="20">
        <v>0</v>
      </c>
      <c r="P24" s="19">
        <v>0</v>
      </c>
      <c r="Q24" s="27">
        <f t="shared" si="4"/>
        <v>20</v>
      </c>
      <c r="R24" s="19">
        <v>0</v>
      </c>
      <c r="S24" s="19">
        <v>0</v>
      </c>
      <c r="T24" s="27">
        <f t="shared" si="5"/>
        <v>20</v>
      </c>
      <c r="U24" s="19">
        <v>0</v>
      </c>
      <c r="V24" s="19">
        <v>0</v>
      </c>
      <c r="W24" s="27">
        <f t="shared" si="6"/>
        <v>20</v>
      </c>
      <c r="X24" s="19">
        <v>0</v>
      </c>
      <c r="Y24" s="19">
        <v>0</v>
      </c>
      <c r="Z24" s="27">
        <f t="shared" si="7"/>
        <v>20</v>
      </c>
      <c r="AA24" s="19">
        <v>0</v>
      </c>
      <c r="AB24" s="19">
        <v>0</v>
      </c>
      <c r="AC24" s="14">
        <f t="shared" si="8"/>
        <v>20</v>
      </c>
      <c r="AD24" s="7">
        <v>0</v>
      </c>
      <c r="AE24" s="20">
        <v>0</v>
      </c>
      <c r="AF24" s="14">
        <f t="shared" si="9"/>
        <v>20</v>
      </c>
      <c r="AG24" s="19">
        <v>0</v>
      </c>
      <c r="AH24" s="20">
        <v>0</v>
      </c>
      <c r="AI24" s="14">
        <f t="shared" si="10"/>
        <v>20</v>
      </c>
      <c r="AJ24" s="15">
        <v>0</v>
      </c>
      <c r="AK24" s="20">
        <v>0</v>
      </c>
      <c r="AL24" s="14">
        <f t="shared" si="11"/>
        <v>20</v>
      </c>
      <c r="AM24" s="7">
        <v>0</v>
      </c>
      <c r="AN24" s="7">
        <v>0</v>
      </c>
      <c r="AO24" s="14">
        <f t="shared" si="12"/>
        <v>20</v>
      </c>
      <c r="AP24" s="7">
        <v>0</v>
      </c>
      <c r="AQ24" s="7">
        <v>0</v>
      </c>
      <c r="AR24" s="14">
        <f t="shared" si="13"/>
        <v>20</v>
      </c>
      <c r="AS24" s="7">
        <v>0</v>
      </c>
      <c r="AT24" s="7">
        <v>4</v>
      </c>
      <c r="AU24" s="31">
        <f t="shared" si="14"/>
        <v>16</v>
      </c>
      <c r="AV24" s="7">
        <v>0</v>
      </c>
      <c r="AW24" s="7">
        <v>0</v>
      </c>
      <c r="AX24" s="14">
        <f t="shared" si="15"/>
        <v>16</v>
      </c>
      <c r="AY24" s="7">
        <v>0</v>
      </c>
      <c r="AZ24" s="7">
        <v>0</v>
      </c>
      <c r="BA24" s="14">
        <f t="shared" si="16"/>
        <v>16</v>
      </c>
      <c r="BB24" s="7">
        <v>0</v>
      </c>
      <c r="BC24" s="7">
        <v>0</v>
      </c>
      <c r="BD24" s="14">
        <f t="shared" si="17"/>
        <v>16</v>
      </c>
      <c r="BE24" s="7">
        <v>0</v>
      </c>
      <c r="BF24" s="7">
        <v>0</v>
      </c>
      <c r="BG24" s="14">
        <f t="shared" si="18"/>
        <v>16</v>
      </c>
      <c r="BH24" s="7">
        <v>0</v>
      </c>
      <c r="BI24" s="7">
        <v>0</v>
      </c>
      <c r="BJ24" s="14">
        <f t="shared" si="19"/>
        <v>16</v>
      </c>
      <c r="BK24" s="7">
        <v>0</v>
      </c>
      <c r="BL24" s="7">
        <v>0</v>
      </c>
      <c r="BM24" s="14">
        <f t="shared" si="20"/>
        <v>16</v>
      </c>
      <c r="BN24" s="7">
        <v>0</v>
      </c>
      <c r="BO24" s="14">
        <f t="shared" si="21"/>
        <v>16</v>
      </c>
      <c r="BP24" s="23"/>
    </row>
    <row r="25" spans="1:68" x14ac:dyDescent="0.2">
      <c r="A25" s="5" t="s">
        <v>99</v>
      </c>
      <c r="B25" s="26">
        <v>44</v>
      </c>
      <c r="C25" s="26">
        <v>0</v>
      </c>
      <c r="D25" s="15">
        <f t="shared" si="0"/>
        <v>44</v>
      </c>
      <c r="E25" s="26">
        <v>0</v>
      </c>
      <c r="F25" s="27">
        <f t="shared" si="1"/>
        <v>44</v>
      </c>
      <c r="G25" s="19">
        <v>19</v>
      </c>
      <c r="H25" s="27">
        <f t="shared" si="2"/>
        <v>25</v>
      </c>
      <c r="I25" s="19">
        <v>0</v>
      </c>
      <c r="J25" s="20">
        <v>14</v>
      </c>
      <c r="K25" s="27">
        <f t="shared" si="22"/>
        <v>11</v>
      </c>
      <c r="L25" s="10">
        <v>12</v>
      </c>
      <c r="M25" s="20">
        <v>10</v>
      </c>
      <c r="N25" s="29">
        <f t="shared" si="3"/>
        <v>13</v>
      </c>
      <c r="O25" s="20">
        <v>0</v>
      </c>
      <c r="P25" s="19">
        <v>36</v>
      </c>
      <c r="Q25" s="27">
        <f t="shared" si="4"/>
        <v>49</v>
      </c>
      <c r="R25" s="19">
        <v>0</v>
      </c>
      <c r="S25" s="19">
        <v>0</v>
      </c>
      <c r="T25" s="28">
        <v>48</v>
      </c>
      <c r="U25" s="19">
        <v>1</v>
      </c>
      <c r="V25" s="19">
        <v>0</v>
      </c>
      <c r="W25" s="24">
        <f t="shared" si="6"/>
        <v>47</v>
      </c>
      <c r="X25" s="19">
        <v>0</v>
      </c>
      <c r="Y25" s="19">
        <v>18</v>
      </c>
      <c r="Z25" s="24">
        <f t="shared" si="7"/>
        <v>29</v>
      </c>
      <c r="AA25" s="19">
        <v>24</v>
      </c>
      <c r="AB25" s="19">
        <v>12</v>
      </c>
      <c r="AC25" s="32">
        <f t="shared" si="8"/>
        <v>41</v>
      </c>
      <c r="AD25" s="7">
        <v>0</v>
      </c>
      <c r="AE25" s="20">
        <v>10</v>
      </c>
      <c r="AF25" s="14">
        <f t="shared" si="9"/>
        <v>31</v>
      </c>
      <c r="AG25" s="19">
        <v>0</v>
      </c>
      <c r="AH25" s="20">
        <v>10</v>
      </c>
      <c r="AI25" s="14">
        <f t="shared" si="10"/>
        <v>21</v>
      </c>
      <c r="AJ25" s="15">
        <v>0</v>
      </c>
      <c r="AK25" s="20">
        <v>16</v>
      </c>
      <c r="AL25" s="14">
        <f t="shared" si="11"/>
        <v>5</v>
      </c>
      <c r="AM25" s="7">
        <v>48</v>
      </c>
      <c r="AN25" s="7">
        <v>0</v>
      </c>
      <c r="AO25" s="17">
        <f t="shared" si="12"/>
        <v>53</v>
      </c>
      <c r="AP25" s="7">
        <v>0</v>
      </c>
      <c r="AQ25" s="7">
        <v>12</v>
      </c>
      <c r="AR25" s="14">
        <f t="shared" si="13"/>
        <v>41</v>
      </c>
      <c r="AS25" s="7">
        <v>0</v>
      </c>
      <c r="AT25" s="7">
        <v>0</v>
      </c>
      <c r="AU25" s="14">
        <f t="shared" si="14"/>
        <v>41</v>
      </c>
      <c r="AV25" s="7">
        <v>66</v>
      </c>
      <c r="AW25" s="7">
        <v>103</v>
      </c>
      <c r="AX25" s="14">
        <f t="shared" si="15"/>
        <v>4</v>
      </c>
      <c r="AY25" s="7">
        <v>54</v>
      </c>
      <c r="AZ25" s="7">
        <v>0</v>
      </c>
      <c r="BA25" s="17">
        <f t="shared" si="16"/>
        <v>58</v>
      </c>
      <c r="BB25" s="7">
        <v>0</v>
      </c>
      <c r="BC25" s="7">
        <v>21</v>
      </c>
      <c r="BD25" s="14">
        <f t="shared" si="17"/>
        <v>37</v>
      </c>
      <c r="BE25" s="7">
        <v>0</v>
      </c>
      <c r="BF25" s="7">
        <v>0</v>
      </c>
      <c r="BG25" s="14">
        <f t="shared" si="18"/>
        <v>37</v>
      </c>
      <c r="BH25" s="7">
        <v>0</v>
      </c>
      <c r="BI25" s="7">
        <v>0</v>
      </c>
      <c r="BJ25" s="14">
        <f t="shared" si="19"/>
        <v>37</v>
      </c>
      <c r="BK25" s="7">
        <v>0</v>
      </c>
      <c r="BL25" s="7">
        <v>0</v>
      </c>
      <c r="BM25" s="14">
        <f t="shared" si="20"/>
        <v>37</v>
      </c>
      <c r="BN25" s="7">
        <v>11</v>
      </c>
      <c r="BO25" s="14">
        <f t="shared" si="21"/>
        <v>26</v>
      </c>
      <c r="BP25" s="23"/>
    </row>
    <row r="26" spans="1:68" x14ac:dyDescent="0.2">
      <c r="A26" s="5" t="s">
        <v>100</v>
      </c>
      <c r="B26" s="26">
        <v>186</v>
      </c>
      <c r="C26" s="26">
        <v>14</v>
      </c>
      <c r="D26" s="15">
        <f t="shared" si="0"/>
        <v>172</v>
      </c>
      <c r="E26" s="26">
        <v>58</v>
      </c>
      <c r="F26" s="27">
        <f t="shared" si="1"/>
        <v>114</v>
      </c>
      <c r="G26" s="19">
        <v>56</v>
      </c>
      <c r="H26" s="27">
        <f t="shared" si="2"/>
        <v>58</v>
      </c>
      <c r="I26" s="19">
        <v>120</v>
      </c>
      <c r="J26" s="20">
        <v>24</v>
      </c>
      <c r="K26" s="27">
        <f t="shared" si="22"/>
        <v>154</v>
      </c>
      <c r="L26" s="19">
        <v>0</v>
      </c>
      <c r="M26" s="20">
        <v>67</v>
      </c>
      <c r="N26" s="29">
        <f t="shared" si="3"/>
        <v>87</v>
      </c>
      <c r="O26" s="20">
        <v>22</v>
      </c>
      <c r="P26" s="19">
        <v>90</v>
      </c>
      <c r="Q26" s="29">
        <f t="shared" si="4"/>
        <v>155</v>
      </c>
      <c r="R26" s="19">
        <v>26</v>
      </c>
      <c r="S26" s="19">
        <v>0</v>
      </c>
      <c r="T26" s="27">
        <f>Q26+S26-R26</f>
        <v>129</v>
      </c>
      <c r="U26" s="19">
        <v>40</v>
      </c>
      <c r="V26" s="19">
        <v>60</v>
      </c>
      <c r="W26" s="27">
        <f t="shared" si="6"/>
        <v>149</v>
      </c>
      <c r="X26" s="19">
        <v>30</v>
      </c>
      <c r="Y26" s="19">
        <v>48</v>
      </c>
      <c r="Z26" s="27">
        <f t="shared" si="7"/>
        <v>131</v>
      </c>
      <c r="AA26" s="19">
        <v>60</v>
      </c>
      <c r="AB26" s="19">
        <v>90</v>
      </c>
      <c r="AC26" s="17">
        <f t="shared" si="8"/>
        <v>101</v>
      </c>
      <c r="AD26" s="7">
        <v>90</v>
      </c>
      <c r="AE26" s="20">
        <v>55</v>
      </c>
      <c r="AF26" s="17">
        <f t="shared" si="9"/>
        <v>136</v>
      </c>
      <c r="AG26" s="19">
        <v>45</v>
      </c>
      <c r="AH26" s="20">
        <v>19</v>
      </c>
      <c r="AI26" s="33">
        <v>163</v>
      </c>
      <c r="AJ26" s="15">
        <v>0</v>
      </c>
      <c r="AK26" s="20">
        <v>18</v>
      </c>
      <c r="AL26" s="14">
        <f t="shared" si="11"/>
        <v>145</v>
      </c>
      <c r="AM26" s="7">
        <v>0</v>
      </c>
      <c r="AN26" s="7">
        <v>27</v>
      </c>
      <c r="AO26" s="14">
        <f t="shared" si="12"/>
        <v>118</v>
      </c>
      <c r="AP26" s="7">
        <v>120</v>
      </c>
      <c r="AQ26" s="7">
        <v>93</v>
      </c>
      <c r="AR26" s="17">
        <f t="shared" si="13"/>
        <v>145</v>
      </c>
      <c r="AS26" s="7">
        <v>30</v>
      </c>
      <c r="AT26" s="7">
        <v>64</v>
      </c>
      <c r="AU26" s="17">
        <f t="shared" si="14"/>
        <v>111</v>
      </c>
      <c r="AV26" s="7">
        <v>60</v>
      </c>
      <c r="AW26" s="7">
        <v>65</v>
      </c>
      <c r="AX26" s="17">
        <f t="shared" si="15"/>
        <v>106</v>
      </c>
      <c r="AY26" s="7">
        <v>60</v>
      </c>
      <c r="AZ26" s="7">
        <v>50</v>
      </c>
      <c r="BA26" s="14">
        <f t="shared" si="16"/>
        <v>116</v>
      </c>
      <c r="BB26" s="7">
        <v>0</v>
      </c>
      <c r="BC26" s="7">
        <v>39</v>
      </c>
      <c r="BD26" s="14">
        <f t="shared" si="17"/>
        <v>77</v>
      </c>
      <c r="BE26" s="7">
        <v>105</v>
      </c>
      <c r="BF26" s="7">
        <v>38</v>
      </c>
      <c r="BG26" s="14">
        <f t="shared" si="18"/>
        <v>144</v>
      </c>
      <c r="BH26" s="7">
        <v>0</v>
      </c>
      <c r="BI26" s="7">
        <v>47</v>
      </c>
      <c r="BJ26" s="14">
        <f t="shared" si="19"/>
        <v>97</v>
      </c>
      <c r="BK26" s="7">
        <v>60</v>
      </c>
      <c r="BL26" s="7">
        <v>1</v>
      </c>
      <c r="BM26" s="14">
        <f t="shared" si="20"/>
        <v>156</v>
      </c>
      <c r="BN26" s="7">
        <v>15</v>
      </c>
      <c r="BO26" s="14">
        <f t="shared" si="21"/>
        <v>141</v>
      </c>
      <c r="BP26" s="30"/>
    </row>
    <row r="27" spans="1:68" x14ac:dyDescent="0.2">
      <c r="A27" s="5" t="s">
        <v>101</v>
      </c>
      <c r="B27" s="26">
        <v>178</v>
      </c>
      <c r="C27" s="26">
        <v>18</v>
      </c>
      <c r="D27" s="15">
        <f t="shared" si="0"/>
        <v>160</v>
      </c>
      <c r="E27" s="26">
        <v>47</v>
      </c>
      <c r="F27" s="27">
        <f t="shared" si="1"/>
        <v>113</v>
      </c>
      <c r="G27" s="19">
        <v>14</v>
      </c>
      <c r="H27" s="28">
        <v>98</v>
      </c>
      <c r="I27" s="19">
        <v>60</v>
      </c>
      <c r="J27" s="20">
        <v>55</v>
      </c>
      <c r="K27" s="27">
        <f t="shared" si="22"/>
        <v>103</v>
      </c>
      <c r="L27" s="19">
        <v>0</v>
      </c>
      <c r="M27" s="20">
        <v>27</v>
      </c>
      <c r="N27" s="29">
        <f t="shared" si="3"/>
        <v>76</v>
      </c>
      <c r="O27" s="20">
        <v>45</v>
      </c>
      <c r="P27" s="19">
        <v>90</v>
      </c>
      <c r="Q27" s="29">
        <f t="shared" si="4"/>
        <v>121</v>
      </c>
      <c r="R27" s="19">
        <v>13</v>
      </c>
      <c r="S27" s="19">
        <v>0</v>
      </c>
      <c r="T27" s="27">
        <f>Q27+S27-R27</f>
        <v>108</v>
      </c>
      <c r="U27" s="19">
        <v>41</v>
      </c>
      <c r="V27" s="19">
        <v>60</v>
      </c>
      <c r="W27" s="27">
        <f t="shared" si="6"/>
        <v>127</v>
      </c>
      <c r="X27" s="19">
        <v>60</v>
      </c>
      <c r="Y27" s="19">
        <v>25</v>
      </c>
      <c r="Z27" s="27">
        <f t="shared" si="7"/>
        <v>162</v>
      </c>
      <c r="AA27" s="19">
        <v>15</v>
      </c>
      <c r="AB27" s="19">
        <v>82</v>
      </c>
      <c r="AC27" s="14">
        <f t="shared" si="8"/>
        <v>95</v>
      </c>
      <c r="AD27" s="7">
        <v>75</v>
      </c>
      <c r="AE27" s="20">
        <v>61</v>
      </c>
      <c r="AF27" s="14">
        <f t="shared" si="9"/>
        <v>109</v>
      </c>
      <c r="AG27" s="19">
        <v>60</v>
      </c>
      <c r="AH27" s="20">
        <v>5</v>
      </c>
      <c r="AI27" s="14">
        <f t="shared" ref="AI27:AI43" si="23">AF27+AG27-AH27</f>
        <v>164</v>
      </c>
      <c r="AJ27" s="15">
        <v>0</v>
      </c>
      <c r="AK27" s="20">
        <v>4</v>
      </c>
      <c r="AL27" s="14">
        <f t="shared" si="11"/>
        <v>160</v>
      </c>
      <c r="AM27" s="7">
        <v>0</v>
      </c>
      <c r="AN27" s="7">
        <v>14</v>
      </c>
      <c r="AO27" s="31">
        <f t="shared" si="12"/>
        <v>146</v>
      </c>
      <c r="AP27" s="7">
        <v>0</v>
      </c>
      <c r="AQ27" s="7">
        <v>22</v>
      </c>
      <c r="AR27" s="17">
        <f t="shared" si="13"/>
        <v>124</v>
      </c>
      <c r="AS27" s="7">
        <v>60</v>
      </c>
      <c r="AT27" s="7">
        <v>49</v>
      </c>
      <c r="AU27" s="14">
        <f t="shared" si="14"/>
        <v>135</v>
      </c>
      <c r="AV27" s="7">
        <v>60</v>
      </c>
      <c r="AW27" s="7">
        <v>32</v>
      </c>
      <c r="AX27" s="17">
        <f t="shared" si="15"/>
        <v>163</v>
      </c>
      <c r="AY27" s="7">
        <v>60</v>
      </c>
      <c r="AZ27" s="7">
        <v>74</v>
      </c>
      <c r="BA27" s="14">
        <f t="shared" si="16"/>
        <v>149</v>
      </c>
      <c r="BB27" s="7">
        <v>0</v>
      </c>
      <c r="BC27" s="7">
        <v>34</v>
      </c>
      <c r="BD27" s="14">
        <f t="shared" si="17"/>
        <v>115</v>
      </c>
      <c r="BE27" s="7">
        <v>76</v>
      </c>
      <c r="BF27" s="7">
        <v>15</v>
      </c>
      <c r="BG27" s="14">
        <f t="shared" si="18"/>
        <v>176</v>
      </c>
      <c r="BH27" s="7">
        <v>0</v>
      </c>
      <c r="BI27" s="7">
        <v>10</v>
      </c>
      <c r="BJ27" s="14">
        <f t="shared" si="19"/>
        <v>166</v>
      </c>
      <c r="BK27" s="7">
        <v>0</v>
      </c>
      <c r="BL27" s="7">
        <v>1</v>
      </c>
      <c r="BM27" s="14">
        <f t="shared" si="20"/>
        <v>165</v>
      </c>
      <c r="BN27" s="7">
        <v>59</v>
      </c>
      <c r="BO27" s="14">
        <f t="shared" si="21"/>
        <v>106</v>
      </c>
      <c r="BP27" s="23"/>
    </row>
    <row r="28" spans="1:68" x14ac:dyDescent="0.2">
      <c r="A28" s="5" t="s">
        <v>102</v>
      </c>
      <c r="B28" s="26">
        <v>83</v>
      </c>
      <c r="C28" s="26">
        <v>3</v>
      </c>
      <c r="D28" s="15">
        <f t="shared" si="0"/>
        <v>80</v>
      </c>
      <c r="E28" s="26">
        <v>0</v>
      </c>
      <c r="F28" s="27">
        <f t="shared" si="1"/>
        <v>80</v>
      </c>
      <c r="G28" s="19">
        <v>1</v>
      </c>
      <c r="H28" s="27">
        <f t="shared" ref="H28:H40" si="24">F28-G28</f>
        <v>79</v>
      </c>
      <c r="I28" s="19">
        <v>0</v>
      </c>
      <c r="J28" s="20">
        <v>7</v>
      </c>
      <c r="K28" s="27">
        <f t="shared" si="22"/>
        <v>72</v>
      </c>
      <c r="L28" s="19">
        <v>0</v>
      </c>
      <c r="M28" s="20">
        <v>8</v>
      </c>
      <c r="N28" s="29">
        <f t="shared" si="3"/>
        <v>64</v>
      </c>
      <c r="O28" s="20">
        <v>35</v>
      </c>
      <c r="P28" s="19">
        <v>15</v>
      </c>
      <c r="Q28" s="29">
        <f t="shared" si="4"/>
        <v>44</v>
      </c>
      <c r="R28" s="19">
        <v>3</v>
      </c>
      <c r="S28" s="19">
        <v>0</v>
      </c>
      <c r="T28" s="28">
        <v>40</v>
      </c>
      <c r="U28" s="19">
        <v>0</v>
      </c>
      <c r="V28" s="19">
        <v>0</v>
      </c>
      <c r="W28" s="24">
        <f t="shared" si="6"/>
        <v>40</v>
      </c>
      <c r="X28" s="19">
        <v>0</v>
      </c>
      <c r="Y28" s="19">
        <v>2</v>
      </c>
      <c r="Z28" s="24">
        <f t="shared" si="7"/>
        <v>38</v>
      </c>
      <c r="AA28" s="19">
        <v>0</v>
      </c>
      <c r="AB28" s="19">
        <v>31</v>
      </c>
      <c r="AC28" s="32">
        <f t="shared" si="8"/>
        <v>7</v>
      </c>
      <c r="AD28" s="7">
        <v>75</v>
      </c>
      <c r="AE28" s="20">
        <v>12</v>
      </c>
      <c r="AF28" s="14">
        <f t="shared" si="9"/>
        <v>70</v>
      </c>
      <c r="AG28" s="19">
        <v>0</v>
      </c>
      <c r="AH28" s="20">
        <v>1</v>
      </c>
      <c r="AI28" s="17">
        <f t="shared" si="23"/>
        <v>69</v>
      </c>
      <c r="AJ28" s="15">
        <v>0</v>
      </c>
      <c r="AK28" s="20">
        <v>13</v>
      </c>
      <c r="AL28" s="14">
        <f t="shared" si="11"/>
        <v>56</v>
      </c>
      <c r="AM28" s="7">
        <v>0</v>
      </c>
      <c r="AN28" s="7">
        <v>13</v>
      </c>
      <c r="AO28" s="14">
        <f t="shared" si="12"/>
        <v>43</v>
      </c>
      <c r="AP28" s="7">
        <v>0</v>
      </c>
      <c r="AQ28" s="7">
        <v>0</v>
      </c>
      <c r="AR28" s="14">
        <f t="shared" si="13"/>
        <v>43</v>
      </c>
      <c r="AS28" s="7">
        <v>0</v>
      </c>
      <c r="AT28" s="7">
        <v>0</v>
      </c>
      <c r="AU28" s="14">
        <f t="shared" si="14"/>
        <v>43</v>
      </c>
      <c r="AV28" s="7">
        <v>30</v>
      </c>
      <c r="AW28" s="7">
        <v>6</v>
      </c>
      <c r="AX28" s="14">
        <f t="shared" si="15"/>
        <v>67</v>
      </c>
      <c r="AY28" s="7">
        <v>0</v>
      </c>
      <c r="AZ28" s="7">
        <v>18</v>
      </c>
      <c r="BA28" s="14">
        <f t="shared" si="16"/>
        <v>49</v>
      </c>
      <c r="BB28" s="7">
        <v>0</v>
      </c>
      <c r="BC28" s="7">
        <v>2</v>
      </c>
      <c r="BD28" s="14">
        <f t="shared" si="17"/>
        <v>47</v>
      </c>
      <c r="BE28" s="7">
        <v>30</v>
      </c>
      <c r="BF28" s="7">
        <v>5</v>
      </c>
      <c r="BG28" s="14">
        <f t="shared" si="18"/>
        <v>72</v>
      </c>
      <c r="BH28" s="7">
        <v>0</v>
      </c>
      <c r="BI28" s="7">
        <v>6</v>
      </c>
      <c r="BJ28" s="14">
        <f t="shared" si="19"/>
        <v>66</v>
      </c>
      <c r="BK28" s="7">
        <v>0</v>
      </c>
      <c r="BL28" s="7">
        <v>2</v>
      </c>
      <c r="BM28" s="14">
        <f t="shared" si="20"/>
        <v>64</v>
      </c>
      <c r="BN28" s="7">
        <v>10</v>
      </c>
      <c r="BO28" s="14">
        <f t="shared" si="21"/>
        <v>54</v>
      </c>
      <c r="BP28" s="23"/>
    </row>
    <row r="29" spans="1:68" x14ac:dyDescent="0.2">
      <c r="A29" s="5" t="s">
        <v>103</v>
      </c>
      <c r="B29" s="26">
        <v>101</v>
      </c>
      <c r="C29" s="26">
        <v>0</v>
      </c>
      <c r="D29" s="15">
        <f t="shared" si="0"/>
        <v>101</v>
      </c>
      <c r="E29" s="26">
        <v>18</v>
      </c>
      <c r="F29" s="27">
        <f t="shared" si="1"/>
        <v>83</v>
      </c>
      <c r="G29" s="19">
        <v>7</v>
      </c>
      <c r="H29" s="27">
        <f t="shared" si="24"/>
        <v>76</v>
      </c>
      <c r="I29" s="19">
        <v>0</v>
      </c>
      <c r="J29" s="20">
        <v>25</v>
      </c>
      <c r="K29" s="28">
        <v>48</v>
      </c>
      <c r="L29" s="19">
        <v>0</v>
      </c>
      <c r="M29" s="20">
        <v>0</v>
      </c>
      <c r="N29" s="10">
        <v>48</v>
      </c>
      <c r="O29" s="20">
        <v>0</v>
      </c>
      <c r="P29" s="19">
        <v>45</v>
      </c>
      <c r="Q29" s="27">
        <f t="shared" si="4"/>
        <v>93</v>
      </c>
      <c r="R29" s="19">
        <v>4</v>
      </c>
      <c r="S29" s="19">
        <v>0</v>
      </c>
      <c r="T29" s="27">
        <f t="shared" ref="T29:T56" si="25">Q29+S29-R29</f>
        <v>89</v>
      </c>
      <c r="U29" s="19">
        <v>22</v>
      </c>
      <c r="V29" s="19">
        <v>0</v>
      </c>
      <c r="W29" s="27">
        <f t="shared" si="6"/>
        <v>67</v>
      </c>
      <c r="X29" s="19">
        <v>30</v>
      </c>
      <c r="Y29" s="19">
        <v>15</v>
      </c>
      <c r="Z29" s="27">
        <f t="shared" si="7"/>
        <v>82</v>
      </c>
      <c r="AA29" s="19">
        <v>15</v>
      </c>
      <c r="AB29" s="19">
        <v>12</v>
      </c>
      <c r="AC29" s="14">
        <f t="shared" si="8"/>
        <v>85</v>
      </c>
      <c r="AD29" s="7">
        <v>15</v>
      </c>
      <c r="AE29" s="20">
        <v>43</v>
      </c>
      <c r="AF29" s="17">
        <f t="shared" si="9"/>
        <v>57</v>
      </c>
      <c r="AG29" s="19">
        <v>30</v>
      </c>
      <c r="AH29" s="20">
        <v>0</v>
      </c>
      <c r="AI29" s="14">
        <f t="shared" si="23"/>
        <v>87</v>
      </c>
      <c r="AJ29" s="15">
        <v>0</v>
      </c>
      <c r="AK29" s="20">
        <v>3</v>
      </c>
      <c r="AL29" s="14">
        <f t="shared" si="11"/>
        <v>84</v>
      </c>
      <c r="AM29" s="7">
        <v>0</v>
      </c>
      <c r="AN29" s="7">
        <v>0</v>
      </c>
      <c r="AO29" s="14">
        <f t="shared" si="12"/>
        <v>84</v>
      </c>
      <c r="AP29" s="7">
        <v>0</v>
      </c>
      <c r="AQ29" s="7">
        <v>1</v>
      </c>
      <c r="AR29" s="14">
        <f t="shared" si="13"/>
        <v>83</v>
      </c>
      <c r="AS29" s="7">
        <v>0</v>
      </c>
      <c r="AT29" s="7">
        <v>1</v>
      </c>
      <c r="AU29" s="14">
        <f t="shared" si="14"/>
        <v>82</v>
      </c>
      <c r="AV29" s="7">
        <v>0</v>
      </c>
      <c r="AW29" s="7">
        <v>0</v>
      </c>
      <c r="AX29" s="14">
        <f t="shared" si="15"/>
        <v>82</v>
      </c>
      <c r="AY29" s="7">
        <v>0</v>
      </c>
      <c r="AZ29" s="7">
        <v>22</v>
      </c>
      <c r="BA29" s="14">
        <f t="shared" si="16"/>
        <v>60</v>
      </c>
      <c r="BB29" s="7">
        <v>0</v>
      </c>
      <c r="BC29" s="7">
        <v>0</v>
      </c>
      <c r="BD29" s="14">
        <f t="shared" si="17"/>
        <v>60</v>
      </c>
      <c r="BE29" s="7">
        <v>30</v>
      </c>
      <c r="BF29" s="7">
        <v>4</v>
      </c>
      <c r="BG29" s="14">
        <f t="shared" si="18"/>
        <v>86</v>
      </c>
      <c r="BH29" s="7">
        <v>0</v>
      </c>
      <c r="BI29" s="7">
        <v>6</v>
      </c>
      <c r="BJ29" s="14">
        <f t="shared" si="19"/>
        <v>80</v>
      </c>
      <c r="BK29" s="7">
        <v>0</v>
      </c>
      <c r="BL29" s="7">
        <v>4</v>
      </c>
      <c r="BM29" s="14">
        <f t="shared" si="20"/>
        <v>76</v>
      </c>
      <c r="BN29" s="7">
        <v>0</v>
      </c>
      <c r="BO29" s="14">
        <f t="shared" si="21"/>
        <v>76</v>
      </c>
      <c r="BP29" s="23"/>
    </row>
    <row r="30" spans="1:68" x14ac:dyDescent="0.2">
      <c r="A30" s="5" t="s">
        <v>104</v>
      </c>
      <c r="B30" s="26">
        <v>70</v>
      </c>
      <c r="C30" s="26">
        <v>5</v>
      </c>
      <c r="D30" s="15">
        <f t="shared" si="0"/>
        <v>65</v>
      </c>
      <c r="E30" s="26">
        <v>1</v>
      </c>
      <c r="F30" s="27">
        <f t="shared" si="1"/>
        <v>64</v>
      </c>
      <c r="G30" s="19">
        <v>12</v>
      </c>
      <c r="H30" s="27">
        <f t="shared" si="24"/>
        <v>52</v>
      </c>
      <c r="I30" s="19">
        <v>0</v>
      </c>
      <c r="J30" s="20">
        <v>0</v>
      </c>
      <c r="K30" s="27">
        <f t="shared" ref="K30:K55" si="26">H30+I30-J30</f>
        <v>52</v>
      </c>
      <c r="L30" s="19">
        <v>0</v>
      </c>
      <c r="M30" s="20">
        <v>0</v>
      </c>
      <c r="N30" s="29">
        <f t="shared" ref="N30:N56" si="27">K30+L30-M30</f>
        <v>52</v>
      </c>
      <c r="O30" s="20">
        <v>0</v>
      </c>
      <c r="P30" s="19">
        <v>15</v>
      </c>
      <c r="Q30" s="27">
        <f t="shared" si="4"/>
        <v>67</v>
      </c>
      <c r="R30" s="19">
        <v>0</v>
      </c>
      <c r="S30" s="19">
        <v>0</v>
      </c>
      <c r="T30" s="27">
        <f t="shared" si="25"/>
        <v>67</v>
      </c>
      <c r="U30" s="19">
        <v>0</v>
      </c>
      <c r="V30" s="19">
        <v>0</v>
      </c>
      <c r="W30" s="27">
        <f t="shared" si="6"/>
        <v>67</v>
      </c>
      <c r="X30" s="19">
        <v>0</v>
      </c>
      <c r="Y30" s="19">
        <v>12</v>
      </c>
      <c r="Z30" s="27">
        <f t="shared" si="7"/>
        <v>55</v>
      </c>
      <c r="AA30" s="19">
        <v>15</v>
      </c>
      <c r="AB30" s="19">
        <v>0</v>
      </c>
      <c r="AC30" s="14">
        <f t="shared" si="8"/>
        <v>70</v>
      </c>
      <c r="AD30" s="7">
        <v>0</v>
      </c>
      <c r="AE30" s="20">
        <v>18</v>
      </c>
      <c r="AF30" s="14">
        <f t="shared" si="9"/>
        <v>52</v>
      </c>
      <c r="AG30" s="19">
        <v>15</v>
      </c>
      <c r="AH30" s="20">
        <v>0</v>
      </c>
      <c r="AI30" s="14">
        <f t="shared" si="23"/>
        <v>67</v>
      </c>
      <c r="AJ30" s="15">
        <v>0</v>
      </c>
      <c r="AK30" s="20">
        <v>11</v>
      </c>
      <c r="AL30" s="14">
        <f t="shared" si="11"/>
        <v>56</v>
      </c>
      <c r="AM30" s="7">
        <v>0</v>
      </c>
      <c r="AN30" s="7">
        <v>0</v>
      </c>
      <c r="AO30" s="14">
        <f t="shared" si="12"/>
        <v>56</v>
      </c>
      <c r="AP30" s="7">
        <v>0</v>
      </c>
      <c r="AQ30" s="7">
        <v>3</v>
      </c>
      <c r="AR30" s="14">
        <f t="shared" si="13"/>
        <v>53</v>
      </c>
      <c r="AS30" s="7">
        <v>15</v>
      </c>
      <c r="AT30" s="7">
        <v>0</v>
      </c>
      <c r="AU30" s="14">
        <f t="shared" si="14"/>
        <v>68</v>
      </c>
      <c r="AV30" s="7">
        <v>0</v>
      </c>
      <c r="AW30" s="7">
        <v>25</v>
      </c>
      <c r="AX30" s="14">
        <f t="shared" si="15"/>
        <v>43</v>
      </c>
      <c r="AY30" s="7">
        <v>0</v>
      </c>
      <c r="AZ30" s="7">
        <v>8</v>
      </c>
      <c r="BA30" s="14">
        <f t="shared" si="16"/>
        <v>35</v>
      </c>
      <c r="BB30" s="7">
        <v>0</v>
      </c>
      <c r="BC30" s="7">
        <v>5</v>
      </c>
      <c r="BD30" s="14">
        <f t="shared" si="17"/>
        <v>30</v>
      </c>
      <c r="BE30" s="7">
        <v>30</v>
      </c>
      <c r="BF30" s="7">
        <v>1</v>
      </c>
      <c r="BG30" s="14">
        <f t="shared" si="18"/>
        <v>59</v>
      </c>
      <c r="BH30" s="7">
        <v>0</v>
      </c>
      <c r="BI30" s="7">
        <v>6</v>
      </c>
      <c r="BJ30" s="14">
        <f t="shared" si="19"/>
        <v>53</v>
      </c>
      <c r="BK30" s="7">
        <v>0</v>
      </c>
      <c r="BL30" s="7">
        <v>0</v>
      </c>
      <c r="BM30" s="14">
        <f t="shared" si="20"/>
        <v>53</v>
      </c>
      <c r="BN30" s="7">
        <v>0</v>
      </c>
      <c r="BO30" s="14">
        <f t="shared" si="21"/>
        <v>53</v>
      </c>
      <c r="BP30" s="23"/>
    </row>
    <row r="31" spans="1:68" x14ac:dyDescent="0.2">
      <c r="A31" s="5" t="s">
        <v>105</v>
      </c>
      <c r="B31" s="26">
        <v>5</v>
      </c>
      <c r="C31" s="26">
        <v>0</v>
      </c>
      <c r="D31" s="15">
        <f t="shared" si="0"/>
        <v>5</v>
      </c>
      <c r="E31" s="26">
        <v>1</v>
      </c>
      <c r="F31" s="27">
        <f t="shared" si="1"/>
        <v>4</v>
      </c>
      <c r="G31" s="19">
        <v>0</v>
      </c>
      <c r="H31" s="27">
        <f t="shared" si="24"/>
        <v>4</v>
      </c>
      <c r="I31" s="19">
        <v>9</v>
      </c>
      <c r="J31" s="20">
        <v>12</v>
      </c>
      <c r="K31" s="27">
        <f t="shared" si="26"/>
        <v>1</v>
      </c>
      <c r="L31" s="19">
        <v>11</v>
      </c>
      <c r="M31" s="20">
        <v>11</v>
      </c>
      <c r="N31" s="29">
        <f t="shared" si="27"/>
        <v>1</v>
      </c>
      <c r="O31" s="20">
        <v>0</v>
      </c>
      <c r="P31" s="19">
        <v>4</v>
      </c>
      <c r="Q31" s="27">
        <f t="shared" si="4"/>
        <v>5</v>
      </c>
      <c r="R31" s="19">
        <v>0</v>
      </c>
      <c r="S31" s="19">
        <v>0</v>
      </c>
      <c r="T31" s="27">
        <f t="shared" si="25"/>
        <v>5</v>
      </c>
      <c r="U31" s="19">
        <v>0</v>
      </c>
      <c r="V31" s="19">
        <v>0</v>
      </c>
      <c r="W31" s="27">
        <f t="shared" si="6"/>
        <v>5</v>
      </c>
      <c r="X31" s="19">
        <v>0</v>
      </c>
      <c r="Y31" s="19">
        <v>0</v>
      </c>
      <c r="Z31" s="27">
        <f t="shared" si="7"/>
        <v>5</v>
      </c>
      <c r="AA31" s="19">
        <v>0</v>
      </c>
      <c r="AB31" s="19">
        <v>0</v>
      </c>
      <c r="AC31" s="14">
        <f t="shared" si="8"/>
        <v>5</v>
      </c>
      <c r="AD31" s="7">
        <v>0</v>
      </c>
      <c r="AE31" s="20">
        <v>1</v>
      </c>
      <c r="AF31" s="14">
        <f t="shared" si="9"/>
        <v>4</v>
      </c>
      <c r="AG31" s="19">
        <v>1</v>
      </c>
      <c r="AH31" s="20">
        <v>2</v>
      </c>
      <c r="AI31" s="14">
        <f t="shared" si="23"/>
        <v>3</v>
      </c>
      <c r="AJ31" s="26">
        <v>3</v>
      </c>
      <c r="AK31" s="20">
        <v>6</v>
      </c>
      <c r="AL31" s="14">
        <f t="shared" si="11"/>
        <v>0</v>
      </c>
      <c r="AM31" s="7">
        <v>5</v>
      </c>
      <c r="AN31" s="7">
        <v>0</v>
      </c>
      <c r="AO31" s="14">
        <f t="shared" si="12"/>
        <v>5</v>
      </c>
      <c r="AP31" s="7">
        <v>0</v>
      </c>
      <c r="AQ31" s="7">
        <v>0</v>
      </c>
      <c r="AR31" s="14">
        <f t="shared" si="13"/>
        <v>5</v>
      </c>
      <c r="AS31" s="7">
        <v>0</v>
      </c>
      <c r="AT31" s="7">
        <v>0</v>
      </c>
      <c r="AU31" s="14">
        <f t="shared" si="14"/>
        <v>5</v>
      </c>
      <c r="AV31" s="7">
        <v>0</v>
      </c>
      <c r="AW31" s="7">
        <v>1</v>
      </c>
      <c r="AX31" s="14">
        <f t="shared" si="15"/>
        <v>4</v>
      </c>
      <c r="AY31" s="7">
        <v>0</v>
      </c>
      <c r="AZ31" s="7">
        <v>1</v>
      </c>
      <c r="BA31" s="14">
        <f t="shared" si="16"/>
        <v>3</v>
      </c>
      <c r="BB31" s="7">
        <v>2</v>
      </c>
      <c r="BC31" s="7">
        <v>0</v>
      </c>
      <c r="BD31" s="14">
        <f t="shared" si="17"/>
        <v>5</v>
      </c>
      <c r="BE31" s="7">
        <v>0</v>
      </c>
      <c r="BF31" s="7">
        <v>0</v>
      </c>
      <c r="BG31" s="14">
        <f t="shared" si="18"/>
        <v>5</v>
      </c>
      <c r="BH31" s="7">
        <v>0</v>
      </c>
      <c r="BI31" s="7">
        <v>0</v>
      </c>
      <c r="BJ31" s="14">
        <f t="shared" si="19"/>
        <v>5</v>
      </c>
      <c r="BK31" s="7">
        <v>0</v>
      </c>
      <c r="BL31" s="7">
        <v>0</v>
      </c>
      <c r="BM31" s="14">
        <f t="shared" si="20"/>
        <v>5</v>
      </c>
      <c r="BN31" s="7">
        <v>1</v>
      </c>
      <c r="BO31" s="14">
        <f t="shared" si="21"/>
        <v>4</v>
      </c>
      <c r="BP31" s="23"/>
    </row>
    <row r="32" spans="1:68" x14ac:dyDescent="0.2">
      <c r="A32" s="5" t="s">
        <v>106</v>
      </c>
      <c r="B32" s="26">
        <v>0</v>
      </c>
      <c r="C32" s="26">
        <v>0</v>
      </c>
      <c r="D32" s="15">
        <f t="shared" si="0"/>
        <v>0</v>
      </c>
      <c r="E32" s="26">
        <v>0</v>
      </c>
      <c r="F32" s="27">
        <f t="shared" si="1"/>
        <v>0</v>
      </c>
      <c r="G32" s="19">
        <v>0</v>
      </c>
      <c r="H32" s="27">
        <f t="shared" si="24"/>
        <v>0</v>
      </c>
      <c r="I32" s="19">
        <v>1</v>
      </c>
      <c r="J32" s="20">
        <v>1</v>
      </c>
      <c r="K32" s="27">
        <f t="shared" si="26"/>
        <v>0</v>
      </c>
      <c r="L32" s="19">
        <v>9</v>
      </c>
      <c r="M32" s="20">
        <v>9</v>
      </c>
      <c r="N32" s="29">
        <f t="shared" si="27"/>
        <v>0</v>
      </c>
      <c r="O32" s="20">
        <v>0</v>
      </c>
      <c r="P32" s="19">
        <v>0</v>
      </c>
      <c r="Q32" s="27">
        <f t="shared" si="4"/>
        <v>0</v>
      </c>
      <c r="R32" s="19">
        <v>0</v>
      </c>
      <c r="S32" s="19">
        <v>0</v>
      </c>
      <c r="T32" s="27">
        <f t="shared" si="25"/>
        <v>0</v>
      </c>
      <c r="U32" s="19">
        <v>0</v>
      </c>
      <c r="V32" s="19">
        <v>0</v>
      </c>
      <c r="W32" s="27">
        <f t="shared" si="6"/>
        <v>0</v>
      </c>
      <c r="X32" s="19">
        <v>0</v>
      </c>
      <c r="Y32" s="19">
        <v>0</v>
      </c>
      <c r="Z32" s="27">
        <f t="shared" si="7"/>
        <v>0</v>
      </c>
      <c r="AA32" s="19">
        <v>0</v>
      </c>
      <c r="AB32" s="19">
        <v>0</v>
      </c>
      <c r="AC32" s="14">
        <f t="shared" si="8"/>
        <v>0</v>
      </c>
      <c r="AD32" s="7">
        <v>0</v>
      </c>
      <c r="AE32" s="20">
        <v>0</v>
      </c>
      <c r="AF32" s="14">
        <f t="shared" si="9"/>
        <v>0</v>
      </c>
      <c r="AG32" s="19">
        <v>0</v>
      </c>
      <c r="AH32" s="20">
        <v>0</v>
      </c>
      <c r="AI32" s="14">
        <f t="shared" si="23"/>
        <v>0</v>
      </c>
      <c r="AJ32" s="26">
        <v>1</v>
      </c>
      <c r="AK32" s="20">
        <v>1</v>
      </c>
      <c r="AL32" s="14">
        <f t="shared" si="11"/>
        <v>0</v>
      </c>
      <c r="AM32" s="7">
        <v>0</v>
      </c>
      <c r="AN32" s="7">
        <v>0</v>
      </c>
      <c r="AO32" s="14">
        <f t="shared" si="12"/>
        <v>0</v>
      </c>
      <c r="AP32" s="7">
        <v>0</v>
      </c>
      <c r="AQ32" s="7">
        <v>0</v>
      </c>
      <c r="AR32" s="14">
        <f t="shared" si="13"/>
        <v>0</v>
      </c>
      <c r="AS32" s="7">
        <v>0</v>
      </c>
      <c r="AT32" s="7">
        <v>0</v>
      </c>
      <c r="AU32" s="14">
        <f t="shared" si="14"/>
        <v>0</v>
      </c>
      <c r="AV32" s="7">
        <v>0</v>
      </c>
      <c r="AW32" s="7">
        <v>0</v>
      </c>
      <c r="AX32" s="14">
        <f t="shared" si="15"/>
        <v>0</v>
      </c>
      <c r="AY32" s="7">
        <v>0</v>
      </c>
      <c r="AZ32" s="7">
        <v>0</v>
      </c>
      <c r="BA32" s="14">
        <f t="shared" si="16"/>
        <v>0</v>
      </c>
      <c r="BB32" s="7">
        <v>0</v>
      </c>
      <c r="BC32" s="7">
        <v>0</v>
      </c>
      <c r="BD32" s="14">
        <f t="shared" si="17"/>
        <v>0</v>
      </c>
      <c r="BE32" s="7">
        <v>0</v>
      </c>
      <c r="BF32" s="7">
        <v>0</v>
      </c>
      <c r="BG32" s="14">
        <f t="shared" si="18"/>
        <v>0</v>
      </c>
      <c r="BH32" s="7">
        <v>0</v>
      </c>
      <c r="BI32" s="7">
        <v>0</v>
      </c>
      <c r="BJ32" s="14">
        <f t="shared" si="19"/>
        <v>0</v>
      </c>
      <c r="BK32" s="7">
        <v>0</v>
      </c>
      <c r="BL32" s="7">
        <v>0</v>
      </c>
      <c r="BM32" s="14">
        <f t="shared" si="20"/>
        <v>0</v>
      </c>
      <c r="BN32" s="7">
        <v>0</v>
      </c>
      <c r="BO32" s="14">
        <f t="shared" si="21"/>
        <v>0</v>
      </c>
      <c r="BP32" s="23"/>
    </row>
    <row r="33" spans="1:68" x14ac:dyDescent="0.2">
      <c r="A33" s="5" t="s">
        <v>107</v>
      </c>
      <c r="B33" s="26">
        <v>0</v>
      </c>
      <c r="C33" s="26">
        <v>0</v>
      </c>
      <c r="D33" s="15">
        <f t="shared" si="0"/>
        <v>0</v>
      </c>
      <c r="E33" s="26">
        <v>0</v>
      </c>
      <c r="F33" s="27">
        <f t="shared" si="1"/>
        <v>0</v>
      </c>
      <c r="G33" s="19">
        <v>0</v>
      </c>
      <c r="H33" s="27">
        <f t="shared" si="24"/>
        <v>0</v>
      </c>
      <c r="I33" s="19">
        <v>0</v>
      </c>
      <c r="J33" s="20">
        <v>0</v>
      </c>
      <c r="K33" s="27">
        <f t="shared" si="26"/>
        <v>0</v>
      </c>
      <c r="L33" s="19">
        <v>0</v>
      </c>
      <c r="M33" s="20">
        <v>0</v>
      </c>
      <c r="N33" s="29">
        <f t="shared" si="27"/>
        <v>0</v>
      </c>
      <c r="O33" s="20">
        <v>0</v>
      </c>
      <c r="P33" s="19">
        <v>0</v>
      </c>
      <c r="Q33" s="27">
        <f t="shared" si="4"/>
        <v>0</v>
      </c>
      <c r="R33" s="19">
        <v>0</v>
      </c>
      <c r="S33" s="19">
        <v>0</v>
      </c>
      <c r="T33" s="27">
        <f t="shared" si="25"/>
        <v>0</v>
      </c>
      <c r="U33" s="19">
        <v>0</v>
      </c>
      <c r="V33" s="19">
        <v>0</v>
      </c>
      <c r="W33" s="27">
        <f t="shared" si="6"/>
        <v>0</v>
      </c>
      <c r="X33" s="19">
        <v>0</v>
      </c>
      <c r="Y33" s="19">
        <v>0</v>
      </c>
      <c r="Z33" s="27">
        <f t="shared" si="7"/>
        <v>0</v>
      </c>
      <c r="AA33" s="19">
        <v>0</v>
      </c>
      <c r="AB33" s="19">
        <v>0</v>
      </c>
      <c r="AC33" s="14">
        <f t="shared" si="8"/>
        <v>0</v>
      </c>
      <c r="AD33" s="7">
        <v>0</v>
      </c>
      <c r="AE33" s="20">
        <v>0</v>
      </c>
      <c r="AF33" s="14">
        <f t="shared" si="9"/>
        <v>0</v>
      </c>
      <c r="AG33" s="19">
        <v>0</v>
      </c>
      <c r="AH33" s="20">
        <v>0</v>
      </c>
      <c r="AI33" s="14">
        <f t="shared" si="23"/>
        <v>0</v>
      </c>
      <c r="AJ33" s="15">
        <v>0</v>
      </c>
      <c r="AK33" s="20">
        <v>0</v>
      </c>
      <c r="AL33" s="14">
        <f t="shared" si="11"/>
        <v>0</v>
      </c>
      <c r="AM33" s="7">
        <v>0</v>
      </c>
      <c r="AN33" s="7">
        <v>0</v>
      </c>
      <c r="AO33" s="14">
        <f t="shared" si="12"/>
        <v>0</v>
      </c>
      <c r="AP33" s="7">
        <v>0</v>
      </c>
      <c r="AQ33" s="7">
        <v>0</v>
      </c>
      <c r="AR33" s="14">
        <f t="shared" si="13"/>
        <v>0</v>
      </c>
      <c r="AS33" s="7">
        <v>0</v>
      </c>
      <c r="AT33" s="7">
        <v>0</v>
      </c>
      <c r="AU33" s="14">
        <f t="shared" si="14"/>
        <v>0</v>
      </c>
      <c r="AV33" s="7">
        <v>0</v>
      </c>
      <c r="AW33" s="7">
        <v>0</v>
      </c>
      <c r="AX33" s="14">
        <f t="shared" si="15"/>
        <v>0</v>
      </c>
      <c r="AY33" s="7">
        <v>0</v>
      </c>
      <c r="AZ33" s="7">
        <v>0</v>
      </c>
      <c r="BA33" s="14">
        <f t="shared" si="16"/>
        <v>0</v>
      </c>
      <c r="BB33" s="7">
        <v>0</v>
      </c>
      <c r="BC33" s="7">
        <v>0</v>
      </c>
      <c r="BD33" s="14">
        <f t="shared" si="17"/>
        <v>0</v>
      </c>
      <c r="BE33" s="7">
        <v>0</v>
      </c>
      <c r="BF33" s="7">
        <v>0</v>
      </c>
      <c r="BG33" s="14">
        <f t="shared" si="18"/>
        <v>0</v>
      </c>
      <c r="BH33" s="7">
        <v>0</v>
      </c>
      <c r="BI33" s="7">
        <v>0</v>
      </c>
      <c r="BJ33" s="14">
        <f t="shared" si="19"/>
        <v>0</v>
      </c>
      <c r="BK33" s="7">
        <v>0</v>
      </c>
      <c r="BL33" s="7">
        <v>0</v>
      </c>
      <c r="BM33" s="14">
        <f t="shared" si="20"/>
        <v>0</v>
      </c>
      <c r="BN33" s="7">
        <v>0</v>
      </c>
      <c r="BO33" s="14">
        <f t="shared" si="21"/>
        <v>0</v>
      </c>
      <c r="BP33" s="23"/>
    </row>
    <row r="34" spans="1:68" x14ac:dyDescent="0.2">
      <c r="A34" s="5" t="s">
        <v>108</v>
      </c>
      <c r="B34" s="26">
        <v>0</v>
      </c>
      <c r="C34" s="26">
        <v>0</v>
      </c>
      <c r="D34" s="15">
        <f t="shared" si="0"/>
        <v>0</v>
      </c>
      <c r="E34" s="26">
        <v>0</v>
      </c>
      <c r="F34" s="27">
        <f t="shared" si="1"/>
        <v>0</v>
      </c>
      <c r="G34" s="19">
        <v>0</v>
      </c>
      <c r="H34" s="27">
        <f t="shared" si="24"/>
        <v>0</v>
      </c>
      <c r="I34" s="19">
        <v>0</v>
      </c>
      <c r="J34" s="20">
        <v>0</v>
      </c>
      <c r="K34" s="27">
        <f t="shared" si="26"/>
        <v>0</v>
      </c>
      <c r="L34" s="19">
        <v>0</v>
      </c>
      <c r="M34" s="20">
        <v>0</v>
      </c>
      <c r="N34" s="29">
        <f t="shared" si="27"/>
        <v>0</v>
      </c>
      <c r="O34" s="20">
        <v>0</v>
      </c>
      <c r="P34" s="19">
        <v>0</v>
      </c>
      <c r="Q34" s="27">
        <f t="shared" si="4"/>
        <v>0</v>
      </c>
      <c r="R34" s="19">
        <v>0</v>
      </c>
      <c r="S34" s="19">
        <v>0</v>
      </c>
      <c r="T34" s="27">
        <f t="shared" si="25"/>
        <v>0</v>
      </c>
      <c r="U34" s="19">
        <v>0</v>
      </c>
      <c r="V34" s="19">
        <v>0</v>
      </c>
      <c r="W34" s="27">
        <f t="shared" si="6"/>
        <v>0</v>
      </c>
      <c r="X34" s="19">
        <v>0</v>
      </c>
      <c r="Y34" s="19">
        <v>0</v>
      </c>
      <c r="Z34" s="27">
        <f t="shared" si="7"/>
        <v>0</v>
      </c>
      <c r="AA34" s="19">
        <v>0</v>
      </c>
      <c r="AB34" s="19">
        <v>0</v>
      </c>
      <c r="AC34" s="14">
        <f t="shared" si="8"/>
        <v>0</v>
      </c>
      <c r="AD34" s="7">
        <v>0</v>
      </c>
      <c r="AE34" s="20">
        <v>0</v>
      </c>
      <c r="AF34" s="14">
        <f t="shared" si="9"/>
        <v>0</v>
      </c>
      <c r="AG34" s="19">
        <v>0</v>
      </c>
      <c r="AH34" s="20">
        <v>0</v>
      </c>
      <c r="AI34" s="14">
        <f t="shared" si="23"/>
        <v>0</v>
      </c>
      <c r="AJ34" s="15">
        <v>0</v>
      </c>
      <c r="AK34" s="20">
        <v>0</v>
      </c>
      <c r="AL34" s="14">
        <f t="shared" si="11"/>
        <v>0</v>
      </c>
      <c r="AM34" s="7">
        <v>0</v>
      </c>
      <c r="AN34" s="7">
        <v>0</v>
      </c>
      <c r="AO34" s="14">
        <f t="shared" si="12"/>
        <v>0</v>
      </c>
      <c r="AP34" s="7">
        <v>0</v>
      </c>
      <c r="AQ34" s="7">
        <v>0</v>
      </c>
      <c r="AR34" s="14">
        <f t="shared" si="13"/>
        <v>0</v>
      </c>
      <c r="AS34" s="7">
        <v>0</v>
      </c>
      <c r="AT34" s="7">
        <v>0</v>
      </c>
      <c r="AU34" s="14">
        <f t="shared" si="14"/>
        <v>0</v>
      </c>
      <c r="AV34" s="7">
        <v>0</v>
      </c>
      <c r="AW34" s="7">
        <v>0</v>
      </c>
      <c r="AX34" s="14">
        <f t="shared" si="15"/>
        <v>0</v>
      </c>
      <c r="AY34" s="7">
        <v>0</v>
      </c>
      <c r="AZ34" s="7">
        <v>0</v>
      </c>
      <c r="BA34" s="14">
        <f t="shared" si="16"/>
        <v>0</v>
      </c>
      <c r="BB34" s="7">
        <v>0</v>
      </c>
      <c r="BC34" s="7">
        <v>0</v>
      </c>
      <c r="BD34" s="14">
        <f t="shared" si="17"/>
        <v>0</v>
      </c>
      <c r="BE34" s="7">
        <v>0</v>
      </c>
      <c r="BF34" s="7">
        <v>0</v>
      </c>
      <c r="BG34" s="14">
        <f t="shared" si="18"/>
        <v>0</v>
      </c>
      <c r="BH34" s="7">
        <v>0</v>
      </c>
      <c r="BI34" s="7">
        <v>0</v>
      </c>
      <c r="BJ34" s="14">
        <f t="shared" si="19"/>
        <v>0</v>
      </c>
      <c r="BK34" s="7">
        <v>0</v>
      </c>
      <c r="BL34" s="7">
        <v>0</v>
      </c>
      <c r="BM34" s="14">
        <f t="shared" si="20"/>
        <v>0</v>
      </c>
      <c r="BN34" s="7">
        <v>0</v>
      </c>
      <c r="BO34" s="14">
        <f t="shared" si="21"/>
        <v>0</v>
      </c>
      <c r="BP34" s="23"/>
    </row>
    <row r="35" spans="1:68" x14ac:dyDescent="0.2">
      <c r="A35" s="13" t="s">
        <v>109</v>
      </c>
      <c r="B35" s="26">
        <v>2</v>
      </c>
      <c r="C35" s="26">
        <v>0</v>
      </c>
      <c r="D35" s="15">
        <f t="shared" si="0"/>
        <v>2</v>
      </c>
      <c r="E35" s="26">
        <v>0</v>
      </c>
      <c r="F35" s="27">
        <f t="shared" si="1"/>
        <v>2</v>
      </c>
      <c r="G35" s="19">
        <v>0</v>
      </c>
      <c r="H35" s="27">
        <f t="shared" si="24"/>
        <v>2</v>
      </c>
      <c r="I35" s="19">
        <v>0</v>
      </c>
      <c r="J35" s="20">
        <v>0</v>
      </c>
      <c r="K35" s="27">
        <f t="shared" si="26"/>
        <v>2</v>
      </c>
      <c r="L35" s="19">
        <v>0</v>
      </c>
      <c r="M35" s="20">
        <v>0</v>
      </c>
      <c r="N35" s="29">
        <f t="shared" si="27"/>
        <v>2</v>
      </c>
      <c r="O35" s="20">
        <v>0</v>
      </c>
      <c r="P35" s="19">
        <v>0</v>
      </c>
      <c r="Q35" s="27">
        <f t="shared" si="4"/>
        <v>2</v>
      </c>
      <c r="R35" s="19">
        <v>0</v>
      </c>
      <c r="S35" s="19">
        <v>0</v>
      </c>
      <c r="T35" s="27">
        <f t="shared" si="25"/>
        <v>2</v>
      </c>
      <c r="U35" s="19">
        <v>0</v>
      </c>
      <c r="V35" s="19">
        <v>0</v>
      </c>
      <c r="W35" s="27">
        <f t="shared" si="6"/>
        <v>2</v>
      </c>
      <c r="X35" s="19">
        <v>0</v>
      </c>
      <c r="Y35" s="19">
        <v>0</v>
      </c>
      <c r="Z35" s="27">
        <f t="shared" si="7"/>
        <v>2</v>
      </c>
      <c r="AA35" s="19">
        <v>0</v>
      </c>
      <c r="AB35" s="19">
        <v>0</v>
      </c>
      <c r="AC35" s="14">
        <f t="shared" si="8"/>
        <v>2</v>
      </c>
      <c r="AD35" s="7">
        <v>0</v>
      </c>
      <c r="AE35" s="20">
        <v>0</v>
      </c>
      <c r="AF35" s="14">
        <f t="shared" si="9"/>
        <v>2</v>
      </c>
      <c r="AG35" s="19">
        <v>0</v>
      </c>
      <c r="AH35" s="20">
        <v>0</v>
      </c>
      <c r="AI35" s="14">
        <f t="shared" si="23"/>
        <v>2</v>
      </c>
      <c r="AJ35" s="15">
        <v>0</v>
      </c>
      <c r="AK35" s="20">
        <v>0</v>
      </c>
      <c r="AL35" s="14">
        <f t="shared" si="11"/>
        <v>2</v>
      </c>
      <c r="AM35" s="7">
        <v>0</v>
      </c>
      <c r="AN35" s="7">
        <v>0</v>
      </c>
      <c r="AO35" s="14">
        <f t="shared" si="12"/>
        <v>2</v>
      </c>
      <c r="AP35" s="7">
        <v>0</v>
      </c>
      <c r="AQ35" s="7">
        <v>0</v>
      </c>
      <c r="AR35" s="14">
        <f t="shared" si="13"/>
        <v>2</v>
      </c>
      <c r="AS35" s="7">
        <v>0</v>
      </c>
      <c r="AT35" s="7">
        <v>0</v>
      </c>
      <c r="AU35" s="14">
        <f t="shared" si="14"/>
        <v>2</v>
      </c>
      <c r="AV35" s="7">
        <v>0</v>
      </c>
      <c r="AW35" s="7">
        <v>0</v>
      </c>
      <c r="AX35" s="14">
        <f t="shared" si="15"/>
        <v>2</v>
      </c>
      <c r="AY35" s="7">
        <v>0</v>
      </c>
      <c r="AZ35" s="7">
        <v>0</v>
      </c>
      <c r="BA35" s="14">
        <f t="shared" si="16"/>
        <v>2</v>
      </c>
      <c r="BB35" s="7">
        <v>0</v>
      </c>
      <c r="BC35" s="7">
        <v>0</v>
      </c>
      <c r="BD35" s="14">
        <f t="shared" si="17"/>
        <v>2</v>
      </c>
      <c r="BE35" s="7">
        <v>0</v>
      </c>
      <c r="BF35" s="7">
        <v>0</v>
      </c>
      <c r="BG35" s="14">
        <f t="shared" si="18"/>
        <v>2</v>
      </c>
      <c r="BH35" s="7">
        <v>0</v>
      </c>
      <c r="BI35" s="7">
        <v>0</v>
      </c>
      <c r="BJ35" s="14">
        <f t="shared" si="19"/>
        <v>2</v>
      </c>
      <c r="BK35" s="7">
        <v>0</v>
      </c>
      <c r="BL35" s="7">
        <v>0</v>
      </c>
      <c r="BM35" s="14">
        <f t="shared" si="20"/>
        <v>2</v>
      </c>
      <c r="BN35" s="7">
        <v>0</v>
      </c>
      <c r="BO35" s="14">
        <f t="shared" si="21"/>
        <v>2</v>
      </c>
      <c r="BP35" s="23"/>
    </row>
    <row r="36" spans="1:68" x14ac:dyDescent="0.2">
      <c r="A36" s="13" t="s">
        <v>110</v>
      </c>
      <c r="B36" s="26">
        <v>1</v>
      </c>
      <c r="C36" s="26">
        <v>0</v>
      </c>
      <c r="D36" s="15">
        <f t="shared" si="0"/>
        <v>1</v>
      </c>
      <c r="E36" s="26">
        <v>0</v>
      </c>
      <c r="F36" s="27">
        <f t="shared" si="1"/>
        <v>1</v>
      </c>
      <c r="G36" s="19">
        <v>0</v>
      </c>
      <c r="H36" s="27">
        <f t="shared" si="24"/>
        <v>1</v>
      </c>
      <c r="I36" s="19">
        <v>0</v>
      </c>
      <c r="J36" s="20">
        <v>0</v>
      </c>
      <c r="K36" s="27">
        <f t="shared" si="26"/>
        <v>1</v>
      </c>
      <c r="L36" s="19">
        <v>0</v>
      </c>
      <c r="M36" s="20">
        <v>0</v>
      </c>
      <c r="N36" s="29">
        <f t="shared" si="27"/>
        <v>1</v>
      </c>
      <c r="O36" s="20">
        <v>0</v>
      </c>
      <c r="P36" s="19">
        <v>0</v>
      </c>
      <c r="Q36" s="27">
        <f t="shared" si="4"/>
        <v>1</v>
      </c>
      <c r="R36" s="19">
        <v>0</v>
      </c>
      <c r="S36" s="19">
        <v>0</v>
      </c>
      <c r="T36" s="27">
        <f t="shared" si="25"/>
        <v>1</v>
      </c>
      <c r="U36" s="19">
        <v>0</v>
      </c>
      <c r="V36" s="19">
        <v>0</v>
      </c>
      <c r="W36" s="27">
        <f t="shared" si="6"/>
        <v>1</v>
      </c>
      <c r="X36" s="19">
        <v>0</v>
      </c>
      <c r="Y36" s="19">
        <v>0</v>
      </c>
      <c r="Z36" s="27">
        <f t="shared" si="7"/>
        <v>1</v>
      </c>
      <c r="AA36" s="19">
        <v>0</v>
      </c>
      <c r="AB36" s="19">
        <v>0</v>
      </c>
      <c r="AC36" s="14">
        <f t="shared" si="8"/>
        <v>1</v>
      </c>
      <c r="AD36" s="7">
        <v>0</v>
      </c>
      <c r="AE36" s="20">
        <v>0</v>
      </c>
      <c r="AF36" s="14">
        <f t="shared" si="9"/>
        <v>1</v>
      </c>
      <c r="AG36" s="19">
        <v>0</v>
      </c>
      <c r="AH36" s="20">
        <v>0</v>
      </c>
      <c r="AI36" s="14">
        <f t="shared" si="23"/>
        <v>1</v>
      </c>
      <c r="AJ36" s="15">
        <v>0</v>
      </c>
      <c r="AK36" s="20">
        <v>0</v>
      </c>
      <c r="AL36" s="14">
        <f t="shared" si="11"/>
        <v>1</v>
      </c>
      <c r="AM36" s="7">
        <v>0</v>
      </c>
      <c r="AN36" s="7">
        <v>0</v>
      </c>
      <c r="AO36" s="14">
        <f t="shared" si="12"/>
        <v>1</v>
      </c>
      <c r="AP36" s="7">
        <v>0</v>
      </c>
      <c r="AQ36" s="7">
        <v>0</v>
      </c>
      <c r="AR36" s="14">
        <f t="shared" si="13"/>
        <v>1</v>
      </c>
      <c r="AS36" s="7">
        <v>0</v>
      </c>
      <c r="AT36" s="7">
        <v>0</v>
      </c>
      <c r="AU36" s="14">
        <f t="shared" si="14"/>
        <v>1</v>
      </c>
      <c r="AV36" s="7">
        <v>0</v>
      </c>
      <c r="AW36" s="7">
        <v>0</v>
      </c>
      <c r="AX36" s="14">
        <f t="shared" si="15"/>
        <v>1</v>
      </c>
      <c r="AY36" s="7">
        <v>0</v>
      </c>
      <c r="AZ36" s="7">
        <v>0</v>
      </c>
      <c r="BA36" s="14">
        <f t="shared" si="16"/>
        <v>1</v>
      </c>
      <c r="BB36" s="7">
        <v>0</v>
      </c>
      <c r="BC36" s="7">
        <v>0</v>
      </c>
      <c r="BD36" s="14">
        <f t="shared" si="17"/>
        <v>1</v>
      </c>
      <c r="BE36" s="7">
        <v>0</v>
      </c>
      <c r="BF36" s="7">
        <v>0</v>
      </c>
      <c r="BG36" s="14">
        <f t="shared" si="18"/>
        <v>1</v>
      </c>
      <c r="BH36" s="7">
        <v>0</v>
      </c>
      <c r="BI36" s="7">
        <v>0</v>
      </c>
      <c r="BJ36" s="14">
        <f t="shared" si="19"/>
        <v>1</v>
      </c>
      <c r="BK36" s="7">
        <v>0</v>
      </c>
      <c r="BL36" s="7">
        <v>0</v>
      </c>
      <c r="BM36" s="14">
        <f t="shared" si="20"/>
        <v>1</v>
      </c>
      <c r="BN36" s="7">
        <v>0</v>
      </c>
      <c r="BO36" s="14">
        <f t="shared" si="21"/>
        <v>1</v>
      </c>
      <c r="BP36" s="23"/>
    </row>
    <row r="37" spans="1:68" x14ac:dyDescent="0.2">
      <c r="A37" s="13" t="s">
        <v>111</v>
      </c>
      <c r="B37" s="26">
        <v>1</v>
      </c>
      <c r="C37" s="26">
        <v>0</v>
      </c>
      <c r="D37" s="15">
        <f t="shared" si="0"/>
        <v>1</v>
      </c>
      <c r="E37" s="26">
        <v>0</v>
      </c>
      <c r="F37" s="27">
        <f t="shared" si="1"/>
        <v>1</v>
      </c>
      <c r="G37" s="19">
        <v>0</v>
      </c>
      <c r="H37" s="27">
        <f t="shared" si="24"/>
        <v>1</v>
      </c>
      <c r="I37" s="19">
        <v>0</v>
      </c>
      <c r="J37" s="20">
        <v>0</v>
      </c>
      <c r="K37" s="27">
        <f t="shared" si="26"/>
        <v>1</v>
      </c>
      <c r="L37" s="19">
        <v>0</v>
      </c>
      <c r="M37" s="20">
        <v>0</v>
      </c>
      <c r="N37" s="29">
        <f t="shared" si="27"/>
        <v>1</v>
      </c>
      <c r="O37" s="20">
        <v>0</v>
      </c>
      <c r="P37" s="19">
        <v>0</v>
      </c>
      <c r="Q37" s="27">
        <f t="shared" si="4"/>
        <v>1</v>
      </c>
      <c r="R37" s="19">
        <v>0</v>
      </c>
      <c r="S37" s="19">
        <v>0</v>
      </c>
      <c r="T37" s="27">
        <f t="shared" si="25"/>
        <v>1</v>
      </c>
      <c r="U37" s="19">
        <v>0</v>
      </c>
      <c r="V37" s="19">
        <v>0</v>
      </c>
      <c r="W37" s="27">
        <f t="shared" si="6"/>
        <v>1</v>
      </c>
      <c r="X37" s="19">
        <v>0</v>
      </c>
      <c r="Y37" s="19">
        <v>0</v>
      </c>
      <c r="Z37" s="27">
        <f t="shared" si="7"/>
        <v>1</v>
      </c>
      <c r="AA37" s="19">
        <v>0</v>
      </c>
      <c r="AB37" s="19">
        <v>0</v>
      </c>
      <c r="AC37" s="14">
        <f t="shared" si="8"/>
        <v>1</v>
      </c>
      <c r="AD37" s="7">
        <v>0</v>
      </c>
      <c r="AE37" s="20">
        <v>0</v>
      </c>
      <c r="AF37" s="14">
        <f t="shared" si="9"/>
        <v>1</v>
      </c>
      <c r="AG37" s="19">
        <v>0</v>
      </c>
      <c r="AH37" s="20">
        <v>0</v>
      </c>
      <c r="AI37" s="14">
        <f t="shared" si="23"/>
        <v>1</v>
      </c>
      <c r="AJ37" s="15">
        <v>0</v>
      </c>
      <c r="AK37" s="20">
        <v>0</v>
      </c>
      <c r="AL37" s="14">
        <f t="shared" si="11"/>
        <v>1</v>
      </c>
      <c r="AM37" s="7">
        <v>0</v>
      </c>
      <c r="AN37" s="7">
        <v>0</v>
      </c>
      <c r="AO37" s="14">
        <f t="shared" si="12"/>
        <v>1</v>
      </c>
      <c r="AP37" s="7">
        <v>0</v>
      </c>
      <c r="AQ37" s="7">
        <v>0</v>
      </c>
      <c r="AR37" s="14">
        <f t="shared" si="13"/>
        <v>1</v>
      </c>
      <c r="AS37" s="7">
        <v>0</v>
      </c>
      <c r="AT37" s="7">
        <v>0</v>
      </c>
      <c r="AU37" s="14">
        <f t="shared" si="14"/>
        <v>1</v>
      </c>
      <c r="AV37" s="7">
        <v>0</v>
      </c>
      <c r="AW37" s="7">
        <v>0</v>
      </c>
      <c r="AX37" s="14">
        <f t="shared" si="15"/>
        <v>1</v>
      </c>
      <c r="AY37" s="7">
        <v>0</v>
      </c>
      <c r="AZ37" s="7">
        <v>0</v>
      </c>
      <c r="BA37" s="14">
        <f t="shared" si="16"/>
        <v>1</v>
      </c>
      <c r="BB37" s="7">
        <v>0</v>
      </c>
      <c r="BC37" s="7">
        <v>0</v>
      </c>
      <c r="BD37" s="14">
        <f t="shared" si="17"/>
        <v>1</v>
      </c>
      <c r="BE37" s="7">
        <v>0</v>
      </c>
      <c r="BF37" s="7">
        <v>0</v>
      </c>
      <c r="BG37" s="14">
        <f t="shared" si="18"/>
        <v>1</v>
      </c>
      <c r="BH37" s="7">
        <v>0</v>
      </c>
      <c r="BI37" s="7">
        <v>0</v>
      </c>
      <c r="BJ37" s="14">
        <f t="shared" si="19"/>
        <v>1</v>
      </c>
      <c r="BK37" s="7">
        <v>0</v>
      </c>
      <c r="BL37" s="7">
        <v>0</v>
      </c>
      <c r="BM37" s="14">
        <f t="shared" si="20"/>
        <v>1</v>
      </c>
      <c r="BN37" s="7">
        <v>0</v>
      </c>
      <c r="BO37" s="14">
        <f t="shared" si="21"/>
        <v>1</v>
      </c>
      <c r="BP37" s="23"/>
    </row>
    <row r="38" spans="1:68" x14ac:dyDescent="0.2">
      <c r="A38" s="13" t="s">
        <v>112</v>
      </c>
      <c r="B38" s="26">
        <v>1</v>
      </c>
      <c r="C38" s="26">
        <v>0</v>
      </c>
      <c r="D38" s="15">
        <f t="shared" si="0"/>
        <v>1</v>
      </c>
      <c r="E38" s="26">
        <v>0</v>
      </c>
      <c r="F38" s="27">
        <f t="shared" si="1"/>
        <v>1</v>
      </c>
      <c r="G38" s="19">
        <v>0</v>
      </c>
      <c r="H38" s="27">
        <f t="shared" si="24"/>
        <v>1</v>
      </c>
      <c r="I38" s="19">
        <v>0</v>
      </c>
      <c r="J38" s="20">
        <v>0</v>
      </c>
      <c r="K38" s="27">
        <f t="shared" si="26"/>
        <v>1</v>
      </c>
      <c r="L38" s="19">
        <v>0</v>
      </c>
      <c r="M38" s="20">
        <v>0</v>
      </c>
      <c r="N38" s="29">
        <f t="shared" si="27"/>
        <v>1</v>
      </c>
      <c r="O38" s="20">
        <v>0</v>
      </c>
      <c r="P38" s="19">
        <v>0</v>
      </c>
      <c r="Q38" s="27">
        <f t="shared" si="4"/>
        <v>1</v>
      </c>
      <c r="R38" s="19">
        <v>0</v>
      </c>
      <c r="S38" s="19">
        <v>0</v>
      </c>
      <c r="T38" s="27">
        <f t="shared" si="25"/>
        <v>1</v>
      </c>
      <c r="U38" s="19">
        <v>0</v>
      </c>
      <c r="V38" s="19">
        <v>0</v>
      </c>
      <c r="W38" s="27">
        <f t="shared" si="6"/>
        <v>1</v>
      </c>
      <c r="X38" s="19">
        <v>0</v>
      </c>
      <c r="Y38" s="19">
        <v>0</v>
      </c>
      <c r="Z38" s="27">
        <f t="shared" si="7"/>
        <v>1</v>
      </c>
      <c r="AA38" s="19">
        <v>0</v>
      </c>
      <c r="AB38" s="19">
        <v>0</v>
      </c>
      <c r="AC38" s="14">
        <f t="shared" si="8"/>
        <v>1</v>
      </c>
      <c r="AD38" s="7">
        <v>0</v>
      </c>
      <c r="AE38" s="20">
        <v>0</v>
      </c>
      <c r="AF38" s="14">
        <f t="shared" si="9"/>
        <v>1</v>
      </c>
      <c r="AG38" s="19">
        <v>0</v>
      </c>
      <c r="AH38" s="20">
        <v>0</v>
      </c>
      <c r="AI38" s="14">
        <f t="shared" si="23"/>
        <v>1</v>
      </c>
      <c r="AJ38" s="15">
        <v>0</v>
      </c>
      <c r="AK38" s="20">
        <v>0</v>
      </c>
      <c r="AL38" s="14">
        <f t="shared" si="11"/>
        <v>1</v>
      </c>
      <c r="AM38" s="7">
        <v>0</v>
      </c>
      <c r="AN38" s="7">
        <v>0</v>
      </c>
      <c r="AO38" s="14">
        <f t="shared" si="12"/>
        <v>1</v>
      </c>
      <c r="AP38" s="7">
        <v>0</v>
      </c>
      <c r="AQ38" s="7">
        <v>0</v>
      </c>
      <c r="AR38" s="14">
        <f t="shared" si="13"/>
        <v>1</v>
      </c>
      <c r="AS38" s="7">
        <v>0</v>
      </c>
      <c r="AT38" s="7">
        <v>0</v>
      </c>
      <c r="AU38" s="14">
        <f t="shared" si="14"/>
        <v>1</v>
      </c>
      <c r="AV38" s="7">
        <v>0</v>
      </c>
      <c r="AW38" s="7">
        <v>0</v>
      </c>
      <c r="AX38" s="14">
        <f t="shared" si="15"/>
        <v>1</v>
      </c>
      <c r="AY38" s="7">
        <v>0</v>
      </c>
      <c r="AZ38" s="7">
        <v>0</v>
      </c>
      <c r="BA38" s="14">
        <f t="shared" si="16"/>
        <v>1</v>
      </c>
      <c r="BB38" s="7">
        <v>0</v>
      </c>
      <c r="BC38" s="7">
        <v>0</v>
      </c>
      <c r="BD38" s="14">
        <f t="shared" si="17"/>
        <v>1</v>
      </c>
      <c r="BE38" s="7">
        <v>0</v>
      </c>
      <c r="BF38" s="7">
        <v>0</v>
      </c>
      <c r="BG38" s="14">
        <f t="shared" si="18"/>
        <v>1</v>
      </c>
      <c r="BH38" s="7">
        <v>0</v>
      </c>
      <c r="BI38" s="7">
        <v>0</v>
      </c>
      <c r="BJ38" s="14">
        <f t="shared" si="19"/>
        <v>1</v>
      </c>
      <c r="BK38" s="7">
        <v>0</v>
      </c>
      <c r="BL38" s="7">
        <v>0</v>
      </c>
      <c r="BM38" s="14">
        <f t="shared" si="20"/>
        <v>1</v>
      </c>
      <c r="BN38" s="7">
        <v>0</v>
      </c>
      <c r="BO38" s="14">
        <f t="shared" si="21"/>
        <v>1</v>
      </c>
      <c r="BP38" s="23"/>
    </row>
    <row r="39" spans="1:68" x14ac:dyDescent="0.2">
      <c r="A39" s="13" t="s">
        <v>113</v>
      </c>
      <c r="B39" s="26">
        <v>1</v>
      </c>
      <c r="C39" s="26">
        <v>0</v>
      </c>
      <c r="D39" s="15">
        <f t="shared" si="0"/>
        <v>1</v>
      </c>
      <c r="E39" s="26">
        <v>0</v>
      </c>
      <c r="F39" s="27">
        <f t="shared" si="1"/>
        <v>1</v>
      </c>
      <c r="G39" s="19">
        <v>0</v>
      </c>
      <c r="H39" s="27">
        <f t="shared" si="24"/>
        <v>1</v>
      </c>
      <c r="I39" s="19">
        <v>0</v>
      </c>
      <c r="J39" s="20">
        <v>0</v>
      </c>
      <c r="K39" s="27">
        <f t="shared" si="26"/>
        <v>1</v>
      </c>
      <c r="L39" s="19">
        <v>0</v>
      </c>
      <c r="M39" s="20">
        <v>0</v>
      </c>
      <c r="N39" s="29">
        <f t="shared" si="27"/>
        <v>1</v>
      </c>
      <c r="O39" s="20">
        <v>0</v>
      </c>
      <c r="P39" s="19">
        <v>0</v>
      </c>
      <c r="Q39" s="27">
        <f t="shared" si="4"/>
        <v>1</v>
      </c>
      <c r="R39" s="19">
        <v>0</v>
      </c>
      <c r="S39" s="19">
        <v>0</v>
      </c>
      <c r="T39" s="27">
        <f t="shared" si="25"/>
        <v>1</v>
      </c>
      <c r="U39" s="19">
        <v>0</v>
      </c>
      <c r="V39" s="19">
        <v>0</v>
      </c>
      <c r="W39" s="27">
        <f t="shared" si="6"/>
        <v>1</v>
      </c>
      <c r="X39" s="19">
        <v>0</v>
      </c>
      <c r="Y39" s="19">
        <v>0</v>
      </c>
      <c r="Z39" s="27">
        <f t="shared" si="7"/>
        <v>1</v>
      </c>
      <c r="AA39" s="19">
        <v>0</v>
      </c>
      <c r="AB39" s="19">
        <v>0</v>
      </c>
      <c r="AC39" s="14">
        <f t="shared" si="8"/>
        <v>1</v>
      </c>
      <c r="AD39" s="7">
        <v>0</v>
      </c>
      <c r="AE39" s="20">
        <v>0</v>
      </c>
      <c r="AF39" s="14">
        <f t="shared" si="9"/>
        <v>1</v>
      </c>
      <c r="AG39" s="19">
        <v>0</v>
      </c>
      <c r="AH39" s="20">
        <v>0</v>
      </c>
      <c r="AI39" s="14">
        <f t="shared" si="23"/>
        <v>1</v>
      </c>
      <c r="AJ39" s="15">
        <v>0</v>
      </c>
      <c r="AK39" s="20">
        <v>0</v>
      </c>
      <c r="AL39" s="14">
        <f t="shared" si="11"/>
        <v>1</v>
      </c>
      <c r="AM39" s="7">
        <v>0</v>
      </c>
      <c r="AN39" s="7">
        <v>0</v>
      </c>
      <c r="AO39" s="14">
        <f t="shared" si="12"/>
        <v>1</v>
      </c>
      <c r="AP39" s="7">
        <v>0</v>
      </c>
      <c r="AQ39" s="7">
        <v>0</v>
      </c>
      <c r="AR39" s="14">
        <f t="shared" si="13"/>
        <v>1</v>
      </c>
      <c r="AS39" s="7">
        <v>0</v>
      </c>
      <c r="AT39" s="7">
        <v>0</v>
      </c>
      <c r="AU39" s="14">
        <f t="shared" si="14"/>
        <v>1</v>
      </c>
      <c r="AV39" s="7">
        <v>0</v>
      </c>
      <c r="AW39" s="7">
        <v>0</v>
      </c>
      <c r="AX39" s="14">
        <f t="shared" si="15"/>
        <v>1</v>
      </c>
      <c r="AY39" s="7">
        <v>0</v>
      </c>
      <c r="AZ39" s="7">
        <v>0</v>
      </c>
      <c r="BA39" s="14">
        <f t="shared" si="16"/>
        <v>1</v>
      </c>
      <c r="BB39" s="7">
        <v>0</v>
      </c>
      <c r="BC39" s="7">
        <v>0</v>
      </c>
      <c r="BD39" s="14">
        <f t="shared" si="17"/>
        <v>1</v>
      </c>
      <c r="BE39" s="7">
        <v>0</v>
      </c>
      <c r="BF39" s="7">
        <v>0</v>
      </c>
      <c r="BG39" s="14">
        <f t="shared" si="18"/>
        <v>1</v>
      </c>
      <c r="BH39" s="7">
        <v>0</v>
      </c>
      <c r="BI39" s="7">
        <v>0</v>
      </c>
      <c r="BJ39" s="14">
        <f t="shared" si="19"/>
        <v>1</v>
      </c>
      <c r="BK39" s="7">
        <v>0</v>
      </c>
      <c r="BL39" s="7">
        <v>0</v>
      </c>
      <c r="BM39" s="14">
        <f t="shared" si="20"/>
        <v>1</v>
      </c>
      <c r="BN39" s="7">
        <v>0</v>
      </c>
      <c r="BO39" s="14">
        <f t="shared" si="21"/>
        <v>1</v>
      </c>
      <c r="BP39" s="23"/>
    </row>
    <row r="40" spans="1:68" x14ac:dyDescent="0.2">
      <c r="A40" s="13" t="s">
        <v>114</v>
      </c>
      <c r="B40" s="26">
        <v>1</v>
      </c>
      <c r="C40" s="26">
        <v>0</v>
      </c>
      <c r="D40" s="15">
        <f t="shared" si="0"/>
        <v>1</v>
      </c>
      <c r="E40" s="26">
        <v>0</v>
      </c>
      <c r="F40" s="27">
        <f t="shared" si="1"/>
        <v>1</v>
      </c>
      <c r="G40" s="19">
        <v>0</v>
      </c>
      <c r="H40" s="27">
        <f t="shared" si="24"/>
        <v>1</v>
      </c>
      <c r="I40" s="19">
        <v>0</v>
      </c>
      <c r="J40" s="20">
        <v>0</v>
      </c>
      <c r="K40" s="27">
        <f t="shared" si="26"/>
        <v>1</v>
      </c>
      <c r="L40" s="19">
        <v>0</v>
      </c>
      <c r="M40" s="20">
        <v>0</v>
      </c>
      <c r="N40" s="29">
        <f t="shared" si="27"/>
        <v>1</v>
      </c>
      <c r="O40" s="20">
        <v>0</v>
      </c>
      <c r="P40" s="19">
        <v>0</v>
      </c>
      <c r="Q40" s="27">
        <f t="shared" si="4"/>
        <v>1</v>
      </c>
      <c r="R40" s="19">
        <v>0</v>
      </c>
      <c r="S40" s="19">
        <v>0</v>
      </c>
      <c r="T40" s="27">
        <f t="shared" si="25"/>
        <v>1</v>
      </c>
      <c r="U40" s="19">
        <v>0</v>
      </c>
      <c r="V40" s="19">
        <v>0</v>
      </c>
      <c r="W40" s="27">
        <f t="shared" si="6"/>
        <v>1</v>
      </c>
      <c r="X40" s="19">
        <v>0</v>
      </c>
      <c r="Y40" s="19">
        <v>0</v>
      </c>
      <c r="Z40" s="27">
        <f t="shared" si="7"/>
        <v>1</v>
      </c>
      <c r="AA40" s="19">
        <v>0</v>
      </c>
      <c r="AB40" s="19">
        <v>0</v>
      </c>
      <c r="AC40" s="14">
        <f t="shared" si="8"/>
        <v>1</v>
      </c>
      <c r="AD40" s="7">
        <v>0</v>
      </c>
      <c r="AE40" s="20">
        <v>0</v>
      </c>
      <c r="AF40" s="14">
        <f t="shared" si="9"/>
        <v>1</v>
      </c>
      <c r="AG40" s="19">
        <v>0</v>
      </c>
      <c r="AH40" s="20">
        <v>0</v>
      </c>
      <c r="AI40" s="14">
        <f t="shared" si="23"/>
        <v>1</v>
      </c>
      <c r="AJ40" s="15">
        <v>0</v>
      </c>
      <c r="AK40" s="20">
        <v>0</v>
      </c>
      <c r="AL40" s="14">
        <f t="shared" si="11"/>
        <v>1</v>
      </c>
      <c r="AM40" s="7">
        <v>0</v>
      </c>
      <c r="AN40" s="7">
        <v>0</v>
      </c>
      <c r="AO40" s="14">
        <f t="shared" si="12"/>
        <v>1</v>
      </c>
      <c r="AP40" s="7">
        <v>0</v>
      </c>
      <c r="AQ40" s="7">
        <v>0</v>
      </c>
      <c r="AR40" s="14">
        <f t="shared" si="13"/>
        <v>1</v>
      </c>
      <c r="AS40" s="7">
        <v>0</v>
      </c>
      <c r="AT40" s="7">
        <v>0</v>
      </c>
      <c r="AU40" s="14">
        <f t="shared" si="14"/>
        <v>1</v>
      </c>
      <c r="AV40" s="7">
        <v>0</v>
      </c>
      <c r="AW40" s="7">
        <v>0</v>
      </c>
      <c r="AX40" s="14">
        <f t="shared" si="15"/>
        <v>1</v>
      </c>
      <c r="AY40" s="7">
        <v>0</v>
      </c>
      <c r="AZ40" s="7">
        <v>0</v>
      </c>
      <c r="BA40" s="14">
        <f t="shared" si="16"/>
        <v>1</v>
      </c>
      <c r="BB40" s="7">
        <v>0</v>
      </c>
      <c r="BC40" s="7">
        <v>0</v>
      </c>
      <c r="BD40" s="14">
        <f t="shared" si="17"/>
        <v>1</v>
      </c>
      <c r="BE40" s="7">
        <v>0</v>
      </c>
      <c r="BF40" s="7">
        <v>0</v>
      </c>
      <c r="BG40" s="14">
        <f t="shared" si="18"/>
        <v>1</v>
      </c>
      <c r="BH40" s="7">
        <v>0</v>
      </c>
      <c r="BI40" s="7">
        <v>0</v>
      </c>
      <c r="BJ40" s="14">
        <f t="shared" si="19"/>
        <v>1</v>
      </c>
      <c r="BK40" s="7">
        <v>0</v>
      </c>
      <c r="BL40" s="7">
        <v>0</v>
      </c>
      <c r="BM40" s="14">
        <f t="shared" si="20"/>
        <v>1</v>
      </c>
      <c r="BN40" s="7">
        <v>0</v>
      </c>
      <c r="BO40" s="14">
        <f t="shared" si="21"/>
        <v>1</v>
      </c>
      <c r="BP40" s="23"/>
    </row>
    <row r="41" spans="1:68" x14ac:dyDescent="0.2">
      <c r="A41" s="5" t="s">
        <v>115</v>
      </c>
      <c r="B41" s="26">
        <v>3</v>
      </c>
      <c r="C41" s="26">
        <v>1</v>
      </c>
      <c r="D41" s="15">
        <f t="shared" si="0"/>
        <v>2</v>
      </c>
      <c r="E41" s="26">
        <v>0</v>
      </c>
      <c r="F41" s="27">
        <f t="shared" si="1"/>
        <v>2</v>
      </c>
      <c r="G41" s="19">
        <v>0</v>
      </c>
      <c r="H41" s="19">
        <v>1</v>
      </c>
      <c r="I41" s="19">
        <v>0</v>
      </c>
      <c r="J41" s="20">
        <v>0</v>
      </c>
      <c r="K41" s="27">
        <f t="shared" si="26"/>
        <v>1</v>
      </c>
      <c r="L41" s="19">
        <v>5</v>
      </c>
      <c r="M41" s="20">
        <v>2</v>
      </c>
      <c r="N41" s="29">
        <f t="shared" si="27"/>
        <v>4</v>
      </c>
      <c r="O41" s="20">
        <v>0</v>
      </c>
      <c r="P41" s="19">
        <v>0</v>
      </c>
      <c r="Q41" s="27">
        <f t="shared" si="4"/>
        <v>4</v>
      </c>
      <c r="R41" s="19">
        <v>0</v>
      </c>
      <c r="S41" s="19">
        <v>1</v>
      </c>
      <c r="T41" s="27">
        <f t="shared" si="25"/>
        <v>5</v>
      </c>
      <c r="U41" s="19">
        <v>0</v>
      </c>
      <c r="V41" s="19">
        <v>1</v>
      </c>
      <c r="W41" s="19">
        <v>3</v>
      </c>
      <c r="X41" s="19">
        <v>0</v>
      </c>
      <c r="Y41" s="19">
        <v>0</v>
      </c>
      <c r="Z41" s="24">
        <f t="shared" si="7"/>
        <v>3</v>
      </c>
      <c r="AA41" s="19">
        <v>0</v>
      </c>
      <c r="AB41" s="19">
        <v>0</v>
      </c>
      <c r="AC41" s="8">
        <f t="shared" si="8"/>
        <v>3</v>
      </c>
      <c r="AD41" s="7">
        <v>0</v>
      </c>
      <c r="AE41" s="20">
        <v>0</v>
      </c>
      <c r="AF41" s="14">
        <f t="shared" si="9"/>
        <v>3</v>
      </c>
      <c r="AG41" s="19">
        <v>0</v>
      </c>
      <c r="AH41" s="20">
        <v>0</v>
      </c>
      <c r="AI41" s="14">
        <f t="shared" si="23"/>
        <v>3</v>
      </c>
      <c r="AJ41" s="15">
        <v>0</v>
      </c>
      <c r="AK41" s="20">
        <v>0</v>
      </c>
      <c r="AL41" s="14">
        <f t="shared" si="11"/>
        <v>3</v>
      </c>
      <c r="AM41" s="7">
        <v>0</v>
      </c>
      <c r="AN41" s="7">
        <v>0</v>
      </c>
      <c r="AO41" s="14">
        <f t="shared" si="12"/>
        <v>3</v>
      </c>
      <c r="AP41" s="7">
        <v>0</v>
      </c>
      <c r="AQ41" s="7">
        <v>0</v>
      </c>
      <c r="AR41" s="14">
        <f t="shared" si="13"/>
        <v>3</v>
      </c>
      <c r="AS41" s="7">
        <v>1</v>
      </c>
      <c r="AT41" s="7">
        <v>1</v>
      </c>
      <c r="AU41" s="14">
        <f t="shared" si="14"/>
        <v>3</v>
      </c>
      <c r="AV41" s="7">
        <v>0</v>
      </c>
      <c r="AW41" s="7">
        <v>1</v>
      </c>
      <c r="AX41" s="17">
        <f t="shared" si="15"/>
        <v>2</v>
      </c>
      <c r="AY41" s="7">
        <v>0</v>
      </c>
      <c r="AZ41" s="7">
        <v>2</v>
      </c>
      <c r="BA41" s="17">
        <f t="shared" si="16"/>
        <v>0</v>
      </c>
      <c r="BB41" s="7">
        <v>3</v>
      </c>
      <c r="BC41" s="7">
        <v>0</v>
      </c>
      <c r="BD41" s="14">
        <f t="shared" si="17"/>
        <v>3</v>
      </c>
      <c r="BE41" s="7">
        <v>0</v>
      </c>
      <c r="BF41" s="7">
        <v>0</v>
      </c>
      <c r="BG41" s="14">
        <f t="shared" si="18"/>
        <v>3</v>
      </c>
      <c r="BH41" s="7">
        <v>0</v>
      </c>
      <c r="BI41" s="7">
        <v>0</v>
      </c>
      <c r="BJ41" s="14">
        <f t="shared" si="19"/>
        <v>3</v>
      </c>
      <c r="BK41" s="7">
        <v>0</v>
      </c>
      <c r="BL41" s="7">
        <v>0</v>
      </c>
      <c r="BM41" s="14">
        <f t="shared" si="20"/>
        <v>3</v>
      </c>
      <c r="BN41" s="7">
        <v>0</v>
      </c>
      <c r="BO41" s="14">
        <f t="shared" si="21"/>
        <v>3</v>
      </c>
      <c r="BP41" s="23"/>
    </row>
    <row r="42" spans="1:68" x14ac:dyDescent="0.2">
      <c r="A42" s="5" t="s">
        <v>116</v>
      </c>
      <c r="B42" s="26">
        <v>3</v>
      </c>
      <c r="C42" s="26">
        <v>0</v>
      </c>
      <c r="D42" s="15">
        <f t="shared" si="0"/>
        <v>3</v>
      </c>
      <c r="E42" s="26">
        <v>0</v>
      </c>
      <c r="F42" s="27">
        <f t="shared" si="1"/>
        <v>3</v>
      </c>
      <c r="G42" s="19">
        <v>11</v>
      </c>
      <c r="H42" s="19">
        <v>1</v>
      </c>
      <c r="I42" s="19">
        <v>0</v>
      </c>
      <c r="J42" s="20">
        <v>0</v>
      </c>
      <c r="K42" s="27">
        <f t="shared" si="26"/>
        <v>1</v>
      </c>
      <c r="L42" s="19">
        <v>0</v>
      </c>
      <c r="M42" s="20">
        <v>7</v>
      </c>
      <c r="N42" s="29">
        <f t="shared" si="27"/>
        <v>-6</v>
      </c>
      <c r="O42" s="20">
        <v>10</v>
      </c>
      <c r="P42" s="19">
        <v>0</v>
      </c>
      <c r="Q42" s="27">
        <f t="shared" si="4"/>
        <v>-16</v>
      </c>
      <c r="R42" s="19">
        <v>5</v>
      </c>
      <c r="S42" s="19">
        <v>0</v>
      </c>
      <c r="T42" s="27">
        <f t="shared" si="25"/>
        <v>-21</v>
      </c>
      <c r="U42" s="19">
        <v>2</v>
      </c>
      <c r="V42" s="19">
        <v>40</v>
      </c>
      <c r="W42" s="19">
        <v>39</v>
      </c>
      <c r="X42" s="19">
        <v>0</v>
      </c>
      <c r="Y42" s="19">
        <v>5</v>
      </c>
      <c r="Z42" s="24">
        <f t="shared" si="7"/>
        <v>34</v>
      </c>
      <c r="AA42" s="19">
        <v>20</v>
      </c>
      <c r="AB42" s="19">
        <v>9</v>
      </c>
      <c r="AC42" s="8">
        <f t="shared" si="8"/>
        <v>45</v>
      </c>
      <c r="AD42" s="7">
        <v>0</v>
      </c>
      <c r="AE42" s="20">
        <v>0</v>
      </c>
      <c r="AF42" s="14">
        <f t="shared" si="9"/>
        <v>45</v>
      </c>
      <c r="AG42" s="19">
        <v>0</v>
      </c>
      <c r="AH42" s="20">
        <v>2</v>
      </c>
      <c r="AI42" s="17">
        <f t="shared" si="23"/>
        <v>43</v>
      </c>
      <c r="AJ42" s="15">
        <v>0</v>
      </c>
      <c r="AK42" s="20">
        <v>0</v>
      </c>
      <c r="AL42" s="14">
        <f t="shared" si="11"/>
        <v>43</v>
      </c>
      <c r="AM42" s="7">
        <v>0</v>
      </c>
      <c r="AN42" s="7">
        <v>0</v>
      </c>
      <c r="AO42" s="14">
        <f t="shared" si="12"/>
        <v>43</v>
      </c>
      <c r="AP42" s="7">
        <v>0</v>
      </c>
      <c r="AQ42" s="7">
        <v>0</v>
      </c>
      <c r="AR42" s="14">
        <f t="shared" si="13"/>
        <v>43</v>
      </c>
      <c r="AS42" s="7">
        <v>0</v>
      </c>
      <c r="AT42" s="7">
        <v>0</v>
      </c>
      <c r="AU42" s="17">
        <f t="shared" si="14"/>
        <v>43</v>
      </c>
      <c r="AV42" s="7">
        <v>0</v>
      </c>
      <c r="AW42" s="7">
        <v>2</v>
      </c>
      <c r="AX42" s="14">
        <f t="shared" si="15"/>
        <v>41</v>
      </c>
      <c r="AY42" s="7">
        <v>0</v>
      </c>
      <c r="AZ42" s="7">
        <v>16</v>
      </c>
      <c r="BA42" s="14">
        <f t="shared" si="16"/>
        <v>25</v>
      </c>
      <c r="BB42" s="7">
        <v>20</v>
      </c>
      <c r="BC42" s="7">
        <v>14</v>
      </c>
      <c r="BD42" s="17">
        <f t="shared" si="17"/>
        <v>31</v>
      </c>
      <c r="BE42" s="7">
        <v>0</v>
      </c>
      <c r="BF42" s="7">
        <v>3</v>
      </c>
      <c r="BG42" s="14">
        <f t="shared" si="18"/>
        <v>28</v>
      </c>
      <c r="BH42" s="7">
        <v>20</v>
      </c>
      <c r="BI42" s="7">
        <v>2</v>
      </c>
      <c r="BJ42" s="14">
        <f t="shared" si="19"/>
        <v>46</v>
      </c>
      <c r="BK42" s="7">
        <v>0</v>
      </c>
      <c r="BL42" s="7">
        <v>0</v>
      </c>
      <c r="BM42" s="14">
        <f t="shared" si="20"/>
        <v>46</v>
      </c>
      <c r="BN42" s="7">
        <v>6</v>
      </c>
      <c r="BO42" s="14">
        <f t="shared" si="21"/>
        <v>40</v>
      </c>
      <c r="BP42" s="30"/>
    </row>
    <row r="43" spans="1:68" x14ac:dyDescent="0.2">
      <c r="A43" s="5" t="s">
        <v>117</v>
      </c>
      <c r="B43" s="26">
        <v>4</v>
      </c>
      <c r="C43" s="26">
        <v>0</v>
      </c>
      <c r="D43" s="15">
        <f t="shared" si="0"/>
        <v>4</v>
      </c>
      <c r="E43" s="26">
        <v>1</v>
      </c>
      <c r="F43" s="27">
        <f t="shared" si="1"/>
        <v>3</v>
      </c>
      <c r="G43" s="19">
        <v>0</v>
      </c>
      <c r="H43" s="19">
        <v>0</v>
      </c>
      <c r="I43" s="19">
        <v>2</v>
      </c>
      <c r="J43" s="20">
        <v>4</v>
      </c>
      <c r="K43" s="27">
        <f t="shared" si="26"/>
        <v>-2</v>
      </c>
      <c r="L43" s="19">
        <v>7</v>
      </c>
      <c r="M43" s="20">
        <v>0</v>
      </c>
      <c r="N43" s="29">
        <f t="shared" si="27"/>
        <v>5</v>
      </c>
      <c r="O43" s="20">
        <v>0</v>
      </c>
      <c r="P43" s="19">
        <v>0</v>
      </c>
      <c r="Q43" s="27">
        <f t="shared" si="4"/>
        <v>5</v>
      </c>
      <c r="R43" s="19">
        <v>0</v>
      </c>
      <c r="S43" s="19">
        <v>0</v>
      </c>
      <c r="T43" s="27">
        <f t="shared" si="25"/>
        <v>5</v>
      </c>
      <c r="U43" s="19">
        <v>0</v>
      </c>
      <c r="V43" s="19">
        <v>1</v>
      </c>
      <c r="W43" s="19">
        <v>2</v>
      </c>
      <c r="X43" s="19">
        <v>0</v>
      </c>
      <c r="Y43" s="19">
        <v>1</v>
      </c>
      <c r="Z43" s="24">
        <f t="shared" si="7"/>
        <v>1</v>
      </c>
      <c r="AA43" s="19">
        <v>1</v>
      </c>
      <c r="AB43" s="19">
        <v>0</v>
      </c>
      <c r="AC43" s="8">
        <f t="shared" si="8"/>
        <v>2</v>
      </c>
      <c r="AD43" s="7">
        <v>0</v>
      </c>
      <c r="AE43" s="20">
        <v>1</v>
      </c>
      <c r="AF43" s="14">
        <f t="shared" si="9"/>
        <v>1</v>
      </c>
      <c r="AG43" s="19">
        <v>1</v>
      </c>
      <c r="AH43" s="20">
        <v>0</v>
      </c>
      <c r="AI43" s="17">
        <f t="shared" si="23"/>
        <v>2</v>
      </c>
      <c r="AJ43" s="15">
        <v>0</v>
      </c>
      <c r="AK43" s="20">
        <v>0</v>
      </c>
      <c r="AL43" s="14">
        <f t="shared" si="11"/>
        <v>2</v>
      </c>
      <c r="AM43" s="7">
        <v>0</v>
      </c>
      <c r="AN43" s="7">
        <v>1</v>
      </c>
      <c r="AO43" s="14">
        <f t="shared" si="12"/>
        <v>1</v>
      </c>
      <c r="AP43" s="7">
        <v>0</v>
      </c>
      <c r="AQ43" s="7">
        <v>0</v>
      </c>
      <c r="AR43" s="14">
        <f t="shared" si="13"/>
        <v>1</v>
      </c>
      <c r="AS43" s="7">
        <v>1</v>
      </c>
      <c r="AT43" s="7">
        <v>0</v>
      </c>
      <c r="AU43" s="14">
        <f t="shared" si="14"/>
        <v>2</v>
      </c>
      <c r="AV43" s="7">
        <v>0</v>
      </c>
      <c r="AW43" s="7">
        <v>0</v>
      </c>
      <c r="AX43" s="14">
        <f t="shared" si="15"/>
        <v>2</v>
      </c>
      <c r="AY43" s="7">
        <v>0</v>
      </c>
      <c r="AZ43" s="7">
        <v>0</v>
      </c>
      <c r="BA43" s="14">
        <f t="shared" si="16"/>
        <v>2</v>
      </c>
      <c r="BB43" s="7">
        <v>0</v>
      </c>
      <c r="BC43" s="7">
        <v>0</v>
      </c>
      <c r="BD43" s="14">
        <f t="shared" si="17"/>
        <v>2</v>
      </c>
      <c r="BE43" s="7">
        <v>0</v>
      </c>
      <c r="BF43" s="7">
        <v>0</v>
      </c>
      <c r="BG43" s="14">
        <f t="shared" si="18"/>
        <v>2</v>
      </c>
      <c r="BH43" s="7">
        <v>0</v>
      </c>
      <c r="BI43" s="7">
        <v>0</v>
      </c>
      <c r="BJ43" s="14">
        <f t="shared" si="19"/>
        <v>2</v>
      </c>
      <c r="BK43" s="7">
        <v>0</v>
      </c>
      <c r="BL43" s="7">
        <v>0</v>
      </c>
      <c r="BM43" s="14">
        <f t="shared" si="20"/>
        <v>2</v>
      </c>
      <c r="BN43" s="7">
        <v>0</v>
      </c>
      <c r="BO43" s="14">
        <f t="shared" si="21"/>
        <v>2</v>
      </c>
      <c r="BP43" s="23"/>
    </row>
    <row r="44" spans="1:68" x14ac:dyDescent="0.2">
      <c r="A44" s="5" t="s">
        <v>118</v>
      </c>
      <c r="B44" s="26">
        <v>10</v>
      </c>
      <c r="C44" s="26">
        <v>4</v>
      </c>
      <c r="D44" s="15">
        <f t="shared" si="0"/>
        <v>6</v>
      </c>
      <c r="E44" s="26">
        <v>3</v>
      </c>
      <c r="F44" s="27">
        <f t="shared" si="1"/>
        <v>3</v>
      </c>
      <c r="G44" s="19">
        <v>1</v>
      </c>
      <c r="H44" s="19">
        <v>3</v>
      </c>
      <c r="I44" s="19">
        <v>0</v>
      </c>
      <c r="J44" s="20">
        <v>16</v>
      </c>
      <c r="K44" s="27">
        <f t="shared" si="26"/>
        <v>-13</v>
      </c>
      <c r="L44" s="19">
        <v>0</v>
      </c>
      <c r="M44" s="20">
        <v>8</v>
      </c>
      <c r="N44" s="29">
        <f t="shared" si="27"/>
        <v>-21</v>
      </c>
      <c r="O44" s="20">
        <v>7</v>
      </c>
      <c r="P44" s="19">
        <v>0</v>
      </c>
      <c r="Q44" s="27">
        <f t="shared" si="4"/>
        <v>-28</v>
      </c>
      <c r="R44" s="19">
        <v>10</v>
      </c>
      <c r="S44" s="19">
        <v>0</v>
      </c>
      <c r="T44" s="27">
        <f t="shared" si="25"/>
        <v>-38</v>
      </c>
      <c r="U44" s="19">
        <v>12</v>
      </c>
      <c r="V44" s="19">
        <v>40</v>
      </c>
      <c r="W44" s="19">
        <v>34</v>
      </c>
      <c r="X44" s="19">
        <v>0</v>
      </c>
      <c r="Y44" s="19">
        <v>7</v>
      </c>
      <c r="Z44" s="24">
        <f t="shared" si="7"/>
        <v>27</v>
      </c>
      <c r="AA44" s="19">
        <v>20</v>
      </c>
      <c r="AB44" s="19">
        <v>8</v>
      </c>
      <c r="AC44" s="8">
        <f t="shared" si="8"/>
        <v>39</v>
      </c>
      <c r="AD44" s="7">
        <v>0</v>
      </c>
      <c r="AE44" s="20">
        <v>13</v>
      </c>
      <c r="AF44" s="17">
        <f t="shared" si="9"/>
        <v>26</v>
      </c>
      <c r="AG44" s="19">
        <v>0</v>
      </c>
      <c r="AH44" s="20">
        <v>1</v>
      </c>
      <c r="AI44" s="33">
        <v>26</v>
      </c>
      <c r="AJ44" s="15">
        <v>0</v>
      </c>
      <c r="AK44" s="20">
        <v>12</v>
      </c>
      <c r="AL44" s="14">
        <f t="shared" si="11"/>
        <v>14</v>
      </c>
      <c r="AM44" s="7">
        <v>30</v>
      </c>
      <c r="AN44" s="7">
        <v>12</v>
      </c>
      <c r="AO44" s="14">
        <f t="shared" si="12"/>
        <v>32</v>
      </c>
      <c r="AP44" s="7">
        <v>0</v>
      </c>
      <c r="AQ44" s="7">
        <v>9</v>
      </c>
      <c r="AR44" s="14">
        <f t="shared" si="13"/>
        <v>23</v>
      </c>
      <c r="AS44" s="7">
        <v>20</v>
      </c>
      <c r="AT44" s="7">
        <v>11</v>
      </c>
      <c r="AU44" s="14">
        <f t="shared" si="14"/>
        <v>32</v>
      </c>
      <c r="AV44" s="7">
        <v>0</v>
      </c>
      <c r="AW44" s="7">
        <v>13</v>
      </c>
      <c r="AX44" s="17">
        <f t="shared" si="15"/>
        <v>19</v>
      </c>
      <c r="AY44" s="7">
        <v>0</v>
      </c>
      <c r="AZ44" s="7">
        <v>2</v>
      </c>
      <c r="BA44" s="17">
        <f t="shared" si="16"/>
        <v>17</v>
      </c>
      <c r="BB44" s="7">
        <v>0</v>
      </c>
      <c r="BC44" s="7">
        <v>11</v>
      </c>
      <c r="BD44" s="14">
        <f t="shared" si="17"/>
        <v>6</v>
      </c>
      <c r="BE44" s="7">
        <v>0</v>
      </c>
      <c r="BF44" s="7">
        <v>5</v>
      </c>
      <c r="BG44" s="14">
        <f t="shared" si="18"/>
        <v>1</v>
      </c>
      <c r="BH44" s="7">
        <v>20</v>
      </c>
      <c r="BI44" s="7">
        <v>4</v>
      </c>
      <c r="BJ44" s="14">
        <f t="shared" si="19"/>
        <v>17</v>
      </c>
      <c r="BK44" s="7">
        <v>0</v>
      </c>
      <c r="BL44" s="7">
        <v>0</v>
      </c>
      <c r="BM44" s="14">
        <f t="shared" si="20"/>
        <v>17</v>
      </c>
      <c r="BN44" s="7">
        <v>4</v>
      </c>
      <c r="BO44" s="14">
        <f t="shared" si="21"/>
        <v>13</v>
      </c>
      <c r="BP44" s="30"/>
    </row>
    <row r="45" spans="1:68" x14ac:dyDescent="0.2">
      <c r="A45" s="13" t="s">
        <v>119</v>
      </c>
      <c r="B45" s="26">
        <v>4</v>
      </c>
      <c r="C45" s="26">
        <v>0</v>
      </c>
      <c r="D45" s="15">
        <f t="shared" si="0"/>
        <v>4</v>
      </c>
      <c r="E45" s="26">
        <v>0</v>
      </c>
      <c r="F45" s="27">
        <f t="shared" si="1"/>
        <v>4</v>
      </c>
      <c r="G45" s="19">
        <v>0</v>
      </c>
      <c r="H45" s="27">
        <f t="shared" ref="H45:H56" si="28">F45-G45</f>
        <v>4</v>
      </c>
      <c r="I45" s="19">
        <v>0</v>
      </c>
      <c r="J45" s="20">
        <v>0</v>
      </c>
      <c r="K45" s="27">
        <f t="shared" si="26"/>
        <v>4</v>
      </c>
      <c r="L45" s="19">
        <v>0</v>
      </c>
      <c r="M45" s="20">
        <v>0</v>
      </c>
      <c r="N45" s="29">
        <f t="shared" si="27"/>
        <v>4</v>
      </c>
      <c r="O45" s="20">
        <v>0</v>
      </c>
      <c r="P45" s="19">
        <v>0</v>
      </c>
      <c r="Q45" s="27">
        <f t="shared" si="4"/>
        <v>4</v>
      </c>
      <c r="R45" s="19">
        <v>0</v>
      </c>
      <c r="S45" s="19">
        <v>0</v>
      </c>
      <c r="T45" s="27">
        <f t="shared" si="25"/>
        <v>4</v>
      </c>
      <c r="U45" s="19">
        <v>0</v>
      </c>
      <c r="V45" s="19">
        <v>0</v>
      </c>
      <c r="W45" s="19">
        <v>3</v>
      </c>
      <c r="X45" s="19">
        <v>0</v>
      </c>
      <c r="Y45" s="19">
        <v>0</v>
      </c>
      <c r="Z45" s="24">
        <f t="shared" si="7"/>
        <v>3</v>
      </c>
      <c r="AA45" s="19">
        <v>0</v>
      </c>
      <c r="AB45" s="19">
        <v>0</v>
      </c>
      <c r="AC45" s="8">
        <f t="shared" si="8"/>
        <v>3</v>
      </c>
      <c r="AD45" s="7">
        <v>0</v>
      </c>
      <c r="AE45" s="20">
        <v>0</v>
      </c>
      <c r="AF45" s="14">
        <f t="shared" si="9"/>
        <v>3</v>
      </c>
      <c r="AG45" s="19">
        <v>0</v>
      </c>
      <c r="AH45" s="20">
        <v>0</v>
      </c>
      <c r="AI45" s="17">
        <f>AF45+AG45-AH45</f>
        <v>3</v>
      </c>
      <c r="AJ45" s="15">
        <v>0</v>
      </c>
      <c r="AK45" s="20">
        <v>0</v>
      </c>
      <c r="AL45" s="14">
        <f t="shared" si="11"/>
        <v>3</v>
      </c>
      <c r="AM45" s="7">
        <v>0</v>
      </c>
      <c r="AN45" s="7">
        <v>0</v>
      </c>
      <c r="AO45" s="14">
        <f t="shared" si="12"/>
        <v>3</v>
      </c>
      <c r="AP45" s="7">
        <v>0</v>
      </c>
      <c r="AQ45" s="7">
        <v>0</v>
      </c>
      <c r="AR45" s="14">
        <f t="shared" si="13"/>
        <v>3</v>
      </c>
      <c r="AS45" s="7">
        <v>0</v>
      </c>
      <c r="AT45" s="7">
        <v>0</v>
      </c>
      <c r="AU45" s="14">
        <f t="shared" si="14"/>
        <v>3</v>
      </c>
      <c r="AV45" s="7">
        <v>0</v>
      </c>
      <c r="AW45" s="7">
        <v>0</v>
      </c>
      <c r="AX45" s="14">
        <f t="shared" si="15"/>
        <v>3</v>
      </c>
      <c r="AY45" s="7">
        <v>0</v>
      </c>
      <c r="AZ45" s="7">
        <v>1</v>
      </c>
      <c r="BA45" s="14">
        <f t="shared" si="16"/>
        <v>2</v>
      </c>
      <c r="BB45" s="7">
        <v>0</v>
      </c>
      <c r="BC45" s="7">
        <v>0</v>
      </c>
      <c r="BD45" s="14">
        <f t="shared" si="17"/>
        <v>2</v>
      </c>
      <c r="BE45" s="7">
        <v>0</v>
      </c>
      <c r="BF45" s="7">
        <v>0</v>
      </c>
      <c r="BG45" s="14">
        <f t="shared" si="18"/>
        <v>2</v>
      </c>
      <c r="BH45" s="7">
        <v>0</v>
      </c>
      <c r="BI45" s="7">
        <v>0</v>
      </c>
      <c r="BJ45" s="14">
        <f t="shared" si="19"/>
        <v>2</v>
      </c>
      <c r="BK45" s="7">
        <v>0</v>
      </c>
      <c r="BL45" s="7">
        <v>0</v>
      </c>
      <c r="BM45" s="14">
        <f t="shared" si="20"/>
        <v>2</v>
      </c>
      <c r="BN45" s="7">
        <v>0</v>
      </c>
      <c r="BO45" s="14">
        <f t="shared" si="21"/>
        <v>2</v>
      </c>
      <c r="BP45" s="23"/>
    </row>
    <row r="46" spans="1:68" x14ac:dyDescent="0.2">
      <c r="A46" s="13" t="s">
        <v>120</v>
      </c>
      <c r="B46" s="26">
        <v>3</v>
      </c>
      <c r="C46" s="26">
        <v>1</v>
      </c>
      <c r="D46" s="15">
        <f t="shared" si="0"/>
        <v>2</v>
      </c>
      <c r="E46" s="26">
        <v>0</v>
      </c>
      <c r="F46" s="27">
        <f t="shared" si="1"/>
        <v>2</v>
      </c>
      <c r="G46" s="19">
        <v>0</v>
      </c>
      <c r="H46" s="27">
        <f t="shared" si="28"/>
        <v>2</v>
      </c>
      <c r="I46" s="19">
        <v>0</v>
      </c>
      <c r="J46" s="20">
        <v>8</v>
      </c>
      <c r="K46" s="27">
        <f t="shared" si="26"/>
        <v>-6</v>
      </c>
      <c r="L46" s="19">
        <v>0</v>
      </c>
      <c r="M46" s="20">
        <v>0</v>
      </c>
      <c r="N46" s="29">
        <f t="shared" si="27"/>
        <v>-6</v>
      </c>
      <c r="O46" s="20">
        <v>1</v>
      </c>
      <c r="P46" s="19">
        <v>0</v>
      </c>
      <c r="Q46" s="27">
        <f t="shared" si="4"/>
        <v>-7</v>
      </c>
      <c r="R46" s="19">
        <v>0</v>
      </c>
      <c r="S46" s="19">
        <v>0</v>
      </c>
      <c r="T46" s="27">
        <f t="shared" si="25"/>
        <v>-7</v>
      </c>
      <c r="U46" s="19">
        <v>0</v>
      </c>
      <c r="V46" s="19">
        <v>0</v>
      </c>
      <c r="W46" s="19">
        <v>4</v>
      </c>
      <c r="X46" s="19">
        <v>0</v>
      </c>
      <c r="Y46" s="19">
        <v>0</v>
      </c>
      <c r="Z46" s="24">
        <f t="shared" si="7"/>
        <v>4</v>
      </c>
      <c r="AA46" s="19">
        <v>0</v>
      </c>
      <c r="AB46" s="19">
        <v>2</v>
      </c>
      <c r="AC46" s="8">
        <f t="shared" si="8"/>
        <v>2</v>
      </c>
      <c r="AD46" s="7">
        <v>0</v>
      </c>
      <c r="AE46" s="20">
        <v>2</v>
      </c>
      <c r="AF46" s="14">
        <f t="shared" si="9"/>
        <v>0</v>
      </c>
      <c r="AG46" s="19">
        <v>0</v>
      </c>
      <c r="AH46" s="20">
        <v>0</v>
      </c>
      <c r="AI46" s="17">
        <f>AF46+AG46-AH46</f>
        <v>0</v>
      </c>
      <c r="AJ46" s="15">
        <v>0</v>
      </c>
      <c r="AK46" s="20">
        <v>0</v>
      </c>
      <c r="AL46" s="14">
        <f t="shared" si="11"/>
        <v>0</v>
      </c>
      <c r="AM46" s="7">
        <v>0</v>
      </c>
      <c r="AN46" s="7">
        <v>0</v>
      </c>
      <c r="AO46" s="14">
        <f t="shared" si="12"/>
        <v>0</v>
      </c>
      <c r="AP46" s="7">
        <v>0</v>
      </c>
      <c r="AQ46" s="7">
        <v>0</v>
      </c>
      <c r="AR46" s="14">
        <f t="shared" si="13"/>
        <v>0</v>
      </c>
      <c r="AS46" s="7">
        <v>0</v>
      </c>
      <c r="AT46" s="7">
        <v>0</v>
      </c>
      <c r="AU46" s="14">
        <f t="shared" si="14"/>
        <v>0</v>
      </c>
      <c r="AV46" s="7">
        <v>0</v>
      </c>
      <c r="AW46" s="7">
        <v>0</v>
      </c>
      <c r="AX46" s="14">
        <f t="shared" si="15"/>
        <v>0</v>
      </c>
      <c r="AY46" s="7">
        <v>10</v>
      </c>
      <c r="AZ46" s="7">
        <v>1</v>
      </c>
      <c r="BA46" s="14">
        <f t="shared" si="16"/>
        <v>9</v>
      </c>
      <c r="BB46" s="7">
        <v>0</v>
      </c>
      <c r="BC46" s="7">
        <v>0</v>
      </c>
      <c r="BD46" s="14">
        <f t="shared" si="17"/>
        <v>9</v>
      </c>
      <c r="BE46" s="7">
        <v>0</v>
      </c>
      <c r="BF46" s="7">
        <v>0</v>
      </c>
      <c r="BG46" s="14">
        <f t="shared" si="18"/>
        <v>9</v>
      </c>
      <c r="BH46" s="7">
        <v>0</v>
      </c>
      <c r="BI46" s="7">
        <v>0</v>
      </c>
      <c r="BJ46" s="14">
        <f t="shared" si="19"/>
        <v>9</v>
      </c>
      <c r="BK46" s="7">
        <v>0</v>
      </c>
      <c r="BL46" s="7">
        <v>4</v>
      </c>
      <c r="BM46" s="14">
        <f t="shared" si="20"/>
        <v>5</v>
      </c>
      <c r="BN46" s="7">
        <v>1</v>
      </c>
      <c r="BO46" s="14">
        <f t="shared" si="21"/>
        <v>4</v>
      </c>
      <c r="BP46" s="23"/>
    </row>
    <row r="47" spans="1:68" x14ac:dyDescent="0.2">
      <c r="A47" s="13" t="s">
        <v>121</v>
      </c>
      <c r="B47" s="26">
        <v>1</v>
      </c>
      <c r="C47" s="26">
        <v>0</v>
      </c>
      <c r="D47" s="15">
        <f t="shared" si="0"/>
        <v>1</v>
      </c>
      <c r="E47" s="26">
        <v>0</v>
      </c>
      <c r="F47" s="27">
        <f t="shared" si="1"/>
        <v>1</v>
      </c>
      <c r="G47" s="19">
        <v>0</v>
      </c>
      <c r="H47" s="27">
        <f t="shared" si="28"/>
        <v>1</v>
      </c>
      <c r="I47" s="19">
        <v>0</v>
      </c>
      <c r="J47" s="20">
        <v>0</v>
      </c>
      <c r="K47" s="27">
        <f t="shared" si="26"/>
        <v>1</v>
      </c>
      <c r="L47" s="19">
        <v>2</v>
      </c>
      <c r="M47" s="20">
        <v>0</v>
      </c>
      <c r="N47" s="29">
        <f t="shared" si="27"/>
        <v>3</v>
      </c>
      <c r="O47" s="20">
        <v>0</v>
      </c>
      <c r="P47" s="19">
        <v>0</v>
      </c>
      <c r="Q47" s="27">
        <f t="shared" si="4"/>
        <v>3</v>
      </c>
      <c r="R47" s="19">
        <v>0</v>
      </c>
      <c r="S47" s="19">
        <v>0</v>
      </c>
      <c r="T47" s="27">
        <f t="shared" si="25"/>
        <v>3</v>
      </c>
      <c r="U47" s="19">
        <v>0</v>
      </c>
      <c r="V47" s="19">
        <v>0</v>
      </c>
      <c r="W47" s="19">
        <v>3</v>
      </c>
      <c r="X47" s="19">
        <v>0</v>
      </c>
      <c r="Y47" s="19">
        <v>0</v>
      </c>
      <c r="Z47" s="24">
        <f t="shared" si="7"/>
        <v>3</v>
      </c>
      <c r="AA47" s="19">
        <v>0</v>
      </c>
      <c r="AB47" s="19">
        <v>0</v>
      </c>
      <c r="AC47" s="8">
        <f t="shared" si="8"/>
        <v>3</v>
      </c>
      <c r="AD47" s="7">
        <v>0</v>
      </c>
      <c r="AE47" s="20">
        <v>0</v>
      </c>
      <c r="AF47" s="14">
        <f t="shared" si="9"/>
        <v>3</v>
      </c>
      <c r="AG47" s="19">
        <v>0</v>
      </c>
      <c r="AH47" s="20">
        <v>0</v>
      </c>
      <c r="AI47" s="17">
        <f>AF47+AG47-AH47</f>
        <v>3</v>
      </c>
      <c r="AJ47" s="15">
        <v>0</v>
      </c>
      <c r="AK47" s="20">
        <v>0</v>
      </c>
      <c r="AL47" s="14">
        <f t="shared" si="11"/>
        <v>3</v>
      </c>
      <c r="AM47" s="7">
        <v>0</v>
      </c>
      <c r="AN47" s="7">
        <v>0</v>
      </c>
      <c r="AO47" s="14">
        <f t="shared" si="12"/>
        <v>3</v>
      </c>
      <c r="AP47" s="7">
        <v>0</v>
      </c>
      <c r="AQ47" s="7">
        <v>0</v>
      </c>
      <c r="AR47" s="14">
        <f t="shared" si="13"/>
        <v>3</v>
      </c>
      <c r="AS47" s="7">
        <v>0</v>
      </c>
      <c r="AT47" s="7">
        <v>2</v>
      </c>
      <c r="AU47" s="14">
        <f t="shared" si="14"/>
        <v>1</v>
      </c>
      <c r="AV47" s="7">
        <v>2</v>
      </c>
      <c r="AW47" s="7">
        <v>0</v>
      </c>
      <c r="AX47" s="14">
        <f t="shared" si="15"/>
        <v>3</v>
      </c>
      <c r="AY47" s="7">
        <v>0</v>
      </c>
      <c r="AZ47" s="7">
        <v>0</v>
      </c>
      <c r="BA47" s="14">
        <f t="shared" si="16"/>
        <v>3</v>
      </c>
      <c r="BB47" s="7">
        <v>0</v>
      </c>
      <c r="BC47" s="7">
        <v>0</v>
      </c>
      <c r="BD47" s="14">
        <f t="shared" si="17"/>
        <v>3</v>
      </c>
      <c r="BE47" s="7">
        <v>0</v>
      </c>
      <c r="BF47" s="7">
        <v>0</v>
      </c>
      <c r="BG47" s="14">
        <f t="shared" si="18"/>
        <v>3</v>
      </c>
      <c r="BH47" s="7">
        <v>0</v>
      </c>
      <c r="BI47" s="7">
        <v>0</v>
      </c>
      <c r="BJ47" s="14">
        <f t="shared" si="19"/>
        <v>3</v>
      </c>
      <c r="BK47" s="7">
        <v>0</v>
      </c>
      <c r="BL47" s="7">
        <v>0</v>
      </c>
      <c r="BM47" s="14">
        <f t="shared" si="20"/>
        <v>3</v>
      </c>
      <c r="BN47" s="7">
        <v>0</v>
      </c>
      <c r="BO47" s="14">
        <f t="shared" si="21"/>
        <v>3</v>
      </c>
      <c r="BP47" s="23"/>
    </row>
    <row r="48" spans="1:68" x14ac:dyDescent="0.2">
      <c r="A48" s="13" t="s">
        <v>122</v>
      </c>
      <c r="B48" s="26">
        <v>10</v>
      </c>
      <c r="C48" s="26">
        <v>2</v>
      </c>
      <c r="D48" s="15">
        <f t="shared" si="0"/>
        <v>8</v>
      </c>
      <c r="E48" s="26">
        <v>3</v>
      </c>
      <c r="F48" s="27">
        <f t="shared" si="1"/>
        <v>5</v>
      </c>
      <c r="G48" s="19">
        <v>0</v>
      </c>
      <c r="H48" s="27">
        <f t="shared" si="28"/>
        <v>5</v>
      </c>
      <c r="I48" s="19">
        <v>0</v>
      </c>
      <c r="J48" s="20">
        <v>0</v>
      </c>
      <c r="K48" s="27">
        <f t="shared" si="26"/>
        <v>5</v>
      </c>
      <c r="L48" s="19">
        <v>0</v>
      </c>
      <c r="M48" s="20">
        <v>0</v>
      </c>
      <c r="N48" s="29">
        <f t="shared" si="27"/>
        <v>5</v>
      </c>
      <c r="O48" s="20">
        <v>0</v>
      </c>
      <c r="P48" s="19">
        <v>0</v>
      </c>
      <c r="Q48" s="27">
        <f t="shared" si="4"/>
        <v>5</v>
      </c>
      <c r="R48" s="19">
        <v>0</v>
      </c>
      <c r="S48" s="19">
        <v>0</v>
      </c>
      <c r="T48" s="27">
        <f t="shared" si="25"/>
        <v>5</v>
      </c>
      <c r="U48" s="19">
        <v>13</v>
      </c>
      <c r="V48" s="19">
        <v>20</v>
      </c>
      <c r="W48" s="19">
        <v>6</v>
      </c>
      <c r="X48" s="19">
        <v>0</v>
      </c>
      <c r="Y48" s="19">
        <v>0</v>
      </c>
      <c r="Z48" s="24">
        <f t="shared" si="7"/>
        <v>6</v>
      </c>
      <c r="AA48" s="19">
        <v>20</v>
      </c>
      <c r="AB48" s="19">
        <v>9</v>
      </c>
      <c r="AC48" s="8">
        <f t="shared" si="8"/>
        <v>17</v>
      </c>
      <c r="AD48" s="7">
        <v>0</v>
      </c>
      <c r="AE48" s="20">
        <v>0</v>
      </c>
      <c r="AF48" s="14">
        <f t="shared" si="9"/>
        <v>17</v>
      </c>
      <c r="AG48" s="19">
        <v>0</v>
      </c>
      <c r="AH48" s="20">
        <v>2</v>
      </c>
      <c r="AI48" s="33">
        <v>14</v>
      </c>
      <c r="AJ48" s="15">
        <v>0</v>
      </c>
      <c r="AK48" s="20">
        <v>0</v>
      </c>
      <c r="AL48" s="14">
        <f t="shared" si="11"/>
        <v>14</v>
      </c>
      <c r="AM48" s="7">
        <v>0</v>
      </c>
      <c r="AN48" s="7">
        <v>0</v>
      </c>
      <c r="AO48" s="14">
        <f t="shared" si="12"/>
        <v>14</v>
      </c>
      <c r="AP48" s="7">
        <v>0</v>
      </c>
      <c r="AQ48" s="7">
        <v>0</v>
      </c>
      <c r="AR48" s="14">
        <f t="shared" si="13"/>
        <v>14</v>
      </c>
      <c r="AS48" s="7">
        <v>0</v>
      </c>
      <c r="AT48" s="7">
        <v>10</v>
      </c>
      <c r="AU48" s="14">
        <f t="shared" si="14"/>
        <v>4</v>
      </c>
      <c r="AV48" s="7">
        <v>20</v>
      </c>
      <c r="AW48" s="7">
        <v>3</v>
      </c>
      <c r="AX48" s="14">
        <f t="shared" si="15"/>
        <v>21</v>
      </c>
      <c r="AY48" s="7">
        <v>0</v>
      </c>
      <c r="AZ48" s="7">
        <v>7</v>
      </c>
      <c r="BA48" s="17">
        <f t="shared" si="16"/>
        <v>14</v>
      </c>
      <c r="BB48" s="7">
        <v>0</v>
      </c>
      <c r="BC48" s="7">
        <v>0</v>
      </c>
      <c r="BD48" s="14">
        <f t="shared" si="17"/>
        <v>14</v>
      </c>
      <c r="BE48" s="7">
        <v>0</v>
      </c>
      <c r="BF48" s="7">
        <v>0</v>
      </c>
      <c r="BG48" s="14">
        <f t="shared" si="18"/>
        <v>14</v>
      </c>
      <c r="BH48" s="7">
        <v>0</v>
      </c>
      <c r="BI48" s="7">
        <v>0</v>
      </c>
      <c r="BJ48" s="14">
        <f t="shared" si="19"/>
        <v>14</v>
      </c>
      <c r="BK48" s="7">
        <v>0</v>
      </c>
      <c r="BL48" s="7">
        <v>0</v>
      </c>
      <c r="BM48" s="14">
        <f t="shared" si="20"/>
        <v>14</v>
      </c>
      <c r="BN48" s="7">
        <v>0</v>
      </c>
      <c r="BO48" s="14">
        <f t="shared" si="21"/>
        <v>14</v>
      </c>
      <c r="BP48" s="23"/>
    </row>
    <row r="49" spans="1:68" x14ac:dyDescent="0.2">
      <c r="A49" s="5" t="s">
        <v>197</v>
      </c>
      <c r="B49" s="26">
        <v>0</v>
      </c>
      <c r="C49" s="26">
        <v>0</v>
      </c>
      <c r="D49" s="15">
        <f t="shared" si="0"/>
        <v>0</v>
      </c>
      <c r="E49" s="26">
        <v>0</v>
      </c>
      <c r="F49" s="27">
        <f t="shared" si="1"/>
        <v>0</v>
      </c>
      <c r="G49" s="19">
        <v>0</v>
      </c>
      <c r="H49" s="27">
        <f t="shared" si="28"/>
        <v>0</v>
      </c>
      <c r="I49" s="19">
        <v>0</v>
      </c>
      <c r="J49" s="20">
        <v>0</v>
      </c>
      <c r="K49" s="27">
        <f t="shared" si="26"/>
        <v>0</v>
      </c>
      <c r="L49" s="19">
        <v>0</v>
      </c>
      <c r="M49" s="20">
        <v>0</v>
      </c>
      <c r="N49" s="29">
        <f t="shared" si="27"/>
        <v>0</v>
      </c>
      <c r="O49" s="20">
        <v>0</v>
      </c>
      <c r="P49" s="19">
        <v>0</v>
      </c>
      <c r="Q49" s="27">
        <f t="shared" si="4"/>
        <v>0</v>
      </c>
      <c r="R49" s="19">
        <v>0</v>
      </c>
      <c r="S49" s="19">
        <v>0</v>
      </c>
      <c r="T49" s="27">
        <f t="shared" si="25"/>
        <v>0</v>
      </c>
      <c r="U49" s="19">
        <v>0</v>
      </c>
      <c r="V49" s="19">
        <v>0</v>
      </c>
      <c r="W49" s="27">
        <f>T49+V49-U49</f>
        <v>0</v>
      </c>
      <c r="X49" s="19">
        <v>0</v>
      </c>
      <c r="Y49" s="19">
        <v>0</v>
      </c>
      <c r="Z49" s="27">
        <f t="shared" si="7"/>
        <v>0</v>
      </c>
      <c r="AA49" s="19">
        <v>0</v>
      </c>
      <c r="AB49" s="19">
        <v>0</v>
      </c>
      <c r="AC49" s="14">
        <f t="shared" si="8"/>
        <v>0</v>
      </c>
      <c r="AD49" s="7">
        <v>0</v>
      </c>
      <c r="AE49" s="20">
        <v>0</v>
      </c>
      <c r="AF49" s="14">
        <f t="shared" si="9"/>
        <v>0</v>
      </c>
      <c r="AG49" s="19">
        <v>6</v>
      </c>
      <c r="AH49" s="20">
        <v>0</v>
      </c>
      <c r="AI49" s="17">
        <f t="shared" ref="AI49:AI56" si="29">AF49+AG49-AH49</f>
        <v>6</v>
      </c>
      <c r="AJ49" s="15">
        <v>0</v>
      </c>
      <c r="AK49" s="20">
        <v>0</v>
      </c>
      <c r="AL49" s="14">
        <f t="shared" si="11"/>
        <v>6</v>
      </c>
      <c r="AM49" s="7">
        <v>0</v>
      </c>
      <c r="AN49" s="7">
        <v>0</v>
      </c>
      <c r="AO49" s="14">
        <f t="shared" si="12"/>
        <v>6</v>
      </c>
      <c r="AP49" s="7">
        <v>0</v>
      </c>
      <c r="AQ49" s="7">
        <v>0</v>
      </c>
      <c r="AR49" s="14">
        <f t="shared" si="13"/>
        <v>6</v>
      </c>
      <c r="AS49" s="7">
        <v>0</v>
      </c>
      <c r="AT49" s="7">
        <v>0</v>
      </c>
      <c r="AU49" s="14">
        <f t="shared" si="14"/>
        <v>6</v>
      </c>
      <c r="AV49" s="7">
        <v>0</v>
      </c>
      <c r="AW49" s="7">
        <v>0</v>
      </c>
      <c r="AX49" s="14">
        <f t="shared" si="15"/>
        <v>6</v>
      </c>
      <c r="AY49" s="7">
        <v>0</v>
      </c>
      <c r="AZ49" s="7">
        <v>0</v>
      </c>
      <c r="BA49" s="14">
        <f t="shared" si="16"/>
        <v>6</v>
      </c>
      <c r="BB49" s="7">
        <v>0</v>
      </c>
      <c r="BC49" s="7">
        <v>0</v>
      </c>
      <c r="BD49" s="14">
        <f t="shared" si="17"/>
        <v>6</v>
      </c>
      <c r="BE49" s="7">
        <v>0</v>
      </c>
      <c r="BF49" s="7">
        <v>0</v>
      </c>
      <c r="BG49" s="14">
        <f t="shared" si="18"/>
        <v>6</v>
      </c>
      <c r="BH49" s="7">
        <v>0</v>
      </c>
      <c r="BI49" s="7">
        <v>0</v>
      </c>
      <c r="BJ49" s="14">
        <f t="shared" si="19"/>
        <v>6</v>
      </c>
      <c r="BK49" s="7">
        <v>0</v>
      </c>
      <c r="BL49" s="7">
        <v>0</v>
      </c>
      <c r="BM49" s="14">
        <f t="shared" si="20"/>
        <v>6</v>
      </c>
      <c r="BN49" s="7">
        <v>0</v>
      </c>
      <c r="BO49" s="14">
        <f t="shared" si="21"/>
        <v>6</v>
      </c>
      <c r="BP49" s="23"/>
    </row>
    <row r="50" spans="1:68" x14ac:dyDescent="0.2">
      <c r="A50" s="5" t="s">
        <v>123</v>
      </c>
      <c r="B50" s="26">
        <v>0</v>
      </c>
      <c r="C50" s="26">
        <v>0</v>
      </c>
      <c r="D50" s="15">
        <f t="shared" si="0"/>
        <v>0</v>
      </c>
      <c r="E50" s="26">
        <v>0</v>
      </c>
      <c r="F50" s="27">
        <f t="shared" si="1"/>
        <v>0</v>
      </c>
      <c r="G50" s="19">
        <v>0</v>
      </c>
      <c r="H50" s="27">
        <f t="shared" si="28"/>
        <v>0</v>
      </c>
      <c r="I50" s="19">
        <v>0</v>
      </c>
      <c r="J50" s="20">
        <v>0</v>
      </c>
      <c r="K50" s="27">
        <f t="shared" si="26"/>
        <v>0</v>
      </c>
      <c r="L50" s="19">
        <v>0</v>
      </c>
      <c r="M50" s="20">
        <v>0</v>
      </c>
      <c r="N50" s="29">
        <f t="shared" si="27"/>
        <v>0</v>
      </c>
      <c r="O50" s="20">
        <v>0</v>
      </c>
      <c r="P50" s="19">
        <v>0</v>
      </c>
      <c r="Q50" s="27">
        <f t="shared" si="4"/>
        <v>0</v>
      </c>
      <c r="R50" s="19">
        <v>1</v>
      </c>
      <c r="S50" s="19">
        <v>6</v>
      </c>
      <c r="T50" s="27">
        <f t="shared" si="25"/>
        <v>5</v>
      </c>
      <c r="U50" s="19">
        <v>3</v>
      </c>
      <c r="V50" s="19">
        <v>0</v>
      </c>
      <c r="W50" s="27">
        <f>T50+V50-U50</f>
        <v>2</v>
      </c>
      <c r="X50" s="19">
        <v>0</v>
      </c>
      <c r="Y50" s="19">
        <v>0</v>
      </c>
      <c r="Z50" s="27">
        <f t="shared" si="7"/>
        <v>2</v>
      </c>
      <c r="AA50" s="19">
        <v>0</v>
      </c>
      <c r="AB50" s="19">
        <v>2</v>
      </c>
      <c r="AC50" s="14">
        <f t="shared" si="8"/>
        <v>0</v>
      </c>
      <c r="AD50" s="7">
        <v>0</v>
      </c>
      <c r="AE50" s="20">
        <v>0</v>
      </c>
      <c r="AF50" s="14">
        <f t="shared" si="9"/>
        <v>0</v>
      </c>
      <c r="AG50" s="19">
        <v>6</v>
      </c>
      <c r="AH50" s="20">
        <v>1</v>
      </c>
      <c r="AI50" s="17">
        <f t="shared" si="29"/>
        <v>5</v>
      </c>
      <c r="AJ50" s="15">
        <v>0</v>
      </c>
      <c r="AK50" s="20">
        <v>2</v>
      </c>
      <c r="AL50" s="14">
        <f t="shared" si="11"/>
        <v>3</v>
      </c>
      <c r="AM50" s="7">
        <v>0</v>
      </c>
      <c r="AN50" s="7">
        <v>1</v>
      </c>
      <c r="AO50" s="14">
        <f t="shared" si="12"/>
        <v>2</v>
      </c>
      <c r="AP50" s="7">
        <v>0</v>
      </c>
      <c r="AQ50" s="7">
        <v>2</v>
      </c>
      <c r="AR50" s="14">
        <f t="shared" si="13"/>
        <v>0</v>
      </c>
      <c r="AS50" s="7">
        <v>0</v>
      </c>
      <c r="AT50" s="7">
        <v>0</v>
      </c>
      <c r="AU50" s="14">
        <f t="shared" si="14"/>
        <v>0</v>
      </c>
      <c r="AV50" s="7">
        <v>6</v>
      </c>
      <c r="AW50" s="7">
        <v>1</v>
      </c>
      <c r="AX50" s="14">
        <f t="shared" si="15"/>
        <v>5</v>
      </c>
      <c r="AY50" s="7">
        <v>0</v>
      </c>
      <c r="AZ50" s="7">
        <v>4</v>
      </c>
      <c r="BA50" s="14">
        <f t="shared" si="16"/>
        <v>1</v>
      </c>
      <c r="BB50" s="7">
        <v>0</v>
      </c>
      <c r="BC50" s="7">
        <v>0</v>
      </c>
      <c r="BD50" s="14">
        <f t="shared" si="17"/>
        <v>1</v>
      </c>
      <c r="BE50" s="7">
        <v>0</v>
      </c>
      <c r="BF50" s="7">
        <v>0</v>
      </c>
      <c r="BG50" s="14">
        <f t="shared" si="18"/>
        <v>1</v>
      </c>
      <c r="BH50" s="7">
        <v>0</v>
      </c>
      <c r="BI50" s="7">
        <v>0</v>
      </c>
      <c r="BJ50" s="14">
        <f t="shared" si="19"/>
        <v>1</v>
      </c>
      <c r="BK50" s="7">
        <v>5</v>
      </c>
      <c r="BL50" s="7">
        <v>0</v>
      </c>
      <c r="BM50" s="14">
        <f t="shared" si="20"/>
        <v>6</v>
      </c>
      <c r="BN50" s="7">
        <v>0</v>
      </c>
      <c r="BO50" s="14">
        <f t="shared" si="21"/>
        <v>6</v>
      </c>
      <c r="BP50" s="23"/>
    </row>
    <row r="51" spans="1:68" x14ac:dyDescent="0.2">
      <c r="A51" s="5" t="s">
        <v>124</v>
      </c>
      <c r="B51" s="26">
        <v>2</v>
      </c>
      <c r="C51" s="26">
        <v>0</v>
      </c>
      <c r="D51" s="15">
        <f t="shared" si="0"/>
        <v>2</v>
      </c>
      <c r="E51" s="26">
        <v>1</v>
      </c>
      <c r="F51" s="27">
        <f t="shared" si="1"/>
        <v>1</v>
      </c>
      <c r="G51" s="19">
        <v>0</v>
      </c>
      <c r="H51" s="27">
        <f t="shared" si="28"/>
        <v>1</v>
      </c>
      <c r="I51" s="19">
        <v>0</v>
      </c>
      <c r="J51" s="20">
        <v>0</v>
      </c>
      <c r="K51" s="27">
        <f t="shared" si="26"/>
        <v>1</v>
      </c>
      <c r="L51" s="19">
        <v>0</v>
      </c>
      <c r="M51" s="20">
        <v>1</v>
      </c>
      <c r="N51" s="29">
        <f t="shared" si="27"/>
        <v>0</v>
      </c>
      <c r="O51" s="20">
        <v>0</v>
      </c>
      <c r="P51" s="19">
        <v>0</v>
      </c>
      <c r="Q51" s="27">
        <f t="shared" si="4"/>
        <v>0</v>
      </c>
      <c r="R51" s="19">
        <v>0</v>
      </c>
      <c r="S51" s="19">
        <v>6</v>
      </c>
      <c r="T51" s="27">
        <f t="shared" si="25"/>
        <v>6</v>
      </c>
      <c r="U51" s="19">
        <v>0</v>
      </c>
      <c r="V51" s="19">
        <v>0</v>
      </c>
      <c r="W51" s="27">
        <f>T51+V51-U51</f>
        <v>6</v>
      </c>
      <c r="X51" s="19">
        <v>0</v>
      </c>
      <c r="Y51" s="19">
        <v>0</v>
      </c>
      <c r="Z51" s="27">
        <f t="shared" si="7"/>
        <v>6</v>
      </c>
      <c r="AA51" s="19">
        <v>0</v>
      </c>
      <c r="AB51" s="19">
        <v>2</v>
      </c>
      <c r="AC51" s="14">
        <f t="shared" si="8"/>
        <v>4</v>
      </c>
      <c r="AD51" s="7">
        <v>0</v>
      </c>
      <c r="AE51" s="20">
        <v>3</v>
      </c>
      <c r="AF51" s="14">
        <f t="shared" si="9"/>
        <v>1</v>
      </c>
      <c r="AG51" s="19">
        <v>6</v>
      </c>
      <c r="AH51" s="20">
        <v>0</v>
      </c>
      <c r="AI51" s="17">
        <f t="shared" si="29"/>
        <v>7</v>
      </c>
      <c r="AJ51" s="15">
        <v>0</v>
      </c>
      <c r="AK51" s="20">
        <v>0</v>
      </c>
      <c r="AL51" s="14">
        <f t="shared" si="11"/>
        <v>7</v>
      </c>
      <c r="AM51" s="7">
        <v>0</v>
      </c>
      <c r="AN51" s="7">
        <v>0</v>
      </c>
      <c r="AO51" s="14">
        <f t="shared" si="12"/>
        <v>7</v>
      </c>
      <c r="AP51" s="7">
        <v>0</v>
      </c>
      <c r="AQ51" s="7">
        <v>2</v>
      </c>
      <c r="AR51" s="14">
        <f t="shared" si="13"/>
        <v>5</v>
      </c>
      <c r="AS51" s="7">
        <v>0</v>
      </c>
      <c r="AT51" s="7">
        <v>0</v>
      </c>
      <c r="AU51" s="14">
        <f t="shared" si="14"/>
        <v>5</v>
      </c>
      <c r="AV51" s="7">
        <v>1</v>
      </c>
      <c r="AW51" s="7">
        <v>0</v>
      </c>
      <c r="AX51" s="14">
        <f t="shared" si="15"/>
        <v>6</v>
      </c>
      <c r="AY51" s="7">
        <v>0</v>
      </c>
      <c r="AZ51" s="7">
        <v>0</v>
      </c>
      <c r="BA51" s="14">
        <f t="shared" si="16"/>
        <v>6</v>
      </c>
      <c r="BB51" s="7">
        <v>0</v>
      </c>
      <c r="BC51" s="7">
        <v>0</v>
      </c>
      <c r="BD51" s="14">
        <f t="shared" si="17"/>
        <v>6</v>
      </c>
      <c r="BE51" s="7">
        <v>0</v>
      </c>
      <c r="BF51" s="7">
        <v>0</v>
      </c>
      <c r="BG51" s="14">
        <f t="shared" si="18"/>
        <v>6</v>
      </c>
      <c r="BH51" s="7">
        <v>0</v>
      </c>
      <c r="BI51" s="7">
        <v>0</v>
      </c>
      <c r="BJ51" s="14">
        <f t="shared" si="19"/>
        <v>6</v>
      </c>
      <c r="BK51" s="7">
        <v>0</v>
      </c>
      <c r="BL51" s="7">
        <v>0</v>
      </c>
      <c r="BM51" s="14">
        <f t="shared" si="20"/>
        <v>6</v>
      </c>
      <c r="BN51" s="7">
        <v>0</v>
      </c>
      <c r="BO51" s="14">
        <f t="shared" si="21"/>
        <v>6</v>
      </c>
      <c r="BP51" s="30"/>
    </row>
    <row r="52" spans="1:68" x14ac:dyDescent="0.2">
      <c r="A52" s="5" t="s">
        <v>125</v>
      </c>
      <c r="B52" s="26">
        <v>1</v>
      </c>
      <c r="C52" s="26">
        <v>1</v>
      </c>
      <c r="D52" s="15">
        <f t="shared" si="0"/>
        <v>0</v>
      </c>
      <c r="E52" s="26">
        <v>0</v>
      </c>
      <c r="F52" s="27">
        <f t="shared" si="1"/>
        <v>0</v>
      </c>
      <c r="G52" s="19">
        <v>0</v>
      </c>
      <c r="H52" s="27">
        <f t="shared" si="28"/>
        <v>0</v>
      </c>
      <c r="I52" s="19">
        <v>0</v>
      </c>
      <c r="J52" s="20">
        <v>0</v>
      </c>
      <c r="K52" s="27">
        <f t="shared" si="26"/>
        <v>0</v>
      </c>
      <c r="L52" s="19">
        <v>0</v>
      </c>
      <c r="M52" s="20">
        <v>0</v>
      </c>
      <c r="N52" s="29">
        <f t="shared" si="27"/>
        <v>0</v>
      </c>
      <c r="O52" s="20">
        <v>0</v>
      </c>
      <c r="P52" s="19">
        <v>0</v>
      </c>
      <c r="Q52" s="27">
        <f t="shared" si="4"/>
        <v>0</v>
      </c>
      <c r="R52" s="19">
        <v>0</v>
      </c>
      <c r="S52" s="19">
        <v>6</v>
      </c>
      <c r="T52" s="27">
        <f t="shared" si="25"/>
        <v>6</v>
      </c>
      <c r="U52" s="19">
        <v>0</v>
      </c>
      <c r="V52" s="19">
        <v>0</v>
      </c>
      <c r="W52" s="27">
        <f>T52+V52-U52</f>
        <v>6</v>
      </c>
      <c r="X52" s="19">
        <v>0</v>
      </c>
      <c r="Y52" s="19">
        <v>0</v>
      </c>
      <c r="Z52" s="27">
        <f t="shared" si="7"/>
        <v>6</v>
      </c>
      <c r="AA52" s="19">
        <v>0</v>
      </c>
      <c r="AB52" s="19">
        <v>6</v>
      </c>
      <c r="AC52" s="14">
        <f t="shared" si="8"/>
        <v>0</v>
      </c>
      <c r="AD52" s="7">
        <v>0</v>
      </c>
      <c r="AE52" s="20">
        <v>0</v>
      </c>
      <c r="AF52" s="14">
        <f t="shared" si="9"/>
        <v>0</v>
      </c>
      <c r="AG52" s="19">
        <v>6</v>
      </c>
      <c r="AH52" s="20">
        <v>0</v>
      </c>
      <c r="AI52" s="17">
        <f t="shared" si="29"/>
        <v>6</v>
      </c>
      <c r="AJ52" s="15">
        <v>0</v>
      </c>
      <c r="AK52" s="20">
        <v>0</v>
      </c>
      <c r="AL52" s="14">
        <f t="shared" si="11"/>
        <v>6</v>
      </c>
      <c r="AM52" s="7">
        <v>0</v>
      </c>
      <c r="AN52" s="7">
        <v>0</v>
      </c>
      <c r="AO52" s="14">
        <f t="shared" si="12"/>
        <v>6</v>
      </c>
      <c r="AP52" s="7">
        <v>0</v>
      </c>
      <c r="AQ52" s="7">
        <v>4</v>
      </c>
      <c r="AR52" s="14">
        <f t="shared" si="13"/>
        <v>2</v>
      </c>
      <c r="AS52" s="7">
        <v>0</v>
      </c>
      <c r="AT52" s="7">
        <v>0</v>
      </c>
      <c r="AU52" s="14">
        <f t="shared" si="14"/>
        <v>2</v>
      </c>
      <c r="AV52" s="7">
        <v>4</v>
      </c>
      <c r="AW52" s="7">
        <v>1</v>
      </c>
      <c r="AX52" s="14">
        <f t="shared" si="15"/>
        <v>5</v>
      </c>
      <c r="AY52" s="7">
        <v>0</v>
      </c>
      <c r="AZ52" s="7">
        <v>0</v>
      </c>
      <c r="BA52" s="14">
        <f t="shared" si="16"/>
        <v>5</v>
      </c>
      <c r="BB52" s="7">
        <v>0</v>
      </c>
      <c r="BC52" s="7">
        <v>1</v>
      </c>
      <c r="BD52" s="14">
        <f t="shared" si="17"/>
        <v>4</v>
      </c>
      <c r="BE52" s="7">
        <v>0</v>
      </c>
      <c r="BF52" s="7">
        <v>2</v>
      </c>
      <c r="BG52" s="14">
        <f t="shared" si="18"/>
        <v>2</v>
      </c>
      <c r="BH52" s="7">
        <v>0</v>
      </c>
      <c r="BI52" s="7">
        <v>0</v>
      </c>
      <c r="BJ52" s="14">
        <f t="shared" si="19"/>
        <v>2</v>
      </c>
      <c r="BK52" s="7">
        <v>4</v>
      </c>
      <c r="BL52" s="7">
        <v>0</v>
      </c>
      <c r="BM52" s="14">
        <f t="shared" si="20"/>
        <v>6</v>
      </c>
      <c r="BN52" s="7">
        <v>3</v>
      </c>
      <c r="BO52" s="14">
        <f t="shared" si="21"/>
        <v>3</v>
      </c>
      <c r="BP52" s="30"/>
    </row>
    <row r="53" spans="1:68" x14ac:dyDescent="0.2">
      <c r="A53" s="21" t="s">
        <v>126</v>
      </c>
      <c r="B53" s="26">
        <v>2</v>
      </c>
      <c r="C53" s="26">
        <v>0</v>
      </c>
      <c r="D53" s="15">
        <f t="shared" si="0"/>
        <v>2</v>
      </c>
      <c r="E53" s="26">
        <v>1</v>
      </c>
      <c r="F53" s="27">
        <f t="shared" si="1"/>
        <v>1</v>
      </c>
      <c r="G53" s="19">
        <v>0</v>
      </c>
      <c r="H53" s="27">
        <f t="shared" si="28"/>
        <v>1</v>
      </c>
      <c r="I53" s="19">
        <v>0</v>
      </c>
      <c r="J53" s="20">
        <v>1</v>
      </c>
      <c r="K53" s="27">
        <f t="shared" si="26"/>
        <v>0</v>
      </c>
      <c r="L53" s="19">
        <v>0</v>
      </c>
      <c r="M53" s="20">
        <v>0</v>
      </c>
      <c r="N53" s="29">
        <f t="shared" si="27"/>
        <v>0</v>
      </c>
      <c r="O53" s="20">
        <v>0</v>
      </c>
      <c r="P53" s="19">
        <v>0</v>
      </c>
      <c r="Q53" s="27">
        <f t="shared" si="4"/>
        <v>0</v>
      </c>
      <c r="R53" s="19">
        <v>0</v>
      </c>
      <c r="S53" s="19">
        <v>0</v>
      </c>
      <c r="T53" s="27">
        <f t="shared" si="25"/>
        <v>0</v>
      </c>
      <c r="U53" s="19">
        <v>0</v>
      </c>
      <c r="V53" s="19">
        <v>0</v>
      </c>
      <c r="W53" s="27">
        <f>T53+V53-U53</f>
        <v>0</v>
      </c>
      <c r="X53" s="19">
        <v>0</v>
      </c>
      <c r="Y53" s="19">
        <v>0</v>
      </c>
      <c r="Z53" s="27">
        <f t="shared" si="7"/>
        <v>0</v>
      </c>
      <c r="AA53" s="19">
        <v>0</v>
      </c>
      <c r="AB53" s="19">
        <v>0</v>
      </c>
      <c r="AC53" s="14">
        <f t="shared" si="8"/>
        <v>0</v>
      </c>
      <c r="AD53" s="7">
        <v>0</v>
      </c>
      <c r="AE53" s="20">
        <v>0</v>
      </c>
      <c r="AF53" s="14">
        <f t="shared" si="9"/>
        <v>0</v>
      </c>
      <c r="AG53" s="19">
        <v>0</v>
      </c>
      <c r="AH53" s="20">
        <v>0</v>
      </c>
      <c r="AI53" s="14">
        <f t="shared" si="29"/>
        <v>0</v>
      </c>
      <c r="AJ53" s="15">
        <v>0</v>
      </c>
      <c r="AK53" s="20">
        <v>0</v>
      </c>
      <c r="AL53" s="14">
        <f t="shared" si="11"/>
        <v>0</v>
      </c>
      <c r="AM53" s="7">
        <v>0</v>
      </c>
      <c r="AN53" s="7">
        <v>0</v>
      </c>
      <c r="AO53" s="14">
        <f t="shared" si="12"/>
        <v>0</v>
      </c>
      <c r="AP53" s="7">
        <v>0</v>
      </c>
      <c r="AQ53" s="7">
        <v>0</v>
      </c>
      <c r="AR53" s="14">
        <f t="shared" si="13"/>
        <v>0</v>
      </c>
      <c r="AS53" s="7">
        <v>0</v>
      </c>
      <c r="AT53" s="7">
        <v>0</v>
      </c>
      <c r="AU53" s="14">
        <f t="shared" si="14"/>
        <v>0</v>
      </c>
      <c r="AV53" s="7">
        <v>0</v>
      </c>
      <c r="AW53" s="7">
        <v>0</v>
      </c>
      <c r="AX53" s="14">
        <f t="shared" si="15"/>
        <v>0</v>
      </c>
      <c r="AY53" s="7">
        <v>0</v>
      </c>
      <c r="AZ53" s="7">
        <v>0</v>
      </c>
      <c r="BA53" s="14">
        <f t="shared" si="16"/>
        <v>0</v>
      </c>
      <c r="BB53" s="7">
        <v>0</v>
      </c>
      <c r="BC53" s="7">
        <v>0</v>
      </c>
      <c r="BD53" s="14">
        <f t="shared" si="17"/>
        <v>0</v>
      </c>
      <c r="BE53" s="7">
        <v>0</v>
      </c>
      <c r="BF53" s="7">
        <v>0</v>
      </c>
      <c r="BG53" s="14">
        <f t="shared" si="18"/>
        <v>0</v>
      </c>
      <c r="BH53" s="7">
        <v>0</v>
      </c>
      <c r="BI53" s="7">
        <v>0</v>
      </c>
      <c r="BJ53" s="14">
        <f t="shared" si="19"/>
        <v>0</v>
      </c>
      <c r="BK53" s="7">
        <v>0</v>
      </c>
      <c r="BL53" s="7">
        <v>0</v>
      </c>
      <c r="BM53" s="14">
        <f t="shared" si="20"/>
        <v>0</v>
      </c>
      <c r="BN53" s="7">
        <v>0</v>
      </c>
      <c r="BO53" s="14">
        <f t="shared" si="21"/>
        <v>0</v>
      </c>
      <c r="BP53" s="23"/>
    </row>
    <row r="54" spans="1:68" x14ac:dyDescent="0.2">
      <c r="A54" s="21" t="s">
        <v>127</v>
      </c>
      <c r="B54" s="26">
        <v>0</v>
      </c>
      <c r="C54" s="26">
        <v>0</v>
      </c>
      <c r="D54" s="15">
        <f t="shared" si="0"/>
        <v>0</v>
      </c>
      <c r="E54" s="26">
        <v>0</v>
      </c>
      <c r="F54" s="27">
        <f t="shared" si="1"/>
        <v>0</v>
      </c>
      <c r="G54" s="19">
        <v>0</v>
      </c>
      <c r="H54" s="27">
        <f t="shared" si="28"/>
        <v>0</v>
      </c>
      <c r="I54" s="19">
        <v>30</v>
      </c>
      <c r="J54" s="20">
        <v>23</v>
      </c>
      <c r="K54" s="27">
        <f t="shared" si="26"/>
        <v>7</v>
      </c>
      <c r="L54" s="19">
        <v>0</v>
      </c>
      <c r="M54" s="20">
        <v>1</v>
      </c>
      <c r="N54" s="29">
        <f t="shared" si="27"/>
        <v>6</v>
      </c>
      <c r="O54" s="20">
        <v>1</v>
      </c>
      <c r="P54" s="19">
        <v>0</v>
      </c>
      <c r="Q54" s="27">
        <f t="shared" si="4"/>
        <v>5</v>
      </c>
      <c r="R54" s="19">
        <v>0</v>
      </c>
      <c r="S54" s="19">
        <v>0</v>
      </c>
      <c r="T54" s="27">
        <f t="shared" si="25"/>
        <v>5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24">
        <f t="shared" si="7"/>
        <v>0</v>
      </c>
      <c r="AA54" s="19">
        <v>0</v>
      </c>
      <c r="AB54" s="19">
        <v>0</v>
      </c>
      <c r="AC54" s="8">
        <f t="shared" si="8"/>
        <v>0</v>
      </c>
      <c r="AD54" s="7">
        <v>0</v>
      </c>
      <c r="AE54" s="20">
        <v>0</v>
      </c>
      <c r="AF54" s="14">
        <f t="shared" si="9"/>
        <v>0</v>
      </c>
      <c r="AG54" s="19">
        <v>0</v>
      </c>
      <c r="AH54" s="20">
        <v>0</v>
      </c>
      <c r="AI54" s="14">
        <f t="shared" si="29"/>
        <v>0</v>
      </c>
      <c r="AJ54" s="15">
        <v>0</v>
      </c>
      <c r="AK54" s="20">
        <v>0</v>
      </c>
      <c r="AL54" s="14">
        <f t="shared" si="11"/>
        <v>0</v>
      </c>
      <c r="AM54" s="7">
        <v>0</v>
      </c>
      <c r="AN54" s="7">
        <v>0</v>
      </c>
      <c r="AO54" s="14">
        <f t="shared" si="12"/>
        <v>0</v>
      </c>
      <c r="AP54" s="7">
        <v>0</v>
      </c>
      <c r="AQ54" s="7">
        <v>0</v>
      </c>
      <c r="AR54" s="14">
        <f t="shared" si="13"/>
        <v>0</v>
      </c>
      <c r="AS54" s="7">
        <v>0</v>
      </c>
      <c r="AT54" s="7">
        <v>0</v>
      </c>
      <c r="AU54" s="14">
        <f t="shared" si="14"/>
        <v>0</v>
      </c>
      <c r="AV54" s="7">
        <v>0</v>
      </c>
      <c r="AW54" s="7">
        <v>0</v>
      </c>
      <c r="AX54" s="14">
        <f t="shared" si="15"/>
        <v>0</v>
      </c>
      <c r="AY54" s="7">
        <v>0</v>
      </c>
      <c r="AZ54" s="7">
        <v>0</v>
      </c>
      <c r="BA54" s="14">
        <f t="shared" si="16"/>
        <v>0</v>
      </c>
      <c r="BB54" s="7">
        <v>0</v>
      </c>
      <c r="BC54" s="7">
        <v>0</v>
      </c>
      <c r="BD54" s="14">
        <f t="shared" si="17"/>
        <v>0</v>
      </c>
      <c r="BE54" s="7">
        <v>0</v>
      </c>
      <c r="BF54" s="7">
        <v>0</v>
      </c>
      <c r="BG54" s="14">
        <f t="shared" si="18"/>
        <v>0</v>
      </c>
      <c r="BH54" s="7">
        <v>0</v>
      </c>
      <c r="BI54" s="7">
        <v>0</v>
      </c>
      <c r="BJ54" s="14">
        <f t="shared" si="19"/>
        <v>0</v>
      </c>
      <c r="BK54" s="7">
        <v>0</v>
      </c>
      <c r="BL54" s="7">
        <v>0</v>
      </c>
      <c r="BM54" s="14">
        <f t="shared" si="20"/>
        <v>0</v>
      </c>
      <c r="BN54" s="7">
        <v>0</v>
      </c>
      <c r="BO54" s="14">
        <f t="shared" si="21"/>
        <v>0</v>
      </c>
      <c r="BP54" s="23"/>
    </row>
    <row r="55" spans="1:68" x14ac:dyDescent="0.2">
      <c r="A55" s="21" t="s">
        <v>128</v>
      </c>
      <c r="B55" s="26">
        <v>14</v>
      </c>
      <c r="C55" s="26">
        <v>0</v>
      </c>
      <c r="D55" s="15">
        <f t="shared" si="0"/>
        <v>14</v>
      </c>
      <c r="E55" s="26">
        <v>0</v>
      </c>
      <c r="F55" s="27">
        <f t="shared" si="1"/>
        <v>14</v>
      </c>
      <c r="G55" s="19">
        <v>1</v>
      </c>
      <c r="H55" s="27">
        <f t="shared" si="28"/>
        <v>13</v>
      </c>
      <c r="I55" s="19">
        <v>0</v>
      </c>
      <c r="J55" s="20">
        <v>10</v>
      </c>
      <c r="K55" s="27">
        <f t="shared" si="26"/>
        <v>3</v>
      </c>
      <c r="L55" s="19">
        <v>0</v>
      </c>
      <c r="M55" s="20">
        <v>0</v>
      </c>
      <c r="N55" s="29">
        <f t="shared" si="27"/>
        <v>3</v>
      </c>
      <c r="O55" s="20">
        <v>0</v>
      </c>
      <c r="P55" s="19">
        <v>0</v>
      </c>
      <c r="Q55" s="27">
        <f t="shared" si="4"/>
        <v>3</v>
      </c>
      <c r="R55" s="19">
        <v>0</v>
      </c>
      <c r="S55" s="19">
        <v>0</v>
      </c>
      <c r="T55" s="27">
        <f t="shared" si="25"/>
        <v>3</v>
      </c>
      <c r="U55" s="19">
        <v>0</v>
      </c>
      <c r="V55" s="19">
        <v>0</v>
      </c>
      <c r="W55" s="19">
        <v>1</v>
      </c>
      <c r="X55" s="19">
        <v>0</v>
      </c>
      <c r="Y55" s="19">
        <v>0</v>
      </c>
      <c r="Z55" s="24">
        <f t="shared" si="7"/>
        <v>1</v>
      </c>
      <c r="AA55" s="19">
        <v>0</v>
      </c>
      <c r="AB55" s="19">
        <v>0</v>
      </c>
      <c r="AC55" s="8">
        <f t="shared" si="8"/>
        <v>1</v>
      </c>
      <c r="AD55" s="7">
        <v>0</v>
      </c>
      <c r="AE55" s="20">
        <v>0</v>
      </c>
      <c r="AF55" s="14">
        <f t="shared" si="9"/>
        <v>1</v>
      </c>
      <c r="AG55" s="19">
        <v>0</v>
      </c>
      <c r="AH55" s="20">
        <v>0</v>
      </c>
      <c r="AI55" s="14">
        <f t="shared" si="29"/>
        <v>1</v>
      </c>
      <c r="AJ55" s="15">
        <v>0</v>
      </c>
      <c r="AK55" s="20">
        <v>0</v>
      </c>
      <c r="AL55" s="14">
        <f t="shared" si="11"/>
        <v>1</v>
      </c>
      <c r="AM55" s="7">
        <v>0</v>
      </c>
      <c r="AN55" s="7">
        <v>0</v>
      </c>
      <c r="AO55" s="14">
        <f t="shared" si="12"/>
        <v>1</v>
      </c>
      <c r="AP55" s="7">
        <v>0</v>
      </c>
      <c r="AQ55" s="7">
        <v>0</v>
      </c>
      <c r="AR55" s="14">
        <f t="shared" si="13"/>
        <v>1</v>
      </c>
      <c r="AS55" s="7">
        <v>0</v>
      </c>
      <c r="AT55" s="7">
        <v>0</v>
      </c>
      <c r="AU55" s="14">
        <f t="shared" si="14"/>
        <v>1</v>
      </c>
      <c r="AV55" s="7">
        <v>0</v>
      </c>
      <c r="AW55" s="7">
        <v>0</v>
      </c>
      <c r="AX55" s="14">
        <f t="shared" si="15"/>
        <v>1</v>
      </c>
      <c r="AY55" s="7">
        <v>0</v>
      </c>
      <c r="AZ55" s="7">
        <v>0</v>
      </c>
      <c r="BA55" s="14">
        <f t="shared" si="16"/>
        <v>1</v>
      </c>
      <c r="BB55" s="7">
        <v>0</v>
      </c>
      <c r="BC55" s="7">
        <v>0</v>
      </c>
      <c r="BD55" s="14">
        <f t="shared" si="17"/>
        <v>1</v>
      </c>
      <c r="BE55" s="7">
        <v>0</v>
      </c>
      <c r="BF55" s="7">
        <v>0</v>
      </c>
      <c r="BG55" s="14">
        <f t="shared" si="18"/>
        <v>1</v>
      </c>
      <c r="BH55" s="7">
        <v>0</v>
      </c>
      <c r="BI55" s="7">
        <v>0</v>
      </c>
      <c r="BJ55" s="14">
        <f t="shared" si="19"/>
        <v>1</v>
      </c>
      <c r="BK55" s="7">
        <v>0</v>
      </c>
      <c r="BL55" s="7">
        <v>0</v>
      </c>
      <c r="BM55" s="14">
        <f t="shared" si="20"/>
        <v>1</v>
      </c>
      <c r="BN55" s="7">
        <v>0</v>
      </c>
      <c r="BO55" s="14">
        <f t="shared" si="21"/>
        <v>1</v>
      </c>
      <c r="BP55" s="23"/>
    </row>
    <row r="56" spans="1:68" x14ac:dyDescent="0.2">
      <c r="A56" s="21" t="s">
        <v>129</v>
      </c>
      <c r="B56" s="26">
        <v>0</v>
      </c>
      <c r="C56" s="26">
        <v>0</v>
      </c>
      <c r="D56" s="15">
        <f t="shared" si="0"/>
        <v>0</v>
      </c>
      <c r="E56" s="26">
        <v>0</v>
      </c>
      <c r="F56" s="27">
        <f t="shared" si="1"/>
        <v>0</v>
      </c>
      <c r="G56" s="19">
        <v>0</v>
      </c>
      <c r="H56" s="27">
        <f t="shared" si="28"/>
        <v>0</v>
      </c>
      <c r="I56" s="19">
        <v>1</v>
      </c>
      <c r="J56" s="20">
        <v>1</v>
      </c>
      <c r="K56" s="19">
        <v>0</v>
      </c>
      <c r="L56" s="19">
        <v>0</v>
      </c>
      <c r="M56" s="20">
        <v>0</v>
      </c>
      <c r="N56" s="29">
        <f t="shared" si="27"/>
        <v>0</v>
      </c>
      <c r="O56" s="20">
        <v>1</v>
      </c>
      <c r="P56" s="19">
        <v>2</v>
      </c>
      <c r="Q56" s="27">
        <f t="shared" si="4"/>
        <v>1</v>
      </c>
      <c r="R56" s="19">
        <v>0</v>
      </c>
      <c r="S56" s="19">
        <v>0</v>
      </c>
      <c r="T56" s="27">
        <f t="shared" si="25"/>
        <v>1</v>
      </c>
      <c r="U56" s="19">
        <v>0</v>
      </c>
      <c r="V56" s="19">
        <v>0</v>
      </c>
      <c r="W56" s="27">
        <f>T56+V56-U56</f>
        <v>1</v>
      </c>
      <c r="X56" s="19">
        <v>0</v>
      </c>
      <c r="Y56" s="19">
        <v>1</v>
      </c>
      <c r="Z56" s="27">
        <f t="shared" si="7"/>
        <v>0</v>
      </c>
      <c r="AA56" s="19">
        <v>0</v>
      </c>
      <c r="AB56" s="19">
        <v>0</v>
      </c>
      <c r="AC56" s="14">
        <f t="shared" si="8"/>
        <v>0</v>
      </c>
      <c r="AD56" s="7">
        <v>0</v>
      </c>
      <c r="AE56" s="20">
        <v>0</v>
      </c>
      <c r="AF56" s="14">
        <f t="shared" si="9"/>
        <v>0</v>
      </c>
      <c r="AG56" s="19">
        <v>0</v>
      </c>
      <c r="AH56" s="20">
        <v>0</v>
      </c>
      <c r="AI56" s="14">
        <f t="shared" si="29"/>
        <v>0</v>
      </c>
      <c r="AJ56" s="15">
        <v>0</v>
      </c>
      <c r="AK56" s="20">
        <v>0</v>
      </c>
      <c r="AL56" s="14">
        <f t="shared" si="11"/>
        <v>0</v>
      </c>
      <c r="AM56" s="7">
        <v>0</v>
      </c>
      <c r="AN56" s="7">
        <v>0</v>
      </c>
      <c r="AO56" s="14">
        <f t="shared" si="12"/>
        <v>0</v>
      </c>
      <c r="AP56" s="7">
        <v>0</v>
      </c>
      <c r="AQ56" s="7">
        <v>0</v>
      </c>
      <c r="AR56" s="14">
        <f t="shared" si="13"/>
        <v>0</v>
      </c>
      <c r="AS56" s="7">
        <v>0</v>
      </c>
      <c r="AT56" s="7">
        <v>0</v>
      </c>
      <c r="AU56" s="14">
        <f t="shared" si="14"/>
        <v>0</v>
      </c>
      <c r="AV56" s="7">
        <v>0</v>
      </c>
      <c r="AW56" s="7">
        <v>0</v>
      </c>
      <c r="AX56" s="14">
        <f t="shared" si="15"/>
        <v>0</v>
      </c>
      <c r="AY56" s="7">
        <v>0</v>
      </c>
      <c r="AZ56" s="7">
        <v>0</v>
      </c>
      <c r="BA56" s="14">
        <f t="shared" si="16"/>
        <v>0</v>
      </c>
      <c r="BB56" s="7">
        <v>0</v>
      </c>
      <c r="BC56" s="7">
        <v>0</v>
      </c>
      <c r="BD56" s="14">
        <f t="shared" si="17"/>
        <v>0</v>
      </c>
      <c r="BE56" s="7">
        <v>0</v>
      </c>
      <c r="BF56" s="7">
        <v>0</v>
      </c>
      <c r="BG56" s="14">
        <f t="shared" si="18"/>
        <v>0</v>
      </c>
      <c r="BH56" s="7">
        <v>0</v>
      </c>
      <c r="BI56" s="7">
        <v>0</v>
      </c>
      <c r="BJ56" s="14">
        <f t="shared" si="19"/>
        <v>0</v>
      </c>
      <c r="BK56" s="7">
        <v>0</v>
      </c>
      <c r="BL56" s="7">
        <v>0</v>
      </c>
      <c r="BM56" s="7">
        <v>1</v>
      </c>
      <c r="BN56" s="7">
        <v>0</v>
      </c>
      <c r="BO56" s="8">
        <f t="shared" si="21"/>
        <v>1</v>
      </c>
      <c r="BP56" s="23"/>
    </row>
    <row r="57" spans="1:68" x14ac:dyDescent="0.2">
      <c r="A57" s="34"/>
      <c r="B57" s="35"/>
      <c r="C57" s="35"/>
      <c r="D57" s="35"/>
      <c r="E57" s="35"/>
      <c r="AJ57" s="23"/>
    </row>
    <row r="58" spans="1:68" x14ac:dyDescent="0.2">
      <c r="A58" s="34"/>
      <c r="B58" s="35"/>
      <c r="C58" s="35"/>
      <c r="D58" s="35"/>
      <c r="E58" s="35"/>
      <c r="H58" s="22" t="s">
        <v>198</v>
      </c>
      <c r="K58" s="22" t="s">
        <v>199</v>
      </c>
      <c r="Q58" s="36"/>
      <c r="T58" s="37"/>
      <c r="AJ58" s="23"/>
    </row>
    <row r="59" spans="1:68" x14ac:dyDescent="0.2">
      <c r="A59" s="34"/>
      <c r="B59" s="35"/>
      <c r="C59" s="35"/>
      <c r="D59" s="35"/>
      <c r="E59" s="35"/>
      <c r="Q59" s="37"/>
      <c r="T59" s="38" t="s">
        <v>200</v>
      </c>
      <c r="AJ59" s="23"/>
    </row>
    <row r="60" spans="1:68" x14ac:dyDescent="0.2">
      <c r="A60" s="34"/>
      <c r="B60" s="35"/>
      <c r="C60" s="35"/>
      <c r="D60" s="35"/>
      <c r="E60" s="35"/>
      <c r="Q60" s="37"/>
      <c r="T60" s="38" t="s">
        <v>201</v>
      </c>
      <c r="AJ60" s="23"/>
    </row>
    <row r="61" spans="1:68" x14ac:dyDescent="0.2">
      <c r="A61" s="34"/>
      <c r="B61" s="35"/>
      <c r="C61" s="35"/>
      <c r="D61" s="35"/>
      <c r="E61" s="35"/>
      <c r="Q61" s="36"/>
      <c r="AJ61" s="23"/>
    </row>
    <row r="62" spans="1:68" x14ac:dyDescent="0.2">
      <c r="A62" s="34"/>
      <c r="B62" s="35"/>
      <c r="C62" s="35"/>
      <c r="D62" s="35"/>
      <c r="E62" s="35"/>
      <c r="AJ62" s="23"/>
    </row>
    <row r="63" spans="1:68" x14ac:dyDescent="0.2">
      <c r="A63" s="34"/>
      <c r="B63" s="35"/>
      <c r="C63" s="35"/>
      <c r="D63" s="35"/>
      <c r="E63" s="35"/>
      <c r="AJ63" s="23"/>
    </row>
    <row r="64" spans="1:68" x14ac:dyDescent="0.2">
      <c r="A64" s="34"/>
      <c r="B64" s="35"/>
      <c r="C64" s="35"/>
      <c r="D64" s="35"/>
      <c r="E64" s="35"/>
      <c r="AJ64" s="23"/>
    </row>
    <row r="65" spans="1:36" x14ac:dyDescent="0.2">
      <c r="A65" s="34"/>
      <c r="B65" s="35"/>
      <c r="C65" s="35"/>
      <c r="D65" s="35"/>
      <c r="E65" s="35"/>
      <c r="AJ65" s="23"/>
    </row>
    <row r="66" spans="1:36" x14ac:dyDescent="0.2">
      <c r="A66" s="34"/>
      <c r="B66" s="35"/>
      <c r="C66" s="35"/>
      <c r="D66" s="35"/>
      <c r="E66" s="35"/>
      <c r="AJ66" s="23"/>
    </row>
    <row r="67" spans="1:36" x14ac:dyDescent="0.2">
      <c r="AJ67" s="23"/>
    </row>
    <row r="68" spans="1:36" x14ac:dyDescent="0.2">
      <c r="AJ68" s="23"/>
    </row>
    <row r="69" spans="1:36" x14ac:dyDescent="0.2">
      <c r="AJ69" s="23"/>
    </row>
    <row r="70" spans="1:36" x14ac:dyDescent="0.2">
      <c r="AJ70" s="23"/>
    </row>
    <row r="71" spans="1:36" x14ac:dyDescent="0.2">
      <c r="AJ71" s="23"/>
    </row>
    <row r="72" spans="1:36" x14ac:dyDescent="0.2">
      <c r="AJ72" s="23"/>
    </row>
    <row r="73" spans="1:36" x14ac:dyDescent="0.2">
      <c r="AJ73" s="23"/>
    </row>
    <row r="74" spans="1:36" x14ac:dyDescent="0.2">
      <c r="AJ74" s="23"/>
    </row>
    <row r="75" spans="1:36" x14ac:dyDescent="0.2">
      <c r="AJ75" s="23"/>
    </row>
    <row r="76" spans="1:36" x14ac:dyDescent="0.2">
      <c r="AJ76" s="23"/>
    </row>
    <row r="77" spans="1:36" x14ac:dyDescent="0.2">
      <c r="AJ77" s="23"/>
    </row>
    <row r="78" spans="1:36" x14ac:dyDescent="0.2">
      <c r="AJ78" s="23"/>
    </row>
    <row r="79" spans="1:36" x14ac:dyDescent="0.2">
      <c r="AJ79" s="23"/>
    </row>
    <row r="80" spans="1:36" x14ac:dyDescent="0.2">
      <c r="AJ80" s="23"/>
    </row>
    <row r="81" spans="36:36" x14ac:dyDescent="0.2">
      <c r="AJ81" s="23"/>
    </row>
    <row r="82" spans="36:36" x14ac:dyDescent="0.2">
      <c r="AJ82" s="23"/>
    </row>
    <row r="83" spans="36:36" x14ac:dyDescent="0.2">
      <c r="AJ83" s="23"/>
    </row>
    <row r="84" spans="36:36" x14ac:dyDescent="0.2">
      <c r="AJ84" s="23"/>
    </row>
    <row r="85" spans="36:36" x14ac:dyDescent="0.2">
      <c r="AJ85" s="23"/>
    </row>
    <row r="86" spans="36:36" x14ac:dyDescent="0.2">
      <c r="AJ86" s="23"/>
    </row>
    <row r="87" spans="36:36" x14ac:dyDescent="0.2">
      <c r="AJ87" s="23"/>
    </row>
    <row r="88" spans="36:36" x14ac:dyDescent="0.2">
      <c r="AJ88" s="23"/>
    </row>
    <row r="89" spans="36:36" x14ac:dyDescent="0.2">
      <c r="AJ89" s="23"/>
    </row>
    <row r="90" spans="36:36" x14ac:dyDescent="0.2">
      <c r="AJ90" s="23"/>
    </row>
    <row r="91" spans="36:36" x14ac:dyDescent="0.2">
      <c r="AJ91" s="23"/>
    </row>
    <row r="92" spans="36:36" x14ac:dyDescent="0.2">
      <c r="AJ92" s="23"/>
    </row>
    <row r="93" spans="36:36" x14ac:dyDescent="0.2">
      <c r="AJ93" s="23"/>
    </row>
    <row r="94" spans="36:36" x14ac:dyDescent="0.2">
      <c r="AJ94" s="23"/>
    </row>
    <row r="95" spans="36:36" x14ac:dyDescent="0.2">
      <c r="AJ95" s="23"/>
    </row>
    <row r="96" spans="36:36" x14ac:dyDescent="0.2">
      <c r="AJ96" s="23"/>
    </row>
    <row r="97" spans="36:36" x14ac:dyDescent="0.2">
      <c r="AJ97" s="23"/>
    </row>
    <row r="98" spans="36:36" x14ac:dyDescent="0.2">
      <c r="AJ98" s="23"/>
    </row>
    <row r="99" spans="36:36" x14ac:dyDescent="0.2">
      <c r="AJ99" s="23"/>
    </row>
    <row r="100" spans="36:36" x14ac:dyDescent="0.2">
      <c r="AJ100" s="23"/>
    </row>
    <row r="101" spans="36:36" x14ac:dyDescent="0.2">
      <c r="AJ101" s="23"/>
    </row>
    <row r="102" spans="36:36" x14ac:dyDescent="0.2">
      <c r="AJ102" s="23"/>
    </row>
    <row r="103" spans="36:36" x14ac:dyDescent="0.2">
      <c r="AJ103" s="23"/>
    </row>
    <row r="104" spans="36:36" x14ac:dyDescent="0.2">
      <c r="AJ104" s="23"/>
    </row>
    <row r="105" spans="36:36" x14ac:dyDescent="0.2">
      <c r="AJ105" s="23"/>
    </row>
    <row r="106" spans="36:36" x14ac:dyDescent="0.2">
      <c r="AJ106" s="23"/>
    </row>
    <row r="107" spans="36:36" x14ac:dyDescent="0.2">
      <c r="AJ107" s="23"/>
    </row>
    <row r="108" spans="36:36" x14ac:dyDescent="0.2">
      <c r="AJ108" s="23"/>
    </row>
    <row r="109" spans="36:36" x14ac:dyDescent="0.2">
      <c r="AJ109" s="23"/>
    </row>
    <row r="110" spans="36:36" x14ac:dyDescent="0.2">
      <c r="AJ110" s="23"/>
    </row>
    <row r="111" spans="36:36" x14ac:dyDescent="0.2">
      <c r="AJ111" s="23"/>
    </row>
    <row r="112" spans="36:36" x14ac:dyDescent="0.2">
      <c r="AJ112" s="23"/>
    </row>
    <row r="113" spans="36:36" x14ac:dyDescent="0.2">
      <c r="AJ113" s="23"/>
    </row>
    <row r="114" spans="36:36" x14ac:dyDescent="0.2">
      <c r="AJ114" s="23"/>
    </row>
    <row r="115" spans="36:36" x14ac:dyDescent="0.2">
      <c r="AJ115" s="23"/>
    </row>
    <row r="116" spans="36:36" x14ac:dyDescent="0.2">
      <c r="AJ116" s="23"/>
    </row>
    <row r="117" spans="36:36" x14ac:dyDescent="0.2">
      <c r="AJ117" s="23"/>
    </row>
    <row r="118" spans="36:36" x14ac:dyDescent="0.2">
      <c r="AJ118" s="23"/>
    </row>
    <row r="119" spans="36:36" x14ac:dyDescent="0.2">
      <c r="AJ119" s="23"/>
    </row>
    <row r="120" spans="36:36" x14ac:dyDescent="0.2">
      <c r="AJ120" s="23"/>
    </row>
    <row r="121" spans="36:36" x14ac:dyDescent="0.2">
      <c r="AJ121" s="23"/>
    </row>
    <row r="122" spans="36:36" x14ac:dyDescent="0.2">
      <c r="AJ122" s="23"/>
    </row>
    <row r="123" spans="36:36" x14ac:dyDescent="0.2">
      <c r="AJ123" s="23"/>
    </row>
    <row r="124" spans="36:36" x14ac:dyDescent="0.2">
      <c r="AJ124" s="23"/>
    </row>
    <row r="125" spans="36:36" x14ac:dyDescent="0.2">
      <c r="AJ125" s="23"/>
    </row>
    <row r="126" spans="36:36" x14ac:dyDescent="0.2">
      <c r="AJ126" s="23"/>
    </row>
    <row r="127" spans="36:36" x14ac:dyDescent="0.2">
      <c r="AJ127" s="23"/>
    </row>
    <row r="128" spans="36:36" x14ac:dyDescent="0.2">
      <c r="AJ128" s="23"/>
    </row>
    <row r="129" spans="36:36" x14ac:dyDescent="0.2">
      <c r="AJ129" s="23"/>
    </row>
    <row r="130" spans="36:36" x14ac:dyDescent="0.2">
      <c r="AJ130" s="23"/>
    </row>
    <row r="131" spans="36:36" x14ac:dyDescent="0.2">
      <c r="AJ131" s="23"/>
    </row>
    <row r="132" spans="36:36" x14ac:dyDescent="0.2">
      <c r="AJ132" s="23"/>
    </row>
    <row r="133" spans="36:36" x14ac:dyDescent="0.2">
      <c r="AJ133" s="23"/>
    </row>
    <row r="134" spans="36:36" x14ac:dyDescent="0.2">
      <c r="AJ134" s="23"/>
    </row>
    <row r="135" spans="36:36" x14ac:dyDescent="0.2">
      <c r="AJ135" s="23"/>
    </row>
    <row r="136" spans="36:36" x14ac:dyDescent="0.2">
      <c r="AJ136" s="23"/>
    </row>
    <row r="137" spans="36:36" x14ac:dyDescent="0.2">
      <c r="AJ137" s="23"/>
    </row>
    <row r="138" spans="36:36" x14ac:dyDescent="0.2">
      <c r="AJ138" s="23"/>
    </row>
    <row r="139" spans="36:36" x14ac:dyDescent="0.2">
      <c r="AJ139" s="23"/>
    </row>
    <row r="140" spans="36:36" x14ac:dyDescent="0.2">
      <c r="AJ140" s="23"/>
    </row>
    <row r="141" spans="36:36" x14ac:dyDescent="0.2">
      <c r="AJ141" s="23"/>
    </row>
    <row r="142" spans="36:36" x14ac:dyDescent="0.2">
      <c r="AJ142" s="23"/>
    </row>
    <row r="143" spans="36:36" x14ac:dyDescent="0.2">
      <c r="AJ143" s="23"/>
    </row>
    <row r="144" spans="36:36" x14ac:dyDescent="0.2">
      <c r="AJ144" s="23"/>
    </row>
    <row r="145" spans="36:36" x14ac:dyDescent="0.2">
      <c r="AJ145" s="23"/>
    </row>
    <row r="146" spans="36:36" x14ac:dyDescent="0.2">
      <c r="AJ146" s="23"/>
    </row>
    <row r="147" spans="36:36" x14ac:dyDescent="0.2">
      <c r="AJ147" s="23"/>
    </row>
    <row r="148" spans="36:36" x14ac:dyDescent="0.2">
      <c r="AJ148" s="23"/>
    </row>
    <row r="149" spans="36:36" x14ac:dyDescent="0.2">
      <c r="AJ149" s="23"/>
    </row>
    <row r="150" spans="36:36" x14ac:dyDescent="0.2">
      <c r="AJ150" s="23"/>
    </row>
    <row r="151" spans="36:36" x14ac:dyDescent="0.2">
      <c r="AJ151" s="23"/>
    </row>
    <row r="152" spans="36:36" x14ac:dyDescent="0.2">
      <c r="AJ152" s="23"/>
    </row>
    <row r="153" spans="36:36" x14ac:dyDescent="0.2">
      <c r="AJ153" s="23"/>
    </row>
    <row r="154" spans="36:36" x14ac:dyDescent="0.2">
      <c r="AJ154" s="23"/>
    </row>
    <row r="155" spans="36:36" x14ac:dyDescent="0.2">
      <c r="AJ155" s="23"/>
    </row>
    <row r="156" spans="36:36" x14ac:dyDescent="0.2">
      <c r="AJ156" s="23"/>
    </row>
    <row r="157" spans="36:36" x14ac:dyDescent="0.2">
      <c r="AJ157" s="23"/>
    </row>
    <row r="158" spans="36:36" x14ac:dyDescent="0.2">
      <c r="AJ158" s="23"/>
    </row>
    <row r="159" spans="36:36" x14ac:dyDescent="0.2">
      <c r="AJ159" s="23"/>
    </row>
    <row r="160" spans="36:36" x14ac:dyDescent="0.2">
      <c r="AJ160" s="23"/>
    </row>
    <row r="161" spans="36:36" x14ac:dyDescent="0.2">
      <c r="AJ161" s="23"/>
    </row>
    <row r="162" spans="36:36" x14ac:dyDescent="0.2">
      <c r="AJ162" s="23"/>
    </row>
    <row r="163" spans="36:36" x14ac:dyDescent="0.2">
      <c r="AJ163" s="23"/>
    </row>
    <row r="164" spans="36:36" x14ac:dyDescent="0.2">
      <c r="AJ164" s="23"/>
    </row>
    <row r="165" spans="36:36" x14ac:dyDescent="0.2">
      <c r="AJ165" s="23"/>
    </row>
    <row r="166" spans="36:36" x14ac:dyDescent="0.2">
      <c r="AJ166" s="23"/>
    </row>
    <row r="167" spans="36:36" x14ac:dyDescent="0.2">
      <c r="AJ167" s="23"/>
    </row>
    <row r="168" spans="36:36" x14ac:dyDescent="0.2">
      <c r="AJ168" s="23"/>
    </row>
    <row r="169" spans="36:36" x14ac:dyDescent="0.2">
      <c r="AJ169" s="23"/>
    </row>
    <row r="170" spans="36:36" x14ac:dyDescent="0.2">
      <c r="AJ170" s="23"/>
    </row>
    <row r="171" spans="36:36" x14ac:dyDescent="0.2">
      <c r="AJ171" s="23"/>
    </row>
    <row r="172" spans="36:36" x14ac:dyDescent="0.2">
      <c r="AJ172" s="23"/>
    </row>
    <row r="173" spans="36:36" x14ac:dyDescent="0.2">
      <c r="AJ173" s="23"/>
    </row>
    <row r="174" spans="36:36" x14ac:dyDescent="0.2">
      <c r="AJ174" s="23"/>
    </row>
    <row r="175" spans="36:36" x14ac:dyDescent="0.2">
      <c r="AJ175" s="23"/>
    </row>
    <row r="176" spans="36:36" x14ac:dyDescent="0.2">
      <c r="AJ176" s="23"/>
    </row>
    <row r="177" spans="36:36" x14ac:dyDescent="0.2">
      <c r="AJ177" s="23"/>
    </row>
    <row r="178" spans="36:36" x14ac:dyDescent="0.2">
      <c r="AJ178" s="23"/>
    </row>
    <row r="179" spans="36:36" x14ac:dyDescent="0.2">
      <c r="AJ179" s="23"/>
    </row>
    <row r="180" spans="36:36" x14ac:dyDescent="0.2">
      <c r="AJ180" s="23"/>
    </row>
    <row r="181" spans="36:36" x14ac:dyDescent="0.2">
      <c r="AJ181" s="23"/>
    </row>
    <row r="182" spans="36:36" x14ac:dyDescent="0.2">
      <c r="AJ182" s="23"/>
    </row>
    <row r="183" spans="36:36" x14ac:dyDescent="0.2">
      <c r="AJ183" s="23"/>
    </row>
    <row r="184" spans="36:36" x14ac:dyDescent="0.2">
      <c r="AJ184" s="23"/>
    </row>
    <row r="185" spans="36:36" x14ac:dyDescent="0.2">
      <c r="AJ185" s="23"/>
    </row>
    <row r="186" spans="36:36" x14ac:dyDescent="0.2">
      <c r="AJ186" s="23"/>
    </row>
    <row r="187" spans="36:36" x14ac:dyDescent="0.2">
      <c r="AJ187" s="23"/>
    </row>
    <row r="188" spans="36:36" x14ac:dyDescent="0.2">
      <c r="AJ188" s="23"/>
    </row>
    <row r="189" spans="36:36" x14ac:dyDescent="0.2">
      <c r="AJ189" s="23"/>
    </row>
    <row r="190" spans="36:36" x14ac:dyDescent="0.2">
      <c r="AJ190" s="23"/>
    </row>
    <row r="191" spans="36:36" x14ac:dyDescent="0.2">
      <c r="AJ191" s="23"/>
    </row>
    <row r="192" spans="36:36" x14ac:dyDescent="0.2">
      <c r="AJ192" s="23"/>
    </row>
    <row r="193" spans="36:36" x14ac:dyDescent="0.2">
      <c r="AJ193" s="23"/>
    </row>
    <row r="194" spans="36:36" x14ac:dyDescent="0.2">
      <c r="AJ194" s="23"/>
    </row>
    <row r="195" spans="36:36" x14ac:dyDescent="0.2">
      <c r="AJ195" s="23"/>
    </row>
    <row r="196" spans="36:36" x14ac:dyDescent="0.2">
      <c r="AJ196" s="23"/>
    </row>
    <row r="197" spans="36:36" x14ac:dyDescent="0.2">
      <c r="AJ197" s="23"/>
    </row>
    <row r="198" spans="36:36" x14ac:dyDescent="0.2">
      <c r="AJ198" s="23"/>
    </row>
    <row r="199" spans="36:36" x14ac:dyDescent="0.2">
      <c r="AJ199" s="23"/>
    </row>
    <row r="200" spans="36:36" x14ac:dyDescent="0.2">
      <c r="AJ200" s="23"/>
    </row>
    <row r="201" spans="36:36" x14ac:dyDescent="0.2">
      <c r="AJ201" s="23"/>
    </row>
    <row r="202" spans="36:36" x14ac:dyDescent="0.2">
      <c r="AJ202" s="23"/>
    </row>
    <row r="203" spans="36:36" x14ac:dyDescent="0.2">
      <c r="AJ203" s="23"/>
    </row>
    <row r="204" spans="36:36" x14ac:dyDescent="0.2">
      <c r="AJ204" s="23"/>
    </row>
    <row r="205" spans="36:36" x14ac:dyDescent="0.2">
      <c r="AJ205" s="23"/>
    </row>
    <row r="206" spans="36:36" x14ac:dyDescent="0.2">
      <c r="AJ206" s="23"/>
    </row>
    <row r="207" spans="36:36" x14ac:dyDescent="0.2">
      <c r="AJ207" s="23"/>
    </row>
    <row r="208" spans="36:36" x14ac:dyDescent="0.2">
      <c r="AJ208" s="23"/>
    </row>
    <row r="209" spans="36:36" x14ac:dyDescent="0.2">
      <c r="AJ209" s="23"/>
    </row>
    <row r="210" spans="36:36" x14ac:dyDescent="0.2">
      <c r="AJ210" s="23"/>
    </row>
    <row r="211" spans="36:36" x14ac:dyDescent="0.2">
      <c r="AJ211" s="23"/>
    </row>
    <row r="212" spans="36:36" x14ac:dyDescent="0.2">
      <c r="AJ212" s="23"/>
    </row>
    <row r="213" spans="36:36" x14ac:dyDescent="0.2">
      <c r="AJ213" s="23"/>
    </row>
    <row r="214" spans="36:36" x14ac:dyDescent="0.2">
      <c r="AJ214" s="23"/>
    </row>
    <row r="215" spans="36:36" x14ac:dyDescent="0.2">
      <c r="AJ215" s="23"/>
    </row>
    <row r="216" spans="36:36" x14ac:dyDescent="0.2">
      <c r="AJ216" s="23"/>
    </row>
    <row r="217" spans="36:36" x14ac:dyDescent="0.2">
      <c r="AJ217" s="23"/>
    </row>
    <row r="218" spans="36:36" x14ac:dyDescent="0.2">
      <c r="AJ218" s="23"/>
    </row>
    <row r="219" spans="36:36" x14ac:dyDescent="0.2">
      <c r="AJ219" s="23"/>
    </row>
    <row r="220" spans="36:36" x14ac:dyDescent="0.2">
      <c r="AJ220" s="23"/>
    </row>
    <row r="221" spans="36:36" x14ac:dyDescent="0.2">
      <c r="AJ221" s="23"/>
    </row>
    <row r="222" spans="36:36" x14ac:dyDescent="0.2">
      <c r="AJ222" s="23"/>
    </row>
    <row r="223" spans="36:36" x14ac:dyDescent="0.2">
      <c r="AJ223" s="23"/>
    </row>
    <row r="224" spans="36:36" x14ac:dyDescent="0.2">
      <c r="AJ224" s="23"/>
    </row>
    <row r="225" spans="36:36" x14ac:dyDescent="0.2">
      <c r="AJ225" s="23"/>
    </row>
    <row r="226" spans="36:36" x14ac:dyDescent="0.2">
      <c r="AJ226" s="23"/>
    </row>
    <row r="227" spans="36:36" x14ac:dyDescent="0.2">
      <c r="AJ227" s="23"/>
    </row>
    <row r="228" spans="36:36" x14ac:dyDescent="0.2">
      <c r="AJ228" s="23"/>
    </row>
    <row r="229" spans="36:36" x14ac:dyDescent="0.2">
      <c r="AJ229" s="23"/>
    </row>
    <row r="230" spans="36:36" x14ac:dyDescent="0.2">
      <c r="AJ230" s="23"/>
    </row>
    <row r="231" spans="36:36" x14ac:dyDescent="0.2">
      <c r="AJ231" s="23"/>
    </row>
    <row r="232" spans="36:36" x14ac:dyDescent="0.2">
      <c r="AJ232" s="23"/>
    </row>
    <row r="233" spans="36:36" x14ac:dyDescent="0.2">
      <c r="AJ233" s="23"/>
    </row>
    <row r="234" spans="36:36" x14ac:dyDescent="0.2">
      <c r="AJ234" s="23"/>
    </row>
    <row r="235" spans="36:36" x14ac:dyDescent="0.2">
      <c r="AJ235" s="23"/>
    </row>
    <row r="236" spans="36:36" x14ac:dyDescent="0.2">
      <c r="AJ236" s="23"/>
    </row>
    <row r="237" spans="36:36" x14ac:dyDescent="0.2">
      <c r="AJ237" s="23"/>
    </row>
    <row r="238" spans="36:36" x14ac:dyDescent="0.2">
      <c r="AJ238" s="23"/>
    </row>
    <row r="239" spans="36:36" x14ac:dyDescent="0.2">
      <c r="AJ239" s="23"/>
    </row>
    <row r="240" spans="36:36" x14ac:dyDescent="0.2">
      <c r="AJ240" s="23"/>
    </row>
    <row r="241" spans="36:36" x14ac:dyDescent="0.2">
      <c r="AJ241" s="23"/>
    </row>
    <row r="242" spans="36:36" x14ac:dyDescent="0.2">
      <c r="AJ242" s="23"/>
    </row>
    <row r="243" spans="36:36" x14ac:dyDescent="0.2">
      <c r="AJ243" s="23"/>
    </row>
    <row r="244" spans="36:36" x14ac:dyDescent="0.2">
      <c r="AJ244" s="23"/>
    </row>
    <row r="245" spans="36:36" x14ac:dyDescent="0.2">
      <c r="AJ245" s="23"/>
    </row>
    <row r="246" spans="36:36" x14ac:dyDescent="0.2">
      <c r="AJ246" s="23"/>
    </row>
    <row r="247" spans="36:36" x14ac:dyDescent="0.2">
      <c r="AJ247" s="23"/>
    </row>
    <row r="248" spans="36:36" x14ac:dyDescent="0.2">
      <c r="AJ248" s="23"/>
    </row>
    <row r="249" spans="36:36" x14ac:dyDescent="0.2">
      <c r="AJ249" s="23"/>
    </row>
    <row r="250" spans="36:36" x14ac:dyDescent="0.2">
      <c r="AJ250" s="23"/>
    </row>
    <row r="251" spans="36:36" x14ac:dyDescent="0.2">
      <c r="AJ251" s="23"/>
    </row>
    <row r="252" spans="36:36" x14ac:dyDescent="0.2">
      <c r="AJ252" s="23"/>
    </row>
    <row r="253" spans="36:36" x14ac:dyDescent="0.2">
      <c r="AJ253" s="23"/>
    </row>
    <row r="254" spans="36:36" x14ac:dyDescent="0.2">
      <c r="AJ254" s="23"/>
    </row>
    <row r="255" spans="36:36" x14ac:dyDescent="0.2">
      <c r="AJ255" s="23"/>
    </row>
    <row r="256" spans="36:36" x14ac:dyDescent="0.2">
      <c r="AJ256" s="23"/>
    </row>
    <row r="257" spans="36:36" x14ac:dyDescent="0.2">
      <c r="AJ257" s="23"/>
    </row>
    <row r="258" spans="36:36" x14ac:dyDescent="0.2">
      <c r="AJ258" s="23"/>
    </row>
    <row r="259" spans="36:36" x14ac:dyDescent="0.2">
      <c r="AJ259" s="23"/>
    </row>
    <row r="260" spans="36:36" x14ac:dyDescent="0.2">
      <c r="AJ260" s="23"/>
    </row>
    <row r="261" spans="36:36" x14ac:dyDescent="0.2">
      <c r="AJ261" s="23"/>
    </row>
    <row r="262" spans="36:36" x14ac:dyDescent="0.2">
      <c r="AJ262" s="23"/>
    </row>
    <row r="263" spans="36:36" x14ac:dyDescent="0.2">
      <c r="AJ263" s="23"/>
    </row>
    <row r="264" spans="36:36" x14ac:dyDescent="0.2">
      <c r="AJ264" s="23"/>
    </row>
    <row r="265" spans="36:36" x14ac:dyDescent="0.2">
      <c r="AJ265" s="23"/>
    </row>
    <row r="266" spans="36:36" x14ac:dyDescent="0.2">
      <c r="AJ266" s="23"/>
    </row>
    <row r="267" spans="36:36" x14ac:dyDescent="0.2">
      <c r="AJ267" s="23"/>
    </row>
    <row r="268" spans="36:36" x14ac:dyDescent="0.2">
      <c r="AJ268" s="23"/>
    </row>
    <row r="269" spans="36:36" x14ac:dyDescent="0.2">
      <c r="AJ269" s="23"/>
    </row>
    <row r="270" spans="36:36" x14ac:dyDescent="0.2">
      <c r="AJ270" s="23"/>
    </row>
    <row r="271" spans="36:36" x14ac:dyDescent="0.2">
      <c r="AJ271" s="23"/>
    </row>
    <row r="272" spans="36:36" x14ac:dyDescent="0.2">
      <c r="AJ272" s="23"/>
    </row>
    <row r="273" spans="36:36" x14ac:dyDescent="0.2">
      <c r="AJ273" s="23"/>
    </row>
    <row r="274" spans="36:36" x14ac:dyDescent="0.2">
      <c r="AJ274" s="23"/>
    </row>
    <row r="275" spans="36:36" x14ac:dyDescent="0.2">
      <c r="AJ275" s="23"/>
    </row>
    <row r="276" spans="36:36" x14ac:dyDescent="0.2">
      <c r="AJ276" s="23"/>
    </row>
    <row r="277" spans="36:36" x14ac:dyDescent="0.2">
      <c r="AJ277" s="23"/>
    </row>
    <row r="278" spans="36:36" x14ac:dyDescent="0.2">
      <c r="AJ278" s="23"/>
    </row>
    <row r="279" spans="36:36" x14ac:dyDescent="0.2">
      <c r="AJ279" s="23"/>
    </row>
    <row r="280" spans="36:36" x14ac:dyDescent="0.2">
      <c r="AJ280" s="23"/>
    </row>
    <row r="281" spans="36:36" x14ac:dyDescent="0.2">
      <c r="AJ281" s="23"/>
    </row>
    <row r="282" spans="36:36" x14ac:dyDescent="0.2">
      <c r="AJ282" s="23"/>
    </row>
    <row r="283" spans="36:36" x14ac:dyDescent="0.2">
      <c r="AJ283" s="23"/>
    </row>
    <row r="284" spans="36:36" x14ac:dyDescent="0.2">
      <c r="AJ284" s="23"/>
    </row>
    <row r="285" spans="36:36" x14ac:dyDescent="0.2">
      <c r="AJ285" s="23"/>
    </row>
    <row r="286" spans="36:36" x14ac:dyDescent="0.2">
      <c r="AJ286" s="23"/>
    </row>
    <row r="287" spans="36:36" x14ac:dyDescent="0.2">
      <c r="AJ287" s="23"/>
    </row>
    <row r="288" spans="36:36" x14ac:dyDescent="0.2">
      <c r="AJ288" s="23"/>
    </row>
    <row r="289" spans="36:36" x14ac:dyDescent="0.2">
      <c r="AJ289" s="23"/>
    </row>
    <row r="290" spans="36:36" x14ac:dyDescent="0.2">
      <c r="AJ290" s="23"/>
    </row>
    <row r="291" spans="36:36" x14ac:dyDescent="0.2">
      <c r="AJ291" s="23"/>
    </row>
    <row r="292" spans="36:36" x14ac:dyDescent="0.2">
      <c r="AJ292" s="23"/>
    </row>
    <row r="293" spans="36:36" x14ac:dyDescent="0.2">
      <c r="AJ293" s="23"/>
    </row>
    <row r="294" spans="36:36" x14ac:dyDescent="0.2">
      <c r="AJ294" s="23"/>
    </row>
    <row r="295" spans="36:36" x14ac:dyDescent="0.2">
      <c r="AJ295" s="23"/>
    </row>
    <row r="296" spans="36:36" x14ac:dyDescent="0.2">
      <c r="AJ296" s="23"/>
    </row>
    <row r="297" spans="36:36" x14ac:dyDescent="0.2">
      <c r="AJ297" s="23"/>
    </row>
    <row r="298" spans="36:36" x14ac:dyDescent="0.2">
      <c r="AJ298" s="23"/>
    </row>
    <row r="299" spans="36:36" x14ac:dyDescent="0.2">
      <c r="AJ299" s="23"/>
    </row>
    <row r="300" spans="36:36" x14ac:dyDescent="0.2">
      <c r="AJ300" s="23"/>
    </row>
    <row r="301" spans="36:36" x14ac:dyDescent="0.2">
      <c r="AJ301" s="23"/>
    </row>
    <row r="302" spans="36:36" x14ac:dyDescent="0.2">
      <c r="AJ302" s="23"/>
    </row>
    <row r="303" spans="36:36" x14ac:dyDescent="0.2">
      <c r="AJ303" s="23"/>
    </row>
    <row r="304" spans="36:36" x14ac:dyDescent="0.2">
      <c r="AJ304" s="23"/>
    </row>
    <row r="305" spans="36:36" x14ac:dyDescent="0.2">
      <c r="AJ305" s="23"/>
    </row>
    <row r="306" spans="36:36" x14ac:dyDescent="0.2">
      <c r="AJ306" s="23"/>
    </row>
    <row r="307" spans="36:36" x14ac:dyDescent="0.2">
      <c r="AJ307" s="23"/>
    </row>
    <row r="308" spans="36:36" x14ac:dyDescent="0.2">
      <c r="AJ308" s="23"/>
    </row>
    <row r="309" spans="36:36" x14ac:dyDescent="0.2">
      <c r="AJ309" s="23"/>
    </row>
    <row r="310" spans="36:36" x14ac:dyDescent="0.2">
      <c r="AJ310" s="23"/>
    </row>
    <row r="311" spans="36:36" x14ac:dyDescent="0.2">
      <c r="AJ311" s="23"/>
    </row>
    <row r="312" spans="36:36" x14ac:dyDescent="0.2">
      <c r="AJ312" s="23"/>
    </row>
    <row r="313" spans="36:36" x14ac:dyDescent="0.2">
      <c r="AJ313" s="23"/>
    </row>
    <row r="314" spans="36:36" x14ac:dyDescent="0.2">
      <c r="AJ314" s="23"/>
    </row>
    <row r="315" spans="36:36" x14ac:dyDescent="0.2">
      <c r="AJ315" s="23"/>
    </row>
    <row r="316" spans="36:36" x14ac:dyDescent="0.2">
      <c r="AJ316" s="23"/>
    </row>
    <row r="317" spans="36:36" x14ac:dyDescent="0.2">
      <c r="AJ317" s="23"/>
    </row>
    <row r="318" spans="36:36" x14ac:dyDescent="0.2">
      <c r="AJ318" s="23"/>
    </row>
    <row r="319" spans="36:36" x14ac:dyDescent="0.2">
      <c r="AJ319" s="23"/>
    </row>
    <row r="320" spans="36:36" x14ac:dyDescent="0.2">
      <c r="AJ320" s="23"/>
    </row>
    <row r="321" spans="36:36" x14ac:dyDescent="0.2">
      <c r="AJ321" s="23"/>
    </row>
    <row r="322" spans="36:36" x14ac:dyDescent="0.2">
      <c r="AJ322" s="23"/>
    </row>
    <row r="323" spans="36:36" x14ac:dyDescent="0.2">
      <c r="AJ323" s="23"/>
    </row>
    <row r="324" spans="36:36" x14ac:dyDescent="0.2">
      <c r="AJ324" s="23"/>
    </row>
    <row r="325" spans="36:36" x14ac:dyDescent="0.2">
      <c r="AJ325" s="23"/>
    </row>
    <row r="326" spans="36:36" x14ac:dyDescent="0.2">
      <c r="AJ326" s="23"/>
    </row>
    <row r="327" spans="36:36" x14ac:dyDescent="0.2">
      <c r="AJ327" s="23"/>
    </row>
    <row r="328" spans="36:36" x14ac:dyDescent="0.2">
      <c r="AJ328" s="23"/>
    </row>
    <row r="329" spans="36:36" x14ac:dyDescent="0.2">
      <c r="AJ329" s="23"/>
    </row>
    <row r="330" spans="36:36" x14ac:dyDescent="0.2">
      <c r="AJ330" s="23"/>
    </row>
    <row r="331" spans="36:36" x14ac:dyDescent="0.2">
      <c r="AJ331" s="23"/>
    </row>
    <row r="332" spans="36:36" x14ac:dyDescent="0.2">
      <c r="AJ332" s="23"/>
    </row>
    <row r="333" spans="36:36" x14ac:dyDescent="0.2">
      <c r="AJ333" s="23"/>
    </row>
    <row r="334" spans="36:36" x14ac:dyDescent="0.2">
      <c r="AJ334" s="23"/>
    </row>
    <row r="335" spans="36:36" x14ac:dyDescent="0.2">
      <c r="AJ335" s="23"/>
    </row>
    <row r="336" spans="36:36" x14ac:dyDescent="0.2">
      <c r="AJ336" s="23"/>
    </row>
    <row r="337" spans="36:36" x14ac:dyDescent="0.2">
      <c r="AJ337" s="23"/>
    </row>
    <row r="338" spans="36:36" x14ac:dyDescent="0.2">
      <c r="AJ338" s="23"/>
    </row>
    <row r="339" spans="36:36" x14ac:dyDescent="0.2">
      <c r="AJ339" s="23"/>
    </row>
    <row r="340" spans="36:36" x14ac:dyDescent="0.2">
      <c r="AJ340" s="23"/>
    </row>
    <row r="341" spans="36:36" x14ac:dyDescent="0.2">
      <c r="AJ341" s="23"/>
    </row>
    <row r="342" spans="36:36" x14ac:dyDescent="0.2">
      <c r="AJ342" s="23"/>
    </row>
    <row r="343" spans="36:36" x14ac:dyDescent="0.2">
      <c r="AJ343" s="23"/>
    </row>
    <row r="344" spans="36:36" x14ac:dyDescent="0.2">
      <c r="AJ344" s="23"/>
    </row>
    <row r="345" spans="36:36" x14ac:dyDescent="0.2">
      <c r="AJ345" s="23"/>
    </row>
    <row r="346" spans="36:36" x14ac:dyDescent="0.2">
      <c r="AJ346" s="23"/>
    </row>
    <row r="347" spans="36:36" x14ac:dyDescent="0.2">
      <c r="AJ347" s="23"/>
    </row>
    <row r="348" spans="36:36" x14ac:dyDescent="0.2">
      <c r="AJ348" s="23"/>
    </row>
    <row r="349" spans="36:36" x14ac:dyDescent="0.2">
      <c r="AJ349" s="23"/>
    </row>
    <row r="350" spans="36:36" x14ac:dyDescent="0.2">
      <c r="AJ350" s="23"/>
    </row>
    <row r="351" spans="36:36" x14ac:dyDescent="0.2">
      <c r="AJ351" s="23"/>
    </row>
    <row r="352" spans="36:36" x14ac:dyDescent="0.2">
      <c r="AJ352" s="23"/>
    </row>
    <row r="353" spans="36:36" x14ac:dyDescent="0.2">
      <c r="AJ353" s="23"/>
    </row>
    <row r="354" spans="36:36" x14ac:dyDescent="0.2">
      <c r="AJ354" s="23"/>
    </row>
    <row r="355" spans="36:36" x14ac:dyDescent="0.2">
      <c r="AJ355" s="23"/>
    </row>
    <row r="356" spans="36:36" x14ac:dyDescent="0.2">
      <c r="AJ356" s="23"/>
    </row>
    <row r="357" spans="36:36" x14ac:dyDescent="0.2">
      <c r="AJ357" s="23"/>
    </row>
    <row r="358" spans="36:36" x14ac:dyDescent="0.2">
      <c r="AJ358" s="23"/>
    </row>
    <row r="359" spans="36:36" x14ac:dyDescent="0.2">
      <c r="AJ359" s="23"/>
    </row>
    <row r="360" spans="36:36" x14ac:dyDescent="0.2">
      <c r="AJ360" s="23"/>
    </row>
    <row r="361" spans="36:36" x14ac:dyDescent="0.2">
      <c r="AJ361" s="23"/>
    </row>
    <row r="362" spans="36:36" x14ac:dyDescent="0.2">
      <c r="AJ362" s="23"/>
    </row>
    <row r="363" spans="36:36" x14ac:dyDescent="0.2">
      <c r="AJ363" s="23"/>
    </row>
    <row r="364" spans="36:36" x14ac:dyDescent="0.2">
      <c r="AJ364" s="23"/>
    </row>
    <row r="365" spans="36:36" x14ac:dyDescent="0.2">
      <c r="AJ365" s="23"/>
    </row>
    <row r="366" spans="36:36" x14ac:dyDescent="0.2">
      <c r="AJ366" s="23"/>
    </row>
    <row r="367" spans="36:36" x14ac:dyDescent="0.2">
      <c r="AJ367" s="23"/>
    </row>
    <row r="368" spans="36:36" x14ac:dyDescent="0.2">
      <c r="AJ368" s="23"/>
    </row>
    <row r="369" spans="36:36" x14ac:dyDescent="0.2">
      <c r="AJ369" s="23"/>
    </row>
    <row r="370" spans="36:36" x14ac:dyDescent="0.2">
      <c r="AJ370" s="23"/>
    </row>
    <row r="371" spans="36:36" x14ac:dyDescent="0.2">
      <c r="AJ371" s="23"/>
    </row>
    <row r="372" spans="36:36" x14ac:dyDescent="0.2">
      <c r="AJ372" s="23"/>
    </row>
    <row r="373" spans="36:36" x14ac:dyDescent="0.2">
      <c r="AJ373" s="23"/>
    </row>
    <row r="374" spans="36:36" x14ac:dyDescent="0.2">
      <c r="AJ374" s="23"/>
    </row>
    <row r="375" spans="36:36" x14ac:dyDescent="0.2">
      <c r="AJ375" s="23"/>
    </row>
    <row r="376" spans="36:36" x14ac:dyDescent="0.2">
      <c r="AJ376" s="23"/>
    </row>
    <row r="377" spans="36:36" x14ac:dyDescent="0.2">
      <c r="AJ377" s="23"/>
    </row>
    <row r="378" spans="36:36" x14ac:dyDescent="0.2">
      <c r="AJ378" s="23"/>
    </row>
    <row r="379" spans="36:36" x14ac:dyDescent="0.2">
      <c r="AJ379" s="23"/>
    </row>
    <row r="380" spans="36:36" x14ac:dyDescent="0.2">
      <c r="AJ380" s="23"/>
    </row>
    <row r="381" spans="36:36" x14ac:dyDescent="0.2">
      <c r="AJ381" s="23"/>
    </row>
    <row r="382" spans="36:36" x14ac:dyDescent="0.2">
      <c r="AJ382" s="23"/>
    </row>
    <row r="383" spans="36:36" x14ac:dyDescent="0.2">
      <c r="AJ383" s="23"/>
    </row>
    <row r="384" spans="36:36" x14ac:dyDescent="0.2">
      <c r="AJ384" s="23"/>
    </row>
    <row r="385" spans="36:36" x14ac:dyDescent="0.2">
      <c r="AJ385" s="23"/>
    </row>
    <row r="386" spans="36:36" x14ac:dyDescent="0.2">
      <c r="AJ386" s="23"/>
    </row>
    <row r="387" spans="36:36" x14ac:dyDescent="0.2">
      <c r="AJ387" s="23"/>
    </row>
    <row r="388" spans="36:36" x14ac:dyDescent="0.2">
      <c r="AJ388" s="23"/>
    </row>
    <row r="389" spans="36:36" x14ac:dyDescent="0.2">
      <c r="AJ389" s="23"/>
    </row>
    <row r="390" spans="36:36" x14ac:dyDescent="0.2">
      <c r="AJ390" s="23"/>
    </row>
    <row r="391" spans="36:36" x14ac:dyDescent="0.2">
      <c r="AJ391" s="23"/>
    </row>
    <row r="392" spans="36:36" x14ac:dyDescent="0.2">
      <c r="AJ392" s="23"/>
    </row>
    <row r="393" spans="36:36" x14ac:dyDescent="0.2">
      <c r="AJ393" s="23"/>
    </row>
    <row r="394" spans="36:36" x14ac:dyDescent="0.2">
      <c r="AJ394" s="23"/>
    </row>
    <row r="395" spans="36:36" x14ac:dyDescent="0.2">
      <c r="AJ395" s="23"/>
    </row>
    <row r="396" spans="36:36" x14ac:dyDescent="0.2">
      <c r="AJ396" s="23"/>
    </row>
    <row r="397" spans="36:36" x14ac:dyDescent="0.2">
      <c r="AJ397" s="23"/>
    </row>
    <row r="398" spans="36:36" x14ac:dyDescent="0.2">
      <c r="AJ398" s="23"/>
    </row>
    <row r="399" spans="36:36" x14ac:dyDescent="0.2">
      <c r="AJ399" s="23"/>
    </row>
    <row r="400" spans="36:36" x14ac:dyDescent="0.2">
      <c r="AJ400" s="23"/>
    </row>
    <row r="401" spans="36:36" x14ac:dyDescent="0.2">
      <c r="AJ401" s="23"/>
    </row>
    <row r="402" spans="36:36" x14ac:dyDescent="0.2">
      <c r="AJ402" s="23"/>
    </row>
    <row r="403" spans="36:36" x14ac:dyDescent="0.2">
      <c r="AJ403" s="23"/>
    </row>
    <row r="404" spans="36:36" x14ac:dyDescent="0.2">
      <c r="AJ404" s="23"/>
    </row>
    <row r="405" spans="36:36" x14ac:dyDescent="0.2">
      <c r="AJ405" s="23"/>
    </row>
    <row r="406" spans="36:36" x14ac:dyDescent="0.2">
      <c r="AJ406" s="23"/>
    </row>
    <row r="407" spans="36:36" x14ac:dyDescent="0.2">
      <c r="AJ407" s="23"/>
    </row>
    <row r="408" spans="36:36" x14ac:dyDescent="0.2">
      <c r="AJ408" s="23"/>
    </row>
    <row r="409" spans="36:36" x14ac:dyDescent="0.2">
      <c r="AJ409" s="23"/>
    </row>
    <row r="410" spans="36:36" x14ac:dyDescent="0.2">
      <c r="AJ410" s="23"/>
    </row>
    <row r="411" spans="36:36" x14ac:dyDescent="0.2">
      <c r="AJ411" s="23"/>
    </row>
    <row r="412" spans="36:36" x14ac:dyDescent="0.2">
      <c r="AJ412" s="23"/>
    </row>
    <row r="413" spans="36:36" x14ac:dyDescent="0.2">
      <c r="AJ413" s="23"/>
    </row>
    <row r="414" spans="36:36" x14ac:dyDescent="0.2">
      <c r="AJ414" s="23"/>
    </row>
    <row r="415" spans="36:36" x14ac:dyDescent="0.2">
      <c r="AJ415" s="23"/>
    </row>
    <row r="416" spans="36:36" x14ac:dyDescent="0.2">
      <c r="AJ416" s="23"/>
    </row>
    <row r="417" spans="36:36" x14ac:dyDescent="0.2">
      <c r="AJ417" s="23"/>
    </row>
    <row r="418" spans="36:36" x14ac:dyDescent="0.2">
      <c r="AJ418" s="23"/>
    </row>
    <row r="419" spans="36:36" x14ac:dyDescent="0.2">
      <c r="AJ419" s="23"/>
    </row>
    <row r="420" spans="36:36" x14ac:dyDescent="0.2">
      <c r="AJ420" s="23"/>
    </row>
    <row r="421" spans="36:36" x14ac:dyDescent="0.2">
      <c r="AJ421" s="23"/>
    </row>
    <row r="422" spans="36:36" x14ac:dyDescent="0.2">
      <c r="AJ422" s="23"/>
    </row>
    <row r="423" spans="36:36" x14ac:dyDescent="0.2">
      <c r="AJ423" s="23"/>
    </row>
    <row r="424" spans="36:36" x14ac:dyDescent="0.2">
      <c r="AJ424" s="23"/>
    </row>
    <row r="425" spans="36:36" x14ac:dyDescent="0.2">
      <c r="AJ425" s="23"/>
    </row>
    <row r="426" spans="36:36" x14ac:dyDescent="0.2">
      <c r="AJ426" s="23"/>
    </row>
    <row r="427" spans="36:36" x14ac:dyDescent="0.2">
      <c r="AJ427" s="23"/>
    </row>
    <row r="428" spans="36:36" x14ac:dyDescent="0.2">
      <c r="AJ428" s="23"/>
    </row>
    <row r="429" spans="36:36" x14ac:dyDescent="0.2">
      <c r="AJ429" s="23"/>
    </row>
    <row r="430" spans="36:36" x14ac:dyDescent="0.2">
      <c r="AJ430" s="23"/>
    </row>
    <row r="431" spans="36:36" x14ac:dyDescent="0.2">
      <c r="AJ431" s="23"/>
    </row>
    <row r="432" spans="36:36" x14ac:dyDescent="0.2">
      <c r="AJ432" s="23"/>
    </row>
    <row r="433" spans="36:36" x14ac:dyDescent="0.2">
      <c r="AJ433" s="23"/>
    </row>
    <row r="434" spans="36:36" x14ac:dyDescent="0.2">
      <c r="AJ434" s="23"/>
    </row>
    <row r="435" spans="36:36" x14ac:dyDescent="0.2">
      <c r="AJ435" s="23"/>
    </row>
    <row r="436" spans="36:36" x14ac:dyDescent="0.2">
      <c r="AJ436" s="23"/>
    </row>
    <row r="437" spans="36:36" x14ac:dyDescent="0.2">
      <c r="AJ437" s="23"/>
    </row>
    <row r="438" spans="36:36" x14ac:dyDescent="0.2">
      <c r="AJ438" s="23"/>
    </row>
    <row r="439" spans="36:36" x14ac:dyDescent="0.2">
      <c r="AJ439" s="23"/>
    </row>
    <row r="440" spans="36:36" x14ac:dyDescent="0.2">
      <c r="AJ440" s="23"/>
    </row>
    <row r="441" spans="36:36" x14ac:dyDescent="0.2">
      <c r="AJ441" s="23"/>
    </row>
    <row r="442" spans="36:36" x14ac:dyDescent="0.2">
      <c r="AJ442" s="23"/>
    </row>
    <row r="443" spans="36:36" x14ac:dyDescent="0.2">
      <c r="AJ443" s="23"/>
    </row>
    <row r="444" spans="36:36" x14ac:dyDescent="0.2">
      <c r="AJ444" s="23"/>
    </row>
    <row r="445" spans="36:36" x14ac:dyDescent="0.2">
      <c r="AJ445" s="23"/>
    </row>
    <row r="446" spans="36:36" x14ac:dyDescent="0.2">
      <c r="AJ446" s="23"/>
    </row>
    <row r="447" spans="36:36" x14ac:dyDescent="0.2">
      <c r="AJ447" s="23"/>
    </row>
    <row r="448" spans="36:36" x14ac:dyDescent="0.2">
      <c r="AJ448" s="23"/>
    </row>
    <row r="449" spans="36:36" x14ac:dyDescent="0.2">
      <c r="AJ449" s="23"/>
    </row>
    <row r="450" spans="36:36" x14ac:dyDescent="0.2">
      <c r="AJ450" s="23"/>
    </row>
    <row r="451" spans="36:36" x14ac:dyDescent="0.2">
      <c r="AJ451" s="23"/>
    </row>
    <row r="452" spans="36:36" x14ac:dyDescent="0.2">
      <c r="AJ452" s="23"/>
    </row>
    <row r="453" spans="36:36" x14ac:dyDescent="0.2">
      <c r="AJ453" s="23"/>
    </row>
    <row r="454" spans="36:36" x14ac:dyDescent="0.2">
      <c r="AJ454" s="23"/>
    </row>
    <row r="455" spans="36:36" x14ac:dyDescent="0.2">
      <c r="AJ455" s="23"/>
    </row>
    <row r="456" spans="36:36" x14ac:dyDescent="0.2">
      <c r="AJ456" s="23"/>
    </row>
    <row r="457" spans="36:36" x14ac:dyDescent="0.2">
      <c r="AJ457" s="23"/>
    </row>
    <row r="458" spans="36:36" x14ac:dyDescent="0.2">
      <c r="AJ458" s="23"/>
    </row>
    <row r="459" spans="36:36" x14ac:dyDescent="0.2">
      <c r="AJ459" s="23"/>
    </row>
    <row r="460" spans="36:36" x14ac:dyDescent="0.2">
      <c r="AJ460" s="23"/>
    </row>
    <row r="461" spans="36:36" x14ac:dyDescent="0.2">
      <c r="AJ461" s="23"/>
    </row>
    <row r="462" spans="36:36" x14ac:dyDescent="0.2">
      <c r="AJ462" s="23"/>
    </row>
    <row r="463" spans="36:36" x14ac:dyDescent="0.2">
      <c r="AJ463" s="23"/>
    </row>
    <row r="464" spans="36:36" x14ac:dyDescent="0.2">
      <c r="AJ464" s="23"/>
    </row>
    <row r="465" spans="36:36" x14ac:dyDescent="0.2">
      <c r="AJ465" s="23"/>
    </row>
    <row r="466" spans="36:36" x14ac:dyDescent="0.2">
      <c r="AJ466" s="23"/>
    </row>
    <row r="467" spans="36:36" x14ac:dyDescent="0.2">
      <c r="AJ467" s="23"/>
    </row>
    <row r="468" spans="36:36" x14ac:dyDescent="0.2">
      <c r="AJ468" s="23"/>
    </row>
    <row r="469" spans="36:36" x14ac:dyDescent="0.2">
      <c r="AJ469" s="23"/>
    </row>
    <row r="470" spans="36:36" x14ac:dyDescent="0.2">
      <c r="AJ470" s="23"/>
    </row>
    <row r="471" spans="36:36" x14ac:dyDescent="0.2">
      <c r="AJ471" s="23"/>
    </row>
    <row r="472" spans="36:36" x14ac:dyDescent="0.2">
      <c r="AJ472" s="23"/>
    </row>
    <row r="473" spans="36:36" x14ac:dyDescent="0.2">
      <c r="AJ473" s="23"/>
    </row>
    <row r="474" spans="36:36" x14ac:dyDescent="0.2">
      <c r="AJ474" s="23"/>
    </row>
    <row r="475" spans="36:36" x14ac:dyDescent="0.2">
      <c r="AJ475" s="23"/>
    </row>
    <row r="476" spans="36:36" x14ac:dyDescent="0.2">
      <c r="AJ476" s="23"/>
    </row>
    <row r="477" spans="36:36" x14ac:dyDescent="0.2">
      <c r="AJ477" s="23"/>
    </row>
    <row r="478" spans="36:36" x14ac:dyDescent="0.2">
      <c r="AJ478" s="23"/>
    </row>
    <row r="479" spans="36:36" x14ac:dyDescent="0.2">
      <c r="AJ479" s="23"/>
    </row>
    <row r="480" spans="36:36" x14ac:dyDescent="0.2">
      <c r="AJ480" s="23"/>
    </row>
    <row r="481" spans="36:36" x14ac:dyDescent="0.2">
      <c r="AJ481" s="23"/>
    </row>
    <row r="482" spans="36:36" x14ac:dyDescent="0.2">
      <c r="AJ482" s="23"/>
    </row>
    <row r="483" spans="36:36" x14ac:dyDescent="0.2">
      <c r="AJ483" s="23"/>
    </row>
    <row r="484" spans="36:36" x14ac:dyDescent="0.2">
      <c r="AJ484" s="23"/>
    </row>
    <row r="485" spans="36:36" x14ac:dyDescent="0.2">
      <c r="AJ485" s="23"/>
    </row>
    <row r="486" spans="36:36" x14ac:dyDescent="0.2">
      <c r="AJ486" s="23"/>
    </row>
    <row r="487" spans="36:36" x14ac:dyDescent="0.2">
      <c r="AJ487" s="23"/>
    </row>
    <row r="488" spans="36:36" x14ac:dyDescent="0.2">
      <c r="AJ488" s="23"/>
    </row>
    <row r="489" spans="36:36" x14ac:dyDescent="0.2">
      <c r="AJ489" s="23"/>
    </row>
    <row r="490" spans="36:36" x14ac:dyDescent="0.2">
      <c r="AJ490" s="23"/>
    </row>
    <row r="491" spans="36:36" x14ac:dyDescent="0.2">
      <c r="AJ491" s="23"/>
    </row>
    <row r="492" spans="36:36" x14ac:dyDescent="0.2">
      <c r="AJ492" s="23"/>
    </row>
    <row r="493" spans="36:36" x14ac:dyDescent="0.2">
      <c r="AJ493" s="23"/>
    </row>
    <row r="494" spans="36:36" x14ac:dyDescent="0.2">
      <c r="AJ494" s="23"/>
    </row>
    <row r="495" spans="36:36" x14ac:dyDescent="0.2">
      <c r="AJ495" s="23"/>
    </row>
    <row r="496" spans="36:36" x14ac:dyDescent="0.2">
      <c r="AJ496" s="23"/>
    </row>
    <row r="497" spans="36:36" x14ac:dyDescent="0.2">
      <c r="AJ497" s="23"/>
    </row>
    <row r="498" spans="36:36" x14ac:dyDescent="0.2">
      <c r="AJ498" s="23"/>
    </row>
    <row r="499" spans="36:36" x14ac:dyDescent="0.2">
      <c r="AJ499" s="23"/>
    </row>
    <row r="500" spans="36:36" x14ac:dyDescent="0.2">
      <c r="AJ500" s="23"/>
    </row>
    <row r="501" spans="36:36" x14ac:dyDescent="0.2">
      <c r="AJ501" s="23"/>
    </row>
    <row r="502" spans="36:36" x14ac:dyDescent="0.2">
      <c r="AJ502" s="23"/>
    </row>
    <row r="503" spans="36:36" x14ac:dyDescent="0.2">
      <c r="AJ503" s="23"/>
    </row>
    <row r="504" spans="36:36" x14ac:dyDescent="0.2">
      <c r="AJ504" s="23"/>
    </row>
    <row r="505" spans="36:36" x14ac:dyDescent="0.2">
      <c r="AJ505" s="23"/>
    </row>
    <row r="506" spans="36:36" x14ac:dyDescent="0.2">
      <c r="AJ506" s="23"/>
    </row>
    <row r="507" spans="36:36" x14ac:dyDescent="0.2">
      <c r="AJ507" s="23"/>
    </row>
    <row r="508" spans="36:36" x14ac:dyDescent="0.2">
      <c r="AJ508" s="23"/>
    </row>
    <row r="509" spans="36:36" x14ac:dyDescent="0.2">
      <c r="AJ509" s="23"/>
    </row>
    <row r="510" spans="36:36" x14ac:dyDescent="0.2">
      <c r="AJ510" s="23"/>
    </row>
    <row r="511" spans="36:36" x14ac:dyDescent="0.2">
      <c r="AJ511" s="23"/>
    </row>
    <row r="512" spans="36:36" x14ac:dyDescent="0.2">
      <c r="AJ512" s="23"/>
    </row>
    <row r="513" spans="36:36" x14ac:dyDescent="0.2">
      <c r="AJ513" s="23"/>
    </row>
    <row r="514" spans="36:36" x14ac:dyDescent="0.2">
      <c r="AJ514" s="23"/>
    </row>
    <row r="515" spans="36:36" x14ac:dyDescent="0.2">
      <c r="AJ515" s="23"/>
    </row>
    <row r="516" spans="36:36" x14ac:dyDescent="0.2">
      <c r="AJ516" s="23"/>
    </row>
    <row r="517" spans="36:36" x14ac:dyDescent="0.2">
      <c r="AJ517" s="23"/>
    </row>
    <row r="518" spans="36:36" x14ac:dyDescent="0.2">
      <c r="AJ518" s="23"/>
    </row>
    <row r="519" spans="36:36" x14ac:dyDescent="0.2">
      <c r="AJ519" s="23"/>
    </row>
    <row r="520" spans="36:36" x14ac:dyDescent="0.2">
      <c r="AJ520" s="23"/>
    </row>
    <row r="521" spans="36:36" x14ac:dyDescent="0.2">
      <c r="AJ521" s="23"/>
    </row>
    <row r="522" spans="36:36" x14ac:dyDescent="0.2">
      <c r="AJ522" s="23"/>
    </row>
    <row r="523" spans="36:36" x14ac:dyDescent="0.2">
      <c r="AJ523" s="23"/>
    </row>
    <row r="524" spans="36:36" x14ac:dyDescent="0.2">
      <c r="AJ524" s="23"/>
    </row>
    <row r="525" spans="36:36" x14ac:dyDescent="0.2">
      <c r="AJ525" s="23"/>
    </row>
    <row r="526" spans="36:36" x14ac:dyDescent="0.2">
      <c r="AJ526" s="23"/>
    </row>
    <row r="527" spans="36:36" x14ac:dyDescent="0.2">
      <c r="AJ527" s="23"/>
    </row>
    <row r="528" spans="36:36" x14ac:dyDescent="0.2">
      <c r="AJ528" s="23"/>
    </row>
    <row r="529" spans="36:36" x14ac:dyDescent="0.2">
      <c r="AJ529" s="23"/>
    </row>
    <row r="530" spans="36:36" x14ac:dyDescent="0.2">
      <c r="AJ530" s="23"/>
    </row>
    <row r="531" spans="36:36" x14ac:dyDescent="0.2">
      <c r="AJ531" s="23"/>
    </row>
    <row r="532" spans="36:36" x14ac:dyDescent="0.2">
      <c r="AJ532" s="23"/>
    </row>
    <row r="533" spans="36:36" x14ac:dyDescent="0.2">
      <c r="AJ533" s="23"/>
    </row>
    <row r="534" spans="36:36" x14ac:dyDescent="0.2">
      <c r="AJ534" s="23"/>
    </row>
    <row r="535" spans="36:36" x14ac:dyDescent="0.2">
      <c r="AJ535" s="23"/>
    </row>
    <row r="536" spans="36:36" x14ac:dyDescent="0.2">
      <c r="AJ536" s="23"/>
    </row>
    <row r="537" spans="36:36" x14ac:dyDescent="0.2">
      <c r="AJ537" s="23"/>
    </row>
    <row r="538" spans="36:36" x14ac:dyDescent="0.2">
      <c r="AJ538" s="23"/>
    </row>
    <row r="539" spans="36:36" x14ac:dyDescent="0.2">
      <c r="AJ539" s="23"/>
    </row>
    <row r="540" spans="36:36" x14ac:dyDescent="0.2">
      <c r="AJ540" s="23"/>
    </row>
    <row r="541" spans="36:36" x14ac:dyDescent="0.2">
      <c r="AJ541" s="23"/>
    </row>
    <row r="542" spans="36:36" x14ac:dyDescent="0.2">
      <c r="AJ542" s="23"/>
    </row>
    <row r="543" spans="36:36" x14ac:dyDescent="0.2">
      <c r="AJ543" s="23"/>
    </row>
    <row r="544" spans="36:36" x14ac:dyDescent="0.2">
      <c r="AJ544" s="23"/>
    </row>
    <row r="545" spans="36:36" x14ac:dyDescent="0.2">
      <c r="AJ545" s="23"/>
    </row>
    <row r="546" spans="36:36" x14ac:dyDescent="0.2">
      <c r="AJ546" s="23"/>
    </row>
    <row r="547" spans="36:36" x14ac:dyDescent="0.2">
      <c r="AJ547" s="23"/>
    </row>
    <row r="548" spans="36:36" x14ac:dyDescent="0.2">
      <c r="AJ548" s="23"/>
    </row>
    <row r="549" spans="36:36" x14ac:dyDescent="0.2">
      <c r="AJ549" s="23"/>
    </row>
    <row r="550" spans="36:36" x14ac:dyDescent="0.2">
      <c r="AJ550" s="23"/>
    </row>
    <row r="551" spans="36:36" x14ac:dyDescent="0.2">
      <c r="AJ551" s="23"/>
    </row>
    <row r="552" spans="36:36" x14ac:dyDescent="0.2">
      <c r="AJ552" s="23"/>
    </row>
    <row r="553" spans="36:36" x14ac:dyDescent="0.2">
      <c r="AJ553" s="23"/>
    </row>
    <row r="554" spans="36:36" x14ac:dyDescent="0.2">
      <c r="AJ554" s="23"/>
    </row>
    <row r="555" spans="36:36" x14ac:dyDescent="0.2">
      <c r="AJ555" s="23"/>
    </row>
    <row r="556" spans="36:36" x14ac:dyDescent="0.2">
      <c r="AJ556" s="23"/>
    </row>
    <row r="557" spans="36:36" x14ac:dyDescent="0.2">
      <c r="AJ557" s="23"/>
    </row>
    <row r="558" spans="36:36" x14ac:dyDescent="0.2">
      <c r="AJ558" s="23"/>
    </row>
    <row r="559" spans="36:36" x14ac:dyDescent="0.2">
      <c r="AJ559" s="23"/>
    </row>
    <row r="560" spans="36:36" x14ac:dyDescent="0.2">
      <c r="AJ560" s="23"/>
    </row>
    <row r="561" spans="36:36" x14ac:dyDescent="0.2">
      <c r="AJ561" s="23"/>
    </row>
    <row r="562" spans="36:36" x14ac:dyDescent="0.2">
      <c r="AJ562" s="23"/>
    </row>
    <row r="563" spans="36:36" x14ac:dyDescent="0.2">
      <c r="AJ563" s="23"/>
    </row>
    <row r="564" spans="36:36" x14ac:dyDescent="0.2">
      <c r="AJ564" s="23"/>
    </row>
    <row r="565" spans="36:36" x14ac:dyDescent="0.2">
      <c r="AJ565" s="23"/>
    </row>
    <row r="566" spans="36:36" x14ac:dyDescent="0.2">
      <c r="AJ566" s="23"/>
    </row>
    <row r="567" spans="36:36" x14ac:dyDescent="0.2">
      <c r="AJ567" s="23"/>
    </row>
    <row r="568" spans="36:36" x14ac:dyDescent="0.2">
      <c r="AJ568" s="23"/>
    </row>
    <row r="569" spans="36:36" x14ac:dyDescent="0.2">
      <c r="AJ569" s="23"/>
    </row>
    <row r="570" spans="36:36" x14ac:dyDescent="0.2">
      <c r="AJ570" s="23"/>
    </row>
    <row r="571" spans="36:36" x14ac:dyDescent="0.2">
      <c r="AJ571" s="23"/>
    </row>
    <row r="572" spans="36:36" x14ac:dyDescent="0.2">
      <c r="AJ572" s="23"/>
    </row>
    <row r="573" spans="36:36" x14ac:dyDescent="0.2">
      <c r="AJ573" s="23"/>
    </row>
    <row r="574" spans="36:36" x14ac:dyDescent="0.2">
      <c r="AJ574" s="23"/>
    </row>
    <row r="575" spans="36:36" x14ac:dyDescent="0.2">
      <c r="AJ575" s="23"/>
    </row>
    <row r="576" spans="36:36" x14ac:dyDescent="0.2">
      <c r="AJ576" s="23"/>
    </row>
    <row r="577" spans="36:36" x14ac:dyDescent="0.2">
      <c r="AJ577" s="23"/>
    </row>
    <row r="578" spans="36:36" x14ac:dyDescent="0.2">
      <c r="AJ578" s="23"/>
    </row>
    <row r="579" spans="36:36" x14ac:dyDescent="0.2">
      <c r="AJ579" s="23"/>
    </row>
    <row r="580" spans="36:36" x14ac:dyDescent="0.2">
      <c r="AJ580" s="23"/>
    </row>
    <row r="581" spans="36:36" x14ac:dyDescent="0.2">
      <c r="AJ581" s="23"/>
    </row>
    <row r="582" spans="36:36" x14ac:dyDescent="0.2">
      <c r="AJ582" s="23"/>
    </row>
    <row r="583" spans="36:36" x14ac:dyDescent="0.2">
      <c r="AJ583" s="23"/>
    </row>
    <row r="584" spans="36:36" x14ac:dyDescent="0.2">
      <c r="AJ584" s="23"/>
    </row>
    <row r="585" spans="36:36" x14ac:dyDescent="0.2">
      <c r="AJ585" s="23"/>
    </row>
    <row r="586" spans="36:36" x14ac:dyDescent="0.2">
      <c r="AJ586" s="23"/>
    </row>
    <row r="587" spans="36:36" x14ac:dyDescent="0.2">
      <c r="AJ587" s="23"/>
    </row>
    <row r="588" spans="36:36" x14ac:dyDescent="0.2">
      <c r="AJ588" s="23"/>
    </row>
    <row r="589" spans="36:36" x14ac:dyDescent="0.2">
      <c r="AJ589" s="23"/>
    </row>
    <row r="590" spans="36:36" x14ac:dyDescent="0.2">
      <c r="AJ590" s="23"/>
    </row>
    <row r="591" spans="36:36" x14ac:dyDescent="0.2">
      <c r="AJ591" s="23"/>
    </row>
    <row r="592" spans="36:36" x14ac:dyDescent="0.2">
      <c r="AJ592" s="23"/>
    </row>
    <row r="593" spans="36:36" x14ac:dyDescent="0.2">
      <c r="AJ593" s="23"/>
    </row>
    <row r="594" spans="36:36" x14ac:dyDescent="0.2">
      <c r="AJ594" s="23"/>
    </row>
    <row r="595" spans="36:36" x14ac:dyDescent="0.2">
      <c r="AJ595" s="23"/>
    </row>
    <row r="596" spans="36:36" x14ac:dyDescent="0.2">
      <c r="AJ596" s="23"/>
    </row>
    <row r="597" spans="36:36" x14ac:dyDescent="0.2">
      <c r="AJ597" s="23"/>
    </row>
    <row r="598" spans="36:36" x14ac:dyDescent="0.2">
      <c r="AJ598" s="23"/>
    </row>
    <row r="599" spans="36:36" x14ac:dyDescent="0.2">
      <c r="AJ599" s="23"/>
    </row>
    <row r="600" spans="36:36" x14ac:dyDescent="0.2">
      <c r="AJ600" s="23"/>
    </row>
    <row r="601" spans="36:36" x14ac:dyDescent="0.2">
      <c r="AJ601" s="23"/>
    </row>
    <row r="602" spans="36:36" x14ac:dyDescent="0.2">
      <c r="AJ602" s="23"/>
    </row>
    <row r="603" spans="36:36" x14ac:dyDescent="0.2">
      <c r="AJ603" s="23"/>
    </row>
    <row r="604" spans="36:36" x14ac:dyDescent="0.2">
      <c r="AJ604" s="23"/>
    </row>
    <row r="605" spans="36:36" x14ac:dyDescent="0.2">
      <c r="AJ605" s="23"/>
    </row>
    <row r="606" spans="36:36" x14ac:dyDescent="0.2">
      <c r="AJ606" s="23"/>
    </row>
    <row r="607" spans="36:36" x14ac:dyDescent="0.2">
      <c r="AJ607" s="23"/>
    </row>
    <row r="608" spans="36:36" x14ac:dyDescent="0.2">
      <c r="AJ608" s="23"/>
    </row>
    <row r="609" spans="36:36" x14ac:dyDescent="0.2">
      <c r="AJ609" s="23"/>
    </row>
    <row r="610" spans="36:36" x14ac:dyDescent="0.2">
      <c r="AJ610" s="23"/>
    </row>
    <row r="611" spans="36:36" x14ac:dyDescent="0.2">
      <c r="AJ611" s="23"/>
    </row>
    <row r="612" spans="36:36" x14ac:dyDescent="0.2">
      <c r="AJ612" s="23"/>
    </row>
    <row r="613" spans="36:36" x14ac:dyDescent="0.2">
      <c r="AJ613" s="23"/>
    </row>
    <row r="614" spans="36:36" x14ac:dyDescent="0.2">
      <c r="AJ614" s="23"/>
    </row>
    <row r="615" spans="36:36" x14ac:dyDescent="0.2">
      <c r="AJ615" s="23"/>
    </row>
    <row r="616" spans="36:36" x14ac:dyDescent="0.2">
      <c r="AJ616" s="23"/>
    </row>
    <row r="617" spans="36:36" x14ac:dyDescent="0.2">
      <c r="AJ617" s="23"/>
    </row>
    <row r="618" spans="36:36" x14ac:dyDescent="0.2">
      <c r="AJ618" s="23"/>
    </row>
    <row r="619" spans="36:36" x14ac:dyDescent="0.2">
      <c r="AJ619" s="23"/>
    </row>
    <row r="620" spans="36:36" x14ac:dyDescent="0.2">
      <c r="AJ620" s="23"/>
    </row>
    <row r="621" spans="36:36" x14ac:dyDescent="0.2">
      <c r="AJ621" s="23"/>
    </row>
    <row r="622" spans="36:36" x14ac:dyDescent="0.2">
      <c r="AJ622" s="23"/>
    </row>
    <row r="623" spans="36:36" x14ac:dyDescent="0.2">
      <c r="AJ623" s="23"/>
    </row>
    <row r="624" spans="36:36" x14ac:dyDescent="0.2">
      <c r="AJ624" s="23"/>
    </row>
    <row r="625" spans="36:36" x14ac:dyDescent="0.2">
      <c r="AJ625" s="23"/>
    </row>
    <row r="626" spans="36:36" x14ac:dyDescent="0.2">
      <c r="AJ626" s="23"/>
    </row>
    <row r="627" spans="36:36" x14ac:dyDescent="0.2">
      <c r="AJ627" s="23"/>
    </row>
    <row r="628" spans="36:36" x14ac:dyDescent="0.2">
      <c r="AJ628" s="23"/>
    </row>
    <row r="629" spans="36:36" x14ac:dyDescent="0.2">
      <c r="AJ629" s="23"/>
    </row>
    <row r="630" spans="36:36" x14ac:dyDescent="0.2">
      <c r="AJ630" s="23"/>
    </row>
    <row r="631" spans="36:36" x14ac:dyDescent="0.2">
      <c r="AJ631" s="23"/>
    </row>
    <row r="632" spans="36:36" x14ac:dyDescent="0.2">
      <c r="AJ632" s="23"/>
    </row>
    <row r="633" spans="36:36" x14ac:dyDescent="0.2">
      <c r="AJ633" s="23"/>
    </row>
    <row r="634" spans="36:36" x14ac:dyDescent="0.2">
      <c r="AJ634" s="23"/>
    </row>
    <row r="635" spans="36:36" x14ac:dyDescent="0.2">
      <c r="AJ635" s="23"/>
    </row>
    <row r="636" spans="36:36" x14ac:dyDescent="0.2">
      <c r="AJ636" s="23"/>
    </row>
    <row r="637" spans="36:36" x14ac:dyDescent="0.2">
      <c r="AJ637" s="23"/>
    </row>
    <row r="638" spans="36:36" x14ac:dyDescent="0.2">
      <c r="AJ638" s="23"/>
    </row>
    <row r="639" spans="36:36" x14ac:dyDescent="0.2">
      <c r="AJ639" s="23"/>
    </row>
    <row r="640" spans="36:36" x14ac:dyDescent="0.2">
      <c r="AJ640" s="23"/>
    </row>
    <row r="641" spans="36:36" x14ac:dyDescent="0.2">
      <c r="AJ641" s="23"/>
    </row>
    <row r="642" spans="36:36" x14ac:dyDescent="0.2">
      <c r="AJ642" s="23"/>
    </row>
    <row r="643" spans="36:36" x14ac:dyDescent="0.2">
      <c r="AJ643" s="23"/>
    </row>
    <row r="644" spans="36:36" x14ac:dyDescent="0.2">
      <c r="AJ644" s="23"/>
    </row>
    <row r="645" spans="36:36" x14ac:dyDescent="0.2">
      <c r="AJ645" s="23"/>
    </row>
    <row r="646" spans="36:36" x14ac:dyDescent="0.2">
      <c r="AJ646" s="23"/>
    </row>
    <row r="647" spans="36:36" x14ac:dyDescent="0.2">
      <c r="AJ647" s="23"/>
    </row>
    <row r="648" spans="36:36" x14ac:dyDescent="0.2">
      <c r="AJ648" s="23"/>
    </row>
    <row r="649" spans="36:36" x14ac:dyDescent="0.2">
      <c r="AJ649" s="23"/>
    </row>
    <row r="650" spans="36:36" x14ac:dyDescent="0.2">
      <c r="AJ650" s="23"/>
    </row>
    <row r="651" spans="36:36" x14ac:dyDescent="0.2">
      <c r="AJ651" s="23"/>
    </row>
    <row r="652" spans="36:36" x14ac:dyDescent="0.2">
      <c r="AJ652" s="23"/>
    </row>
    <row r="653" spans="36:36" x14ac:dyDescent="0.2">
      <c r="AJ653" s="23"/>
    </row>
    <row r="654" spans="36:36" x14ac:dyDescent="0.2">
      <c r="AJ654" s="23"/>
    </row>
    <row r="655" spans="36:36" x14ac:dyDescent="0.2">
      <c r="AJ655" s="23"/>
    </row>
    <row r="656" spans="36:36" x14ac:dyDescent="0.2">
      <c r="AJ656" s="23"/>
    </row>
    <row r="657" spans="36:36" x14ac:dyDescent="0.2">
      <c r="AJ657" s="23"/>
    </row>
    <row r="658" spans="36:36" x14ac:dyDescent="0.2">
      <c r="AJ658" s="23"/>
    </row>
    <row r="659" spans="36:36" x14ac:dyDescent="0.2">
      <c r="AJ659" s="23"/>
    </row>
    <row r="660" spans="36:36" x14ac:dyDescent="0.2">
      <c r="AJ660" s="23"/>
    </row>
    <row r="661" spans="36:36" x14ac:dyDescent="0.2">
      <c r="AJ661" s="23"/>
    </row>
    <row r="662" spans="36:36" x14ac:dyDescent="0.2">
      <c r="AJ662" s="23"/>
    </row>
    <row r="663" spans="36:36" x14ac:dyDescent="0.2">
      <c r="AJ663" s="23"/>
    </row>
    <row r="664" spans="36:36" x14ac:dyDescent="0.2">
      <c r="AJ664" s="23"/>
    </row>
    <row r="665" spans="36:36" x14ac:dyDescent="0.2">
      <c r="AJ665" s="23"/>
    </row>
    <row r="666" spans="36:36" x14ac:dyDescent="0.2">
      <c r="AJ666" s="23"/>
    </row>
    <row r="667" spans="36:36" x14ac:dyDescent="0.2">
      <c r="AJ667" s="23"/>
    </row>
    <row r="668" spans="36:36" x14ac:dyDescent="0.2">
      <c r="AJ668" s="23"/>
    </row>
    <row r="669" spans="36:36" x14ac:dyDescent="0.2">
      <c r="AJ669" s="23"/>
    </row>
    <row r="670" spans="36:36" x14ac:dyDescent="0.2">
      <c r="AJ670" s="23"/>
    </row>
    <row r="671" spans="36:36" x14ac:dyDescent="0.2">
      <c r="AJ671" s="23"/>
    </row>
    <row r="672" spans="36:36" x14ac:dyDescent="0.2">
      <c r="AJ672" s="23"/>
    </row>
    <row r="673" spans="36:36" x14ac:dyDescent="0.2">
      <c r="AJ673" s="23"/>
    </row>
    <row r="674" spans="36:36" x14ac:dyDescent="0.2">
      <c r="AJ674" s="23"/>
    </row>
    <row r="675" spans="36:36" x14ac:dyDescent="0.2">
      <c r="AJ675" s="23"/>
    </row>
    <row r="676" spans="36:36" x14ac:dyDescent="0.2">
      <c r="AJ676" s="23"/>
    </row>
    <row r="677" spans="36:36" x14ac:dyDescent="0.2">
      <c r="AJ677" s="23"/>
    </row>
    <row r="678" spans="36:36" x14ac:dyDescent="0.2">
      <c r="AJ678" s="23"/>
    </row>
    <row r="679" spans="36:36" x14ac:dyDescent="0.2">
      <c r="AJ679" s="23"/>
    </row>
    <row r="680" spans="36:36" x14ac:dyDescent="0.2">
      <c r="AJ680" s="23"/>
    </row>
    <row r="681" spans="36:36" x14ac:dyDescent="0.2">
      <c r="AJ681" s="23"/>
    </row>
    <row r="682" spans="36:36" x14ac:dyDescent="0.2">
      <c r="AJ682" s="23"/>
    </row>
    <row r="683" spans="36:36" x14ac:dyDescent="0.2">
      <c r="AJ683" s="23"/>
    </row>
    <row r="684" spans="36:36" x14ac:dyDescent="0.2">
      <c r="AJ684" s="23"/>
    </row>
    <row r="685" spans="36:36" x14ac:dyDescent="0.2">
      <c r="AJ685" s="23"/>
    </row>
    <row r="686" spans="36:36" x14ac:dyDescent="0.2">
      <c r="AJ686" s="23"/>
    </row>
    <row r="687" spans="36:36" x14ac:dyDescent="0.2">
      <c r="AJ687" s="23"/>
    </row>
    <row r="688" spans="36:36" x14ac:dyDescent="0.2">
      <c r="AJ688" s="23"/>
    </row>
    <row r="689" spans="36:36" x14ac:dyDescent="0.2">
      <c r="AJ689" s="23"/>
    </row>
    <row r="690" spans="36:36" x14ac:dyDescent="0.2">
      <c r="AJ690" s="23"/>
    </row>
    <row r="691" spans="36:36" x14ac:dyDescent="0.2">
      <c r="AJ691" s="23"/>
    </row>
    <row r="692" spans="36:36" x14ac:dyDescent="0.2">
      <c r="AJ692" s="23"/>
    </row>
    <row r="693" spans="36:36" x14ac:dyDescent="0.2">
      <c r="AJ693" s="23"/>
    </row>
    <row r="694" spans="36:36" x14ac:dyDescent="0.2">
      <c r="AJ694" s="23"/>
    </row>
    <row r="695" spans="36:36" x14ac:dyDescent="0.2">
      <c r="AJ695" s="23"/>
    </row>
    <row r="696" spans="36:36" x14ac:dyDescent="0.2">
      <c r="AJ696" s="23"/>
    </row>
    <row r="697" spans="36:36" x14ac:dyDescent="0.2">
      <c r="AJ697" s="23"/>
    </row>
    <row r="698" spans="36:36" x14ac:dyDescent="0.2">
      <c r="AJ698" s="23"/>
    </row>
    <row r="699" spans="36:36" x14ac:dyDescent="0.2">
      <c r="AJ699" s="23"/>
    </row>
    <row r="700" spans="36:36" x14ac:dyDescent="0.2">
      <c r="AJ700" s="23"/>
    </row>
    <row r="701" spans="36:36" x14ac:dyDescent="0.2">
      <c r="AJ701" s="23"/>
    </row>
    <row r="702" spans="36:36" x14ac:dyDescent="0.2">
      <c r="AJ702" s="23"/>
    </row>
    <row r="703" spans="36:36" x14ac:dyDescent="0.2">
      <c r="AJ703" s="23"/>
    </row>
    <row r="704" spans="36:36" x14ac:dyDescent="0.2">
      <c r="AJ704" s="23"/>
    </row>
    <row r="705" spans="36:36" x14ac:dyDescent="0.2">
      <c r="AJ705" s="23"/>
    </row>
    <row r="706" spans="36:36" x14ac:dyDescent="0.2">
      <c r="AJ706" s="23"/>
    </row>
    <row r="707" spans="36:36" x14ac:dyDescent="0.2">
      <c r="AJ707" s="23"/>
    </row>
    <row r="708" spans="36:36" x14ac:dyDescent="0.2">
      <c r="AJ708" s="23"/>
    </row>
    <row r="709" spans="36:36" x14ac:dyDescent="0.2">
      <c r="AJ709" s="23"/>
    </row>
    <row r="710" spans="36:36" x14ac:dyDescent="0.2">
      <c r="AJ710" s="23"/>
    </row>
    <row r="711" spans="36:36" x14ac:dyDescent="0.2">
      <c r="AJ711" s="23"/>
    </row>
    <row r="712" spans="36:36" x14ac:dyDescent="0.2">
      <c r="AJ712" s="23"/>
    </row>
    <row r="713" spans="36:36" x14ac:dyDescent="0.2">
      <c r="AJ713" s="23"/>
    </row>
    <row r="714" spans="36:36" x14ac:dyDescent="0.2">
      <c r="AJ714" s="23"/>
    </row>
    <row r="715" spans="36:36" x14ac:dyDescent="0.2">
      <c r="AJ715" s="23"/>
    </row>
    <row r="716" spans="36:36" x14ac:dyDescent="0.2">
      <c r="AJ716" s="23"/>
    </row>
    <row r="717" spans="36:36" x14ac:dyDescent="0.2">
      <c r="AJ717" s="23"/>
    </row>
    <row r="718" spans="36:36" x14ac:dyDescent="0.2">
      <c r="AJ718" s="23"/>
    </row>
    <row r="719" spans="36:36" x14ac:dyDescent="0.2">
      <c r="AJ719" s="23"/>
    </row>
    <row r="720" spans="36:36" x14ac:dyDescent="0.2">
      <c r="AJ720" s="23"/>
    </row>
    <row r="721" spans="36:36" x14ac:dyDescent="0.2">
      <c r="AJ721" s="23"/>
    </row>
    <row r="722" spans="36:36" x14ac:dyDescent="0.2">
      <c r="AJ722" s="23"/>
    </row>
    <row r="723" spans="36:36" x14ac:dyDescent="0.2">
      <c r="AJ723" s="23"/>
    </row>
    <row r="724" spans="36:36" x14ac:dyDescent="0.2">
      <c r="AJ724" s="23"/>
    </row>
    <row r="725" spans="36:36" x14ac:dyDescent="0.2">
      <c r="AJ725" s="23"/>
    </row>
    <row r="726" spans="36:36" x14ac:dyDescent="0.2">
      <c r="AJ726" s="23"/>
    </row>
    <row r="727" spans="36:36" x14ac:dyDescent="0.2">
      <c r="AJ727" s="23"/>
    </row>
    <row r="728" spans="36:36" x14ac:dyDescent="0.2">
      <c r="AJ728" s="23"/>
    </row>
    <row r="729" spans="36:36" x14ac:dyDescent="0.2">
      <c r="AJ729" s="23"/>
    </row>
    <row r="730" spans="36:36" x14ac:dyDescent="0.2">
      <c r="AJ730" s="23"/>
    </row>
    <row r="731" spans="36:36" x14ac:dyDescent="0.2">
      <c r="AJ731" s="23"/>
    </row>
    <row r="732" spans="36:36" x14ac:dyDescent="0.2">
      <c r="AJ732" s="23"/>
    </row>
    <row r="733" spans="36:36" x14ac:dyDescent="0.2">
      <c r="AJ733" s="23"/>
    </row>
    <row r="734" spans="36:36" x14ac:dyDescent="0.2">
      <c r="AJ734" s="23"/>
    </row>
    <row r="735" spans="36:36" x14ac:dyDescent="0.2">
      <c r="AJ735" s="23"/>
    </row>
    <row r="736" spans="36:36" x14ac:dyDescent="0.2">
      <c r="AJ736" s="23"/>
    </row>
    <row r="737" spans="36:36" x14ac:dyDescent="0.2">
      <c r="AJ737" s="23"/>
    </row>
    <row r="738" spans="36:36" x14ac:dyDescent="0.2">
      <c r="AJ738" s="23"/>
    </row>
    <row r="739" spans="36:36" x14ac:dyDescent="0.2">
      <c r="AJ739" s="23"/>
    </row>
    <row r="740" spans="36:36" x14ac:dyDescent="0.2">
      <c r="AJ740" s="23"/>
    </row>
    <row r="741" spans="36:36" x14ac:dyDescent="0.2">
      <c r="AJ741" s="23"/>
    </row>
    <row r="742" spans="36:36" x14ac:dyDescent="0.2">
      <c r="AJ742" s="23"/>
    </row>
    <row r="743" spans="36:36" x14ac:dyDescent="0.2">
      <c r="AJ743" s="23"/>
    </row>
    <row r="744" spans="36:36" x14ac:dyDescent="0.2">
      <c r="AJ744" s="23"/>
    </row>
    <row r="745" spans="36:36" x14ac:dyDescent="0.2">
      <c r="AJ745" s="23"/>
    </row>
    <row r="746" spans="36:36" x14ac:dyDescent="0.2">
      <c r="AJ746" s="23"/>
    </row>
    <row r="747" spans="36:36" x14ac:dyDescent="0.2">
      <c r="AJ747" s="23"/>
    </row>
    <row r="748" spans="36:36" x14ac:dyDescent="0.2">
      <c r="AJ748" s="23"/>
    </row>
    <row r="749" spans="36:36" x14ac:dyDescent="0.2">
      <c r="AJ749" s="23"/>
    </row>
    <row r="750" spans="36:36" x14ac:dyDescent="0.2">
      <c r="AJ750" s="23"/>
    </row>
    <row r="751" spans="36:36" x14ac:dyDescent="0.2">
      <c r="AJ751" s="23"/>
    </row>
    <row r="752" spans="36:36" x14ac:dyDescent="0.2">
      <c r="AJ752" s="23"/>
    </row>
    <row r="753" spans="36:36" x14ac:dyDescent="0.2">
      <c r="AJ753" s="23"/>
    </row>
    <row r="754" spans="36:36" x14ac:dyDescent="0.2">
      <c r="AJ754" s="23"/>
    </row>
    <row r="755" spans="36:36" x14ac:dyDescent="0.2">
      <c r="AJ755" s="23"/>
    </row>
    <row r="756" spans="36:36" x14ac:dyDescent="0.2">
      <c r="AJ756" s="23"/>
    </row>
    <row r="757" spans="36:36" x14ac:dyDescent="0.2">
      <c r="AJ757" s="23"/>
    </row>
    <row r="758" spans="36:36" x14ac:dyDescent="0.2">
      <c r="AJ758" s="23"/>
    </row>
    <row r="759" spans="36:36" x14ac:dyDescent="0.2">
      <c r="AJ759" s="23"/>
    </row>
    <row r="760" spans="36:36" x14ac:dyDescent="0.2">
      <c r="AJ760" s="23"/>
    </row>
    <row r="761" spans="36:36" x14ac:dyDescent="0.2">
      <c r="AJ761" s="23"/>
    </row>
    <row r="762" spans="36:36" x14ac:dyDescent="0.2">
      <c r="AJ762" s="23"/>
    </row>
    <row r="763" spans="36:36" x14ac:dyDescent="0.2">
      <c r="AJ763" s="23"/>
    </row>
    <row r="764" spans="36:36" x14ac:dyDescent="0.2">
      <c r="AJ764" s="23"/>
    </row>
    <row r="765" spans="36:36" x14ac:dyDescent="0.2">
      <c r="AJ765" s="23"/>
    </row>
    <row r="766" spans="36:36" x14ac:dyDescent="0.2">
      <c r="AJ766" s="23"/>
    </row>
    <row r="767" spans="36:36" x14ac:dyDescent="0.2">
      <c r="AJ767" s="23"/>
    </row>
    <row r="768" spans="36:36" x14ac:dyDescent="0.2">
      <c r="AJ768" s="23"/>
    </row>
    <row r="769" spans="36:36" x14ac:dyDescent="0.2">
      <c r="AJ769" s="23"/>
    </row>
    <row r="770" spans="36:36" x14ac:dyDescent="0.2">
      <c r="AJ770" s="23"/>
    </row>
    <row r="771" spans="36:36" x14ac:dyDescent="0.2">
      <c r="AJ771" s="23"/>
    </row>
    <row r="772" spans="36:36" x14ac:dyDescent="0.2">
      <c r="AJ772" s="23"/>
    </row>
    <row r="773" spans="36:36" x14ac:dyDescent="0.2">
      <c r="AJ773" s="23"/>
    </row>
    <row r="774" spans="36:36" x14ac:dyDescent="0.2">
      <c r="AJ774" s="23"/>
    </row>
    <row r="775" spans="36:36" x14ac:dyDescent="0.2">
      <c r="AJ775" s="23"/>
    </row>
    <row r="776" spans="36:36" x14ac:dyDescent="0.2">
      <c r="AJ776" s="23"/>
    </row>
    <row r="777" spans="36:36" x14ac:dyDescent="0.2">
      <c r="AJ777" s="23"/>
    </row>
    <row r="778" spans="36:36" x14ac:dyDescent="0.2">
      <c r="AJ778" s="23"/>
    </row>
    <row r="779" spans="36:36" x14ac:dyDescent="0.2">
      <c r="AJ779" s="23"/>
    </row>
    <row r="780" spans="36:36" x14ac:dyDescent="0.2">
      <c r="AJ780" s="23"/>
    </row>
    <row r="781" spans="36:36" x14ac:dyDescent="0.2">
      <c r="AJ781" s="23"/>
    </row>
    <row r="782" spans="36:36" x14ac:dyDescent="0.2">
      <c r="AJ782" s="23"/>
    </row>
    <row r="783" spans="36:36" x14ac:dyDescent="0.2">
      <c r="AJ783" s="23"/>
    </row>
    <row r="784" spans="36:36" x14ac:dyDescent="0.2">
      <c r="AJ784" s="23"/>
    </row>
    <row r="785" spans="36:36" x14ac:dyDescent="0.2">
      <c r="AJ785" s="23"/>
    </row>
    <row r="786" spans="36:36" x14ac:dyDescent="0.2">
      <c r="AJ786" s="23"/>
    </row>
    <row r="787" spans="36:36" x14ac:dyDescent="0.2">
      <c r="AJ787" s="23"/>
    </row>
    <row r="788" spans="36:36" x14ac:dyDescent="0.2">
      <c r="AJ788" s="23"/>
    </row>
    <row r="789" spans="36:36" x14ac:dyDescent="0.2">
      <c r="AJ789" s="23"/>
    </row>
    <row r="790" spans="36:36" x14ac:dyDescent="0.2">
      <c r="AJ790" s="23"/>
    </row>
    <row r="791" spans="36:36" x14ac:dyDescent="0.2">
      <c r="AJ791" s="23"/>
    </row>
    <row r="792" spans="36:36" x14ac:dyDescent="0.2">
      <c r="AJ792" s="23"/>
    </row>
    <row r="793" spans="36:36" x14ac:dyDescent="0.2">
      <c r="AJ793" s="23"/>
    </row>
    <row r="794" spans="36:36" x14ac:dyDescent="0.2">
      <c r="AJ794" s="23"/>
    </row>
    <row r="795" spans="36:36" x14ac:dyDescent="0.2">
      <c r="AJ795" s="23"/>
    </row>
    <row r="796" spans="36:36" x14ac:dyDescent="0.2">
      <c r="AJ796" s="23"/>
    </row>
    <row r="797" spans="36:36" x14ac:dyDescent="0.2">
      <c r="AJ797" s="23"/>
    </row>
    <row r="798" spans="36:36" x14ac:dyDescent="0.2">
      <c r="AJ798" s="23"/>
    </row>
    <row r="799" spans="36:36" x14ac:dyDescent="0.2">
      <c r="AJ799" s="23"/>
    </row>
    <row r="800" spans="36:36" x14ac:dyDescent="0.2">
      <c r="AJ800" s="23"/>
    </row>
    <row r="801" spans="36:36" x14ac:dyDescent="0.2">
      <c r="AJ801" s="23"/>
    </row>
    <row r="802" spans="36:36" x14ac:dyDescent="0.2">
      <c r="AJ802" s="23"/>
    </row>
    <row r="803" spans="36:36" x14ac:dyDescent="0.2">
      <c r="AJ803" s="23"/>
    </row>
    <row r="804" spans="36:36" x14ac:dyDescent="0.2">
      <c r="AJ804" s="23"/>
    </row>
    <row r="805" spans="36:36" x14ac:dyDescent="0.2">
      <c r="AJ805" s="23"/>
    </row>
    <row r="806" spans="36:36" x14ac:dyDescent="0.2">
      <c r="AJ806" s="23"/>
    </row>
    <row r="807" spans="36:36" x14ac:dyDescent="0.2">
      <c r="AJ807" s="23"/>
    </row>
    <row r="808" spans="36:36" x14ac:dyDescent="0.2">
      <c r="AJ808" s="23"/>
    </row>
    <row r="809" spans="36:36" x14ac:dyDescent="0.2">
      <c r="AJ809" s="23"/>
    </row>
    <row r="810" spans="36:36" x14ac:dyDescent="0.2">
      <c r="AJ810" s="23"/>
    </row>
    <row r="811" spans="36:36" x14ac:dyDescent="0.2">
      <c r="AJ811" s="23"/>
    </row>
    <row r="812" spans="36:36" x14ac:dyDescent="0.2">
      <c r="AJ812" s="23"/>
    </row>
    <row r="813" spans="36:36" x14ac:dyDescent="0.2">
      <c r="AJ813" s="23"/>
    </row>
    <row r="814" spans="36:36" x14ac:dyDescent="0.2">
      <c r="AJ814" s="23"/>
    </row>
    <row r="815" spans="36:36" x14ac:dyDescent="0.2">
      <c r="AJ815" s="23"/>
    </row>
    <row r="816" spans="36:36" x14ac:dyDescent="0.2">
      <c r="AJ816" s="23"/>
    </row>
    <row r="817" spans="36:36" x14ac:dyDescent="0.2">
      <c r="AJ817" s="23"/>
    </row>
    <row r="818" spans="36:36" x14ac:dyDescent="0.2">
      <c r="AJ818" s="23"/>
    </row>
    <row r="819" spans="36:36" x14ac:dyDescent="0.2">
      <c r="AJ819" s="23"/>
    </row>
    <row r="820" spans="36:36" x14ac:dyDescent="0.2">
      <c r="AJ820" s="23"/>
    </row>
    <row r="821" spans="36:36" x14ac:dyDescent="0.2">
      <c r="AJ821" s="23"/>
    </row>
    <row r="822" spans="36:36" x14ac:dyDescent="0.2">
      <c r="AJ822" s="23"/>
    </row>
    <row r="823" spans="36:36" x14ac:dyDescent="0.2">
      <c r="AJ823" s="23"/>
    </row>
    <row r="824" spans="36:36" x14ac:dyDescent="0.2">
      <c r="AJ824" s="23"/>
    </row>
    <row r="825" spans="36:36" x14ac:dyDescent="0.2">
      <c r="AJ825" s="23"/>
    </row>
    <row r="826" spans="36:36" x14ac:dyDescent="0.2">
      <c r="AJ826" s="23"/>
    </row>
    <row r="827" spans="36:36" x14ac:dyDescent="0.2">
      <c r="AJ827" s="23"/>
    </row>
    <row r="828" spans="36:36" x14ac:dyDescent="0.2">
      <c r="AJ828" s="23"/>
    </row>
    <row r="829" spans="36:36" x14ac:dyDescent="0.2">
      <c r="AJ829" s="23"/>
    </row>
    <row r="830" spans="36:36" x14ac:dyDescent="0.2">
      <c r="AJ830" s="23"/>
    </row>
    <row r="831" spans="36:36" x14ac:dyDescent="0.2">
      <c r="AJ831" s="23"/>
    </row>
    <row r="832" spans="36:36" x14ac:dyDescent="0.2">
      <c r="AJ832" s="23"/>
    </row>
    <row r="833" spans="36:36" x14ac:dyDescent="0.2">
      <c r="AJ833" s="23"/>
    </row>
    <row r="834" spans="36:36" x14ac:dyDescent="0.2">
      <c r="AJ834" s="23"/>
    </row>
    <row r="835" spans="36:36" x14ac:dyDescent="0.2">
      <c r="AJ835" s="23"/>
    </row>
    <row r="836" spans="36:36" x14ac:dyDescent="0.2">
      <c r="AJ836" s="23"/>
    </row>
    <row r="837" spans="36:36" x14ac:dyDescent="0.2">
      <c r="AJ837" s="23"/>
    </row>
    <row r="838" spans="36:36" x14ac:dyDescent="0.2">
      <c r="AJ838" s="23"/>
    </row>
    <row r="839" spans="36:36" x14ac:dyDescent="0.2">
      <c r="AJ839" s="23"/>
    </row>
    <row r="840" spans="36:36" x14ac:dyDescent="0.2">
      <c r="AJ840" s="23"/>
    </row>
    <row r="841" spans="36:36" x14ac:dyDescent="0.2">
      <c r="AJ841" s="23"/>
    </row>
    <row r="842" spans="36:36" x14ac:dyDescent="0.2">
      <c r="AJ842" s="23"/>
    </row>
    <row r="843" spans="36:36" x14ac:dyDescent="0.2">
      <c r="AJ843" s="23"/>
    </row>
    <row r="844" spans="36:36" x14ac:dyDescent="0.2">
      <c r="AJ844" s="23"/>
    </row>
    <row r="845" spans="36:36" x14ac:dyDescent="0.2">
      <c r="AJ845" s="23"/>
    </row>
    <row r="846" spans="36:36" x14ac:dyDescent="0.2">
      <c r="AJ846" s="23"/>
    </row>
    <row r="847" spans="36:36" x14ac:dyDescent="0.2">
      <c r="AJ847" s="23"/>
    </row>
    <row r="848" spans="36:36" x14ac:dyDescent="0.2">
      <c r="AJ848" s="23"/>
    </row>
    <row r="849" spans="36:36" x14ac:dyDescent="0.2">
      <c r="AJ849" s="23"/>
    </row>
    <row r="850" spans="36:36" x14ac:dyDescent="0.2">
      <c r="AJ850" s="23"/>
    </row>
    <row r="851" spans="36:36" x14ac:dyDescent="0.2">
      <c r="AJ851" s="23"/>
    </row>
    <row r="852" spans="36:36" x14ac:dyDescent="0.2">
      <c r="AJ852" s="23"/>
    </row>
    <row r="853" spans="36:36" x14ac:dyDescent="0.2">
      <c r="AJ853" s="23"/>
    </row>
    <row r="854" spans="36:36" x14ac:dyDescent="0.2">
      <c r="AJ854" s="23"/>
    </row>
    <row r="855" spans="36:36" x14ac:dyDescent="0.2">
      <c r="AJ855" s="23"/>
    </row>
    <row r="856" spans="36:36" x14ac:dyDescent="0.2">
      <c r="AJ856" s="23"/>
    </row>
    <row r="857" spans="36:36" x14ac:dyDescent="0.2">
      <c r="AJ857" s="23"/>
    </row>
    <row r="858" spans="36:36" x14ac:dyDescent="0.2">
      <c r="AJ858" s="23"/>
    </row>
    <row r="859" spans="36:36" x14ac:dyDescent="0.2">
      <c r="AJ859" s="23"/>
    </row>
    <row r="860" spans="36:36" x14ac:dyDescent="0.2">
      <c r="AJ860" s="23"/>
    </row>
    <row r="861" spans="36:36" x14ac:dyDescent="0.2">
      <c r="AJ861" s="23"/>
    </row>
    <row r="862" spans="36:36" x14ac:dyDescent="0.2">
      <c r="AJ862" s="23"/>
    </row>
    <row r="863" spans="36:36" x14ac:dyDescent="0.2">
      <c r="AJ863" s="23"/>
    </row>
    <row r="864" spans="36:36" x14ac:dyDescent="0.2">
      <c r="AJ864" s="23"/>
    </row>
    <row r="865" spans="36:36" x14ac:dyDescent="0.2">
      <c r="AJ865" s="23"/>
    </row>
    <row r="866" spans="36:36" x14ac:dyDescent="0.2">
      <c r="AJ866" s="23"/>
    </row>
    <row r="867" spans="36:36" x14ac:dyDescent="0.2">
      <c r="AJ867" s="23"/>
    </row>
    <row r="868" spans="36:36" x14ac:dyDescent="0.2">
      <c r="AJ868" s="23"/>
    </row>
    <row r="869" spans="36:36" x14ac:dyDescent="0.2">
      <c r="AJ869" s="23"/>
    </row>
    <row r="870" spans="36:36" x14ac:dyDescent="0.2">
      <c r="AJ870" s="23"/>
    </row>
    <row r="871" spans="36:36" x14ac:dyDescent="0.2">
      <c r="AJ871" s="23"/>
    </row>
    <row r="872" spans="36:36" x14ac:dyDescent="0.2">
      <c r="AJ872" s="23"/>
    </row>
    <row r="873" spans="36:36" x14ac:dyDescent="0.2">
      <c r="AJ873" s="23"/>
    </row>
    <row r="874" spans="36:36" x14ac:dyDescent="0.2">
      <c r="AJ874" s="23"/>
    </row>
    <row r="875" spans="36:36" x14ac:dyDescent="0.2">
      <c r="AJ875" s="23"/>
    </row>
    <row r="876" spans="36:36" x14ac:dyDescent="0.2">
      <c r="AJ876" s="23"/>
    </row>
    <row r="877" spans="36:36" x14ac:dyDescent="0.2">
      <c r="AJ877" s="23"/>
    </row>
    <row r="878" spans="36:36" x14ac:dyDescent="0.2">
      <c r="AJ878" s="23"/>
    </row>
    <row r="879" spans="36:36" x14ac:dyDescent="0.2">
      <c r="AJ879" s="23"/>
    </row>
    <row r="880" spans="36:36" x14ac:dyDescent="0.2">
      <c r="AJ880" s="23"/>
    </row>
    <row r="881" spans="36:36" x14ac:dyDescent="0.2">
      <c r="AJ881" s="23"/>
    </row>
    <row r="882" spans="36:36" x14ac:dyDescent="0.2">
      <c r="AJ882" s="23"/>
    </row>
    <row r="883" spans="36:36" x14ac:dyDescent="0.2">
      <c r="AJ883" s="23"/>
    </row>
    <row r="884" spans="36:36" x14ac:dyDescent="0.2">
      <c r="AJ884" s="23"/>
    </row>
    <row r="885" spans="36:36" x14ac:dyDescent="0.2">
      <c r="AJ885" s="23"/>
    </row>
    <row r="886" spans="36:36" x14ac:dyDescent="0.2">
      <c r="AJ886" s="23"/>
    </row>
    <row r="887" spans="36:36" x14ac:dyDescent="0.2">
      <c r="AJ887" s="23"/>
    </row>
    <row r="888" spans="36:36" x14ac:dyDescent="0.2">
      <c r="AJ888" s="23"/>
    </row>
    <row r="889" spans="36:36" x14ac:dyDescent="0.2">
      <c r="AJ889" s="23"/>
    </row>
    <row r="890" spans="36:36" x14ac:dyDescent="0.2">
      <c r="AJ890" s="23"/>
    </row>
    <row r="891" spans="36:36" x14ac:dyDescent="0.2">
      <c r="AJ891" s="23"/>
    </row>
    <row r="892" spans="36:36" x14ac:dyDescent="0.2">
      <c r="AJ892" s="23"/>
    </row>
    <row r="893" spans="36:36" x14ac:dyDescent="0.2">
      <c r="AJ893" s="23"/>
    </row>
    <row r="894" spans="36:36" x14ac:dyDescent="0.2">
      <c r="AJ894" s="23"/>
    </row>
    <row r="895" spans="36:36" x14ac:dyDescent="0.2">
      <c r="AJ895" s="23"/>
    </row>
    <row r="896" spans="36:36" x14ac:dyDescent="0.2">
      <c r="AJ896" s="23"/>
    </row>
    <row r="897" spans="36:36" x14ac:dyDescent="0.2">
      <c r="AJ897" s="23"/>
    </row>
    <row r="898" spans="36:36" x14ac:dyDescent="0.2">
      <c r="AJ898" s="23"/>
    </row>
    <row r="899" spans="36:36" x14ac:dyDescent="0.2">
      <c r="AJ899" s="23"/>
    </row>
    <row r="900" spans="36:36" x14ac:dyDescent="0.2">
      <c r="AJ900" s="23"/>
    </row>
    <row r="901" spans="36:36" x14ac:dyDescent="0.2">
      <c r="AJ901" s="23"/>
    </row>
    <row r="902" spans="36:36" x14ac:dyDescent="0.2">
      <c r="AJ902" s="23"/>
    </row>
    <row r="903" spans="36:36" x14ac:dyDescent="0.2">
      <c r="AJ903" s="23"/>
    </row>
    <row r="904" spans="36:36" x14ac:dyDescent="0.2">
      <c r="AJ904" s="23"/>
    </row>
    <row r="905" spans="36:36" x14ac:dyDescent="0.2">
      <c r="AJ905" s="23"/>
    </row>
    <row r="906" spans="36:36" x14ac:dyDescent="0.2">
      <c r="AJ906" s="23"/>
    </row>
    <row r="907" spans="36:36" x14ac:dyDescent="0.2">
      <c r="AJ907" s="23"/>
    </row>
    <row r="908" spans="36:36" x14ac:dyDescent="0.2">
      <c r="AJ908" s="23"/>
    </row>
    <row r="909" spans="36:36" x14ac:dyDescent="0.2">
      <c r="AJ909" s="23"/>
    </row>
    <row r="910" spans="36:36" x14ac:dyDescent="0.2">
      <c r="AJ910" s="23"/>
    </row>
    <row r="911" spans="36:36" x14ac:dyDescent="0.2">
      <c r="AJ911" s="23"/>
    </row>
    <row r="912" spans="36:36" x14ac:dyDescent="0.2">
      <c r="AJ912" s="23"/>
    </row>
    <row r="913" spans="36:36" x14ac:dyDescent="0.2">
      <c r="AJ913" s="23"/>
    </row>
    <row r="914" spans="36:36" x14ac:dyDescent="0.2">
      <c r="AJ914" s="23"/>
    </row>
    <row r="915" spans="36:36" x14ac:dyDescent="0.2">
      <c r="AJ915" s="23"/>
    </row>
    <row r="916" spans="36:36" x14ac:dyDescent="0.2">
      <c r="AJ916" s="23"/>
    </row>
    <row r="917" spans="36:36" x14ac:dyDescent="0.2">
      <c r="AJ917" s="23"/>
    </row>
    <row r="918" spans="36:36" x14ac:dyDescent="0.2">
      <c r="AJ918" s="23"/>
    </row>
    <row r="919" spans="36:36" x14ac:dyDescent="0.2">
      <c r="AJ919" s="23"/>
    </row>
    <row r="920" spans="36:36" x14ac:dyDescent="0.2">
      <c r="AJ920" s="23"/>
    </row>
    <row r="921" spans="36:36" x14ac:dyDescent="0.2">
      <c r="AJ921" s="23"/>
    </row>
    <row r="922" spans="36:36" x14ac:dyDescent="0.2">
      <c r="AJ922" s="23"/>
    </row>
    <row r="923" spans="36:36" x14ac:dyDescent="0.2">
      <c r="AJ923" s="23"/>
    </row>
    <row r="924" spans="36:36" x14ac:dyDescent="0.2">
      <c r="AJ924" s="23"/>
    </row>
    <row r="925" spans="36:36" x14ac:dyDescent="0.2">
      <c r="AJ925" s="23"/>
    </row>
    <row r="926" spans="36:36" x14ac:dyDescent="0.2">
      <c r="AJ926" s="23"/>
    </row>
    <row r="927" spans="36:36" x14ac:dyDescent="0.2">
      <c r="AJ927" s="23"/>
    </row>
    <row r="928" spans="36:36" x14ac:dyDescent="0.2">
      <c r="AJ928" s="23"/>
    </row>
    <row r="929" spans="36:36" x14ac:dyDescent="0.2">
      <c r="AJ929" s="23"/>
    </row>
    <row r="930" spans="36:36" x14ac:dyDescent="0.2">
      <c r="AJ930" s="23"/>
    </row>
    <row r="931" spans="36:36" x14ac:dyDescent="0.2">
      <c r="AJ931" s="23"/>
    </row>
    <row r="932" spans="36:36" x14ac:dyDescent="0.2">
      <c r="AJ932" s="23"/>
    </row>
    <row r="933" spans="36:36" x14ac:dyDescent="0.2">
      <c r="AJ933" s="23"/>
    </row>
    <row r="934" spans="36:36" x14ac:dyDescent="0.2">
      <c r="AJ934" s="23"/>
    </row>
    <row r="935" spans="36:36" x14ac:dyDescent="0.2">
      <c r="AJ935" s="23"/>
    </row>
    <row r="936" spans="36:36" x14ac:dyDescent="0.2">
      <c r="AJ936" s="23"/>
    </row>
    <row r="937" spans="36:36" x14ac:dyDescent="0.2">
      <c r="AJ937" s="23"/>
    </row>
    <row r="938" spans="36:36" x14ac:dyDescent="0.2">
      <c r="AJ938" s="23"/>
    </row>
    <row r="939" spans="36:36" x14ac:dyDescent="0.2">
      <c r="AJ939" s="23"/>
    </row>
    <row r="940" spans="36:36" x14ac:dyDescent="0.2">
      <c r="AJ940" s="23"/>
    </row>
    <row r="941" spans="36:36" x14ac:dyDescent="0.2">
      <c r="AJ941" s="23"/>
    </row>
    <row r="942" spans="36:36" x14ac:dyDescent="0.2">
      <c r="AJ942" s="23"/>
    </row>
    <row r="943" spans="36:36" x14ac:dyDescent="0.2">
      <c r="AJ943" s="23"/>
    </row>
    <row r="944" spans="36:36" x14ac:dyDescent="0.2">
      <c r="AJ944" s="23"/>
    </row>
    <row r="945" spans="36:36" x14ac:dyDescent="0.2">
      <c r="AJ945" s="23"/>
    </row>
    <row r="946" spans="36:36" x14ac:dyDescent="0.2">
      <c r="AJ946" s="23"/>
    </row>
    <row r="947" spans="36:36" x14ac:dyDescent="0.2">
      <c r="AJ947" s="23"/>
    </row>
    <row r="948" spans="36:36" x14ac:dyDescent="0.2">
      <c r="AJ948" s="23"/>
    </row>
    <row r="949" spans="36:36" x14ac:dyDescent="0.2">
      <c r="AJ949" s="23"/>
    </row>
    <row r="950" spans="36:36" x14ac:dyDescent="0.2">
      <c r="AJ950" s="23"/>
    </row>
    <row r="951" spans="36:36" x14ac:dyDescent="0.2">
      <c r="AJ951" s="23"/>
    </row>
    <row r="952" spans="36:36" x14ac:dyDescent="0.2">
      <c r="AJ952" s="23"/>
    </row>
    <row r="953" spans="36:36" x14ac:dyDescent="0.2">
      <c r="AJ953" s="23"/>
    </row>
    <row r="954" spans="36:36" x14ac:dyDescent="0.2">
      <c r="AJ954" s="23"/>
    </row>
    <row r="955" spans="36:36" x14ac:dyDescent="0.2">
      <c r="AJ955" s="23"/>
    </row>
    <row r="956" spans="36:36" x14ac:dyDescent="0.2">
      <c r="AJ956" s="23"/>
    </row>
    <row r="957" spans="36:36" x14ac:dyDescent="0.2">
      <c r="AJ957" s="23"/>
    </row>
    <row r="958" spans="36:36" x14ac:dyDescent="0.2">
      <c r="AJ958" s="23"/>
    </row>
    <row r="959" spans="36:36" x14ac:dyDescent="0.2">
      <c r="AJ959" s="23"/>
    </row>
    <row r="960" spans="36:36" x14ac:dyDescent="0.2">
      <c r="AJ960" s="23"/>
    </row>
    <row r="961" spans="36:36" x14ac:dyDescent="0.2">
      <c r="AJ961" s="23"/>
    </row>
    <row r="962" spans="36:36" x14ac:dyDescent="0.2">
      <c r="AJ962" s="23"/>
    </row>
    <row r="963" spans="36:36" x14ac:dyDescent="0.2">
      <c r="AJ963" s="23"/>
    </row>
    <row r="964" spans="36:36" x14ac:dyDescent="0.2">
      <c r="AJ964" s="23"/>
    </row>
    <row r="965" spans="36:36" x14ac:dyDescent="0.2">
      <c r="AJ965" s="23"/>
    </row>
    <row r="966" spans="36:36" x14ac:dyDescent="0.2">
      <c r="AJ966" s="23"/>
    </row>
    <row r="967" spans="36:36" x14ac:dyDescent="0.2">
      <c r="AJ967" s="23"/>
    </row>
    <row r="968" spans="36:36" x14ac:dyDescent="0.2">
      <c r="AJ968" s="23"/>
    </row>
    <row r="969" spans="36:36" x14ac:dyDescent="0.2">
      <c r="AJ969" s="23"/>
    </row>
    <row r="970" spans="36:36" x14ac:dyDescent="0.2">
      <c r="AJ970" s="23"/>
    </row>
    <row r="971" spans="36:36" x14ac:dyDescent="0.2">
      <c r="AJ971" s="23"/>
    </row>
    <row r="972" spans="36:36" x14ac:dyDescent="0.2">
      <c r="AJ972" s="23"/>
    </row>
    <row r="973" spans="36:36" x14ac:dyDescent="0.2">
      <c r="AJ973" s="23"/>
    </row>
    <row r="974" spans="36:36" x14ac:dyDescent="0.2">
      <c r="AJ974" s="23"/>
    </row>
    <row r="975" spans="36:36" x14ac:dyDescent="0.2">
      <c r="AJ975" s="23"/>
    </row>
    <row r="976" spans="36:36" x14ac:dyDescent="0.2">
      <c r="AJ976" s="23"/>
    </row>
    <row r="977" spans="36:36" x14ac:dyDescent="0.2">
      <c r="AJ977" s="23"/>
    </row>
    <row r="978" spans="36:36" x14ac:dyDescent="0.2">
      <c r="AJ978" s="23"/>
    </row>
    <row r="979" spans="36:36" x14ac:dyDescent="0.2">
      <c r="AJ979" s="23"/>
    </row>
    <row r="980" spans="36:36" x14ac:dyDescent="0.2">
      <c r="AJ980" s="23"/>
    </row>
    <row r="981" spans="36:36" x14ac:dyDescent="0.2">
      <c r="AJ981" s="23"/>
    </row>
    <row r="982" spans="36:36" x14ac:dyDescent="0.2">
      <c r="AJ982" s="23"/>
    </row>
    <row r="983" spans="36:36" x14ac:dyDescent="0.2">
      <c r="AJ983" s="23"/>
    </row>
    <row r="984" spans="36:36" x14ac:dyDescent="0.2">
      <c r="AJ984" s="23"/>
    </row>
    <row r="985" spans="36:36" x14ac:dyDescent="0.2">
      <c r="AJ985" s="23"/>
    </row>
    <row r="986" spans="36:36" x14ac:dyDescent="0.2">
      <c r="AJ986" s="23"/>
    </row>
    <row r="987" spans="36:36" x14ac:dyDescent="0.2">
      <c r="AJ987" s="23"/>
    </row>
    <row r="988" spans="36:36" x14ac:dyDescent="0.2">
      <c r="AJ988" s="23"/>
    </row>
    <row r="989" spans="36:36" x14ac:dyDescent="0.2">
      <c r="AJ989" s="23"/>
    </row>
    <row r="990" spans="36:36" x14ac:dyDescent="0.2">
      <c r="AJ990" s="23"/>
    </row>
    <row r="991" spans="36:36" x14ac:dyDescent="0.2">
      <c r="AJ991" s="23"/>
    </row>
    <row r="992" spans="36:36" x14ac:dyDescent="0.2">
      <c r="AJ992" s="23"/>
    </row>
    <row r="993" spans="36:36" x14ac:dyDescent="0.2">
      <c r="AJ993" s="23"/>
    </row>
    <row r="994" spans="36:36" x14ac:dyDescent="0.2">
      <c r="AJ994" s="23"/>
    </row>
    <row r="995" spans="36:36" x14ac:dyDescent="0.2">
      <c r="AJ995" s="23"/>
    </row>
    <row r="996" spans="36:36" x14ac:dyDescent="0.2">
      <c r="AJ996" s="23"/>
    </row>
    <row r="997" spans="36:36" x14ac:dyDescent="0.2">
      <c r="AJ997" s="23"/>
    </row>
    <row r="998" spans="36:36" x14ac:dyDescent="0.2">
      <c r="AJ998" s="23"/>
    </row>
    <row r="999" spans="36:36" x14ac:dyDescent="0.2">
      <c r="AJ999" s="23"/>
    </row>
    <row r="1000" spans="36:36" x14ac:dyDescent="0.2">
      <c r="AJ1000" s="23"/>
    </row>
    <row r="1001" spans="36:36" x14ac:dyDescent="0.2">
      <c r="AJ1001" s="23"/>
    </row>
    <row r="1002" spans="36:36" x14ac:dyDescent="0.2">
      <c r="AJ1002" s="23"/>
    </row>
    <row r="1003" spans="36:36" x14ac:dyDescent="0.2">
      <c r="AJ1003" s="23"/>
    </row>
    <row r="1004" spans="36:36" x14ac:dyDescent="0.2">
      <c r="AJ1004" s="23"/>
    </row>
    <row r="1005" spans="36:36" x14ac:dyDescent="0.2">
      <c r="AJ1005" s="23"/>
    </row>
    <row r="1006" spans="36:36" x14ac:dyDescent="0.2">
      <c r="AJ1006" s="23"/>
    </row>
    <row r="1007" spans="36:36" x14ac:dyDescent="0.2">
      <c r="AJ1007" s="23"/>
    </row>
    <row r="1008" spans="36:36" x14ac:dyDescent="0.2">
      <c r="AJ1008" s="23"/>
    </row>
    <row r="1009" spans="36:36" x14ac:dyDescent="0.2">
      <c r="AJ1009" s="23"/>
    </row>
    <row r="1010" spans="36:36" x14ac:dyDescent="0.2">
      <c r="AJ1010" s="23"/>
    </row>
    <row r="1011" spans="36:36" x14ac:dyDescent="0.2">
      <c r="AJ1011" s="23"/>
    </row>
    <row r="1012" spans="36:36" x14ac:dyDescent="0.2">
      <c r="AJ1012" s="23"/>
    </row>
    <row r="1013" spans="36:36" x14ac:dyDescent="0.2">
      <c r="AJ1013" s="23"/>
    </row>
    <row r="1014" spans="36:36" x14ac:dyDescent="0.2">
      <c r="AJ1014" s="23"/>
    </row>
    <row r="1015" spans="36:36" x14ac:dyDescent="0.2">
      <c r="AJ1015" s="23"/>
    </row>
    <row r="1016" spans="36:36" x14ac:dyDescent="0.2">
      <c r="AJ1016" s="23"/>
    </row>
    <row r="1017" spans="36:36" x14ac:dyDescent="0.2">
      <c r="AJ1017" s="23"/>
    </row>
    <row r="1018" spans="36:36" x14ac:dyDescent="0.2">
      <c r="AJ1018" s="23"/>
    </row>
    <row r="1019" spans="36:36" x14ac:dyDescent="0.2">
      <c r="AJ1019" s="23"/>
    </row>
    <row r="1020" spans="36:36" x14ac:dyDescent="0.2">
      <c r="AJ1020" s="23"/>
    </row>
    <row r="1021" spans="36:36" x14ac:dyDescent="0.2">
      <c r="AJ1021" s="23"/>
    </row>
    <row r="1022" spans="36:36" x14ac:dyDescent="0.2">
      <c r="AJ1022" s="23"/>
    </row>
    <row r="1023" spans="36:36" x14ac:dyDescent="0.2">
      <c r="AJ1023" s="23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Z57"/>
  <sheetViews>
    <sheetView workbookViewId="0"/>
  </sheetViews>
  <sheetFormatPr baseColWidth="10" defaultColWidth="12.5703125" defaultRowHeight="15.75" customHeight="1" x14ac:dyDescent="0.2"/>
  <cols>
    <col min="1" max="1" width="33.28515625" customWidth="1"/>
    <col min="6" max="7" width="16.85546875" hidden="1" customWidth="1"/>
    <col min="8" max="8" width="14" hidden="1" customWidth="1"/>
    <col min="9" max="9" width="17.28515625" hidden="1" customWidth="1"/>
    <col min="10" max="10" width="14.5703125" hidden="1" customWidth="1"/>
    <col min="11" max="11" width="17.140625" hidden="1" customWidth="1"/>
    <col min="12" max="12" width="14.28515625" hidden="1" customWidth="1"/>
    <col min="13" max="13" width="16.85546875" hidden="1" customWidth="1"/>
    <col min="14" max="14" width="14.28515625" hidden="1" customWidth="1"/>
    <col min="15" max="15" width="16.85546875" hidden="1" customWidth="1"/>
    <col min="16" max="16" width="13.42578125" hidden="1" customWidth="1"/>
    <col min="17" max="17" width="16.85546875" hidden="1" customWidth="1"/>
    <col min="18" max="18" width="13.42578125" hidden="1" customWidth="1"/>
    <col min="19" max="19" width="16.85546875" hidden="1" customWidth="1"/>
    <col min="20" max="20" width="13.42578125" hidden="1" customWidth="1"/>
    <col min="21" max="21" width="16.85546875" hidden="1" customWidth="1"/>
    <col min="22" max="22" width="13.42578125" hidden="1" customWidth="1"/>
    <col min="23" max="23" width="16.85546875" hidden="1" customWidth="1"/>
    <col min="24" max="24" width="13.7109375" hidden="1" customWidth="1"/>
    <col min="25" max="25" width="16.7109375" hidden="1" customWidth="1"/>
    <col min="26" max="28" width="12.5703125" hidden="1"/>
    <col min="29" max="38" width="13.42578125" hidden="1" customWidth="1"/>
    <col min="39" max="39" width="16.85546875" hidden="1" customWidth="1"/>
    <col min="40" max="40" width="13.42578125" hidden="1" customWidth="1"/>
    <col min="41" max="41" width="16.85546875" hidden="1" customWidth="1"/>
    <col min="42" max="42" width="13.42578125" hidden="1" customWidth="1"/>
    <col min="43" max="43" width="16.85546875" hidden="1" customWidth="1"/>
    <col min="44" max="44" width="13.42578125" customWidth="1"/>
    <col min="45" max="45" width="16.85546875" customWidth="1"/>
    <col min="46" max="46" width="13.42578125" customWidth="1"/>
    <col min="47" max="47" width="16.85546875" customWidth="1"/>
    <col min="48" max="48" width="13.42578125" customWidth="1"/>
    <col min="49" max="52" width="16.85546875" customWidth="1"/>
  </cols>
  <sheetData>
    <row r="1" spans="1:52" x14ac:dyDescent="0.2">
      <c r="A1" s="5" t="s">
        <v>1</v>
      </c>
      <c r="B1" s="5" t="s">
        <v>202</v>
      </c>
      <c r="C1" s="5" t="s">
        <v>203</v>
      </c>
      <c r="D1" s="5" t="s">
        <v>204</v>
      </c>
      <c r="E1" s="5" t="s">
        <v>205</v>
      </c>
      <c r="F1" s="6" t="s">
        <v>206</v>
      </c>
      <c r="G1" s="6" t="s">
        <v>207</v>
      </c>
      <c r="H1" s="21" t="s">
        <v>208</v>
      </c>
      <c r="I1" s="21" t="s">
        <v>209</v>
      </c>
      <c r="J1" s="21" t="s">
        <v>210</v>
      </c>
      <c r="K1" s="21" t="s">
        <v>211</v>
      </c>
      <c r="L1" s="21" t="s">
        <v>212</v>
      </c>
      <c r="M1" s="21" t="s">
        <v>213</v>
      </c>
      <c r="N1" s="21" t="s">
        <v>214</v>
      </c>
      <c r="O1" s="21" t="s">
        <v>215</v>
      </c>
      <c r="P1" s="21" t="s">
        <v>216</v>
      </c>
      <c r="Q1" s="21" t="s">
        <v>217</v>
      </c>
      <c r="R1" s="21" t="s">
        <v>218</v>
      </c>
      <c r="S1" s="21" t="s">
        <v>219</v>
      </c>
      <c r="T1" s="21" t="s">
        <v>220</v>
      </c>
      <c r="U1" s="21" t="s">
        <v>221</v>
      </c>
      <c r="V1" s="21" t="s">
        <v>222</v>
      </c>
      <c r="W1" s="21" t="s">
        <v>223</v>
      </c>
      <c r="X1" s="21" t="s">
        <v>224</v>
      </c>
      <c r="Y1" s="21" t="s">
        <v>225</v>
      </c>
      <c r="Z1" s="21" t="s">
        <v>226</v>
      </c>
      <c r="AA1" s="21" t="s">
        <v>227</v>
      </c>
      <c r="AB1" s="21" t="s">
        <v>228</v>
      </c>
      <c r="AC1" s="21" t="s">
        <v>229</v>
      </c>
      <c r="AD1" s="21" t="s">
        <v>230</v>
      </c>
      <c r="AE1" s="21" t="s">
        <v>231</v>
      </c>
      <c r="AF1" s="21" t="s">
        <v>232</v>
      </c>
      <c r="AG1" s="21" t="s">
        <v>233</v>
      </c>
      <c r="AH1" s="21" t="s">
        <v>234</v>
      </c>
      <c r="AI1" s="21" t="s">
        <v>235</v>
      </c>
      <c r="AJ1" s="21" t="s">
        <v>236</v>
      </c>
      <c r="AK1" s="21" t="s">
        <v>237</v>
      </c>
      <c r="AL1" s="21" t="s">
        <v>238</v>
      </c>
      <c r="AM1" s="21" t="s">
        <v>239</v>
      </c>
      <c r="AN1" s="13" t="s">
        <v>240</v>
      </c>
      <c r="AO1" s="13" t="s">
        <v>241</v>
      </c>
      <c r="AP1" s="13" t="s">
        <v>242</v>
      </c>
      <c r="AQ1" s="13" t="s">
        <v>243</v>
      </c>
      <c r="AR1" s="13" t="s">
        <v>244</v>
      </c>
      <c r="AS1" s="13" t="s">
        <v>245</v>
      </c>
      <c r="AT1" s="13" t="s">
        <v>246</v>
      </c>
      <c r="AU1" s="13" t="s">
        <v>247</v>
      </c>
      <c r="AV1" s="13" t="s">
        <v>248</v>
      </c>
      <c r="AW1" s="13" t="s">
        <v>249</v>
      </c>
      <c r="AX1" s="13" t="s">
        <v>250</v>
      </c>
      <c r="AY1" s="13" t="s">
        <v>251</v>
      </c>
      <c r="AZ1" s="39"/>
    </row>
    <row r="2" spans="1:52" x14ac:dyDescent="0.2">
      <c r="A2" s="5" t="s">
        <v>77</v>
      </c>
      <c r="B2" s="15">
        <v>27000</v>
      </c>
      <c r="C2" s="15">
        <v>1125</v>
      </c>
      <c r="D2" s="15">
        <v>3000</v>
      </c>
      <c r="E2" s="15">
        <f t="shared" ref="E2:E55" si="0">D2-C2</f>
        <v>1875</v>
      </c>
      <c r="F2" s="26">
        <v>0</v>
      </c>
      <c r="G2" s="27">
        <f t="shared" ref="G2:G51" si="1">F2*E2</f>
        <v>0</v>
      </c>
      <c r="H2" s="26">
        <v>0</v>
      </c>
      <c r="I2" s="27">
        <f t="shared" ref="I2:I55" si="2">H2*E2</f>
        <v>0</v>
      </c>
      <c r="J2" s="20">
        <v>0</v>
      </c>
      <c r="K2" s="27">
        <f t="shared" ref="K2:K55" si="3">J2*E2</f>
        <v>0</v>
      </c>
      <c r="L2" s="20">
        <v>8</v>
      </c>
      <c r="M2" s="27">
        <f t="shared" ref="M2:M55" si="4">L2*E2</f>
        <v>15000</v>
      </c>
      <c r="N2" s="20">
        <v>2</v>
      </c>
      <c r="O2" s="27">
        <f t="shared" ref="O2:O55" si="5">N2*E2</f>
        <v>3750</v>
      </c>
      <c r="P2" s="20">
        <v>2</v>
      </c>
      <c r="Q2" s="27">
        <f t="shared" ref="Q2:Q55" si="6">P2*E2</f>
        <v>3750</v>
      </c>
      <c r="R2" s="19">
        <v>1</v>
      </c>
      <c r="S2" s="27">
        <f t="shared" ref="S2:S55" si="7">R2*E2</f>
        <v>1875</v>
      </c>
      <c r="T2" s="19">
        <v>0</v>
      </c>
      <c r="U2" s="27">
        <f t="shared" ref="U2:U55" si="8">T2*E2</f>
        <v>0</v>
      </c>
      <c r="V2" s="19">
        <v>0</v>
      </c>
      <c r="W2" s="27">
        <f t="shared" ref="W2:W55" si="9">V2*E2</f>
        <v>0</v>
      </c>
      <c r="X2" s="19">
        <v>1</v>
      </c>
      <c r="Y2" s="27">
        <f t="shared" ref="Y2:Y55" si="10">X2*E2</f>
        <v>1875</v>
      </c>
      <c r="Z2" s="20">
        <v>0</v>
      </c>
      <c r="AA2" s="27">
        <f t="shared" ref="AA2:AA55" si="11">Z2*E2</f>
        <v>0</v>
      </c>
      <c r="AB2" s="20">
        <v>0</v>
      </c>
      <c r="AC2" s="27">
        <f t="shared" ref="AC2:AC55" si="12">AB2*E2</f>
        <v>0</v>
      </c>
      <c r="AD2" s="20">
        <v>5</v>
      </c>
      <c r="AE2" s="27">
        <f t="shared" ref="AE2:AE55" si="13">AD2*E2</f>
        <v>9375</v>
      </c>
      <c r="AF2" s="7">
        <v>0</v>
      </c>
      <c r="AG2" s="27">
        <f t="shared" ref="AG2:AG55" si="14">AF2*E2</f>
        <v>0</v>
      </c>
      <c r="AH2" s="7">
        <v>12</v>
      </c>
      <c r="AI2" s="27">
        <f t="shared" ref="AI2:AI55" si="15">AH2*E2</f>
        <v>22500</v>
      </c>
      <c r="AJ2" s="7">
        <v>0</v>
      </c>
      <c r="AK2" s="27">
        <f t="shared" ref="AK2:AK55" si="16">AJ2*E2</f>
        <v>0</v>
      </c>
      <c r="AL2" s="7">
        <v>2</v>
      </c>
      <c r="AM2" s="27">
        <f t="shared" ref="AM2:AM55" si="17">AL2*E2</f>
        <v>3750</v>
      </c>
      <c r="AN2" s="7">
        <v>0</v>
      </c>
      <c r="AO2" s="27">
        <f t="shared" ref="AO2:AO55" si="18">AN2*E2</f>
        <v>0</v>
      </c>
      <c r="AP2" s="7">
        <v>3</v>
      </c>
      <c r="AQ2" s="27">
        <f t="shared" ref="AQ2:AQ55" si="19">AP2*E2</f>
        <v>5625</v>
      </c>
      <c r="AR2" s="7">
        <v>0</v>
      </c>
      <c r="AS2" s="27">
        <f t="shared" ref="AS2:AS55" si="20">AR2*E2</f>
        <v>0</v>
      </c>
      <c r="AT2" s="7">
        <v>1</v>
      </c>
      <c r="AU2" s="27">
        <f t="shared" ref="AU2:AU55" si="21">AT2*E2</f>
        <v>1875</v>
      </c>
      <c r="AV2" s="7">
        <v>1</v>
      </c>
      <c r="AW2" s="27">
        <f t="shared" ref="AW2:AW55" si="22">AV2*E2</f>
        <v>1875</v>
      </c>
      <c r="AX2" s="7">
        <v>3</v>
      </c>
      <c r="AY2" s="27">
        <f t="shared" ref="AY2:AY55" si="23">AX2*E2</f>
        <v>5625</v>
      </c>
      <c r="AZ2" s="40"/>
    </row>
    <row r="3" spans="1:52" x14ac:dyDescent="0.2">
      <c r="A3" s="13" t="s">
        <v>78</v>
      </c>
      <c r="B3" s="15">
        <v>28000</v>
      </c>
      <c r="C3" s="15">
        <v>2333</v>
      </c>
      <c r="D3" s="15">
        <v>3500</v>
      </c>
      <c r="E3" s="15">
        <f t="shared" si="0"/>
        <v>1167</v>
      </c>
      <c r="F3" s="26">
        <v>1</v>
      </c>
      <c r="G3" s="27">
        <f t="shared" si="1"/>
        <v>1167</v>
      </c>
      <c r="H3" s="26">
        <v>0</v>
      </c>
      <c r="I3" s="27">
        <f t="shared" si="2"/>
        <v>0</v>
      </c>
      <c r="J3" s="20">
        <v>0</v>
      </c>
      <c r="K3" s="27">
        <f t="shared" si="3"/>
        <v>0</v>
      </c>
      <c r="L3" s="20">
        <v>0</v>
      </c>
      <c r="M3" s="27">
        <f t="shared" si="4"/>
        <v>0</v>
      </c>
      <c r="N3" s="20">
        <v>0</v>
      </c>
      <c r="O3" s="27">
        <f t="shared" si="5"/>
        <v>0</v>
      </c>
      <c r="P3" s="20">
        <v>0</v>
      </c>
      <c r="Q3" s="27">
        <f t="shared" si="6"/>
        <v>0</v>
      </c>
      <c r="R3" s="19">
        <v>0</v>
      </c>
      <c r="S3" s="27">
        <f t="shared" si="7"/>
        <v>0</v>
      </c>
      <c r="T3" s="19">
        <v>0</v>
      </c>
      <c r="U3" s="27">
        <f t="shared" si="8"/>
        <v>0</v>
      </c>
      <c r="V3" s="19">
        <v>0</v>
      </c>
      <c r="W3" s="27">
        <f t="shared" si="9"/>
        <v>0</v>
      </c>
      <c r="X3" s="19">
        <v>0</v>
      </c>
      <c r="Y3" s="27">
        <f t="shared" si="10"/>
        <v>0</v>
      </c>
      <c r="Z3" s="20">
        <v>0</v>
      </c>
      <c r="AA3" s="27">
        <f t="shared" si="11"/>
        <v>0</v>
      </c>
      <c r="AB3" s="20">
        <v>0</v>
      </c>
      <c r="AC3" s="27">
        <f t="shared" si="12"/>
        <v>0</v>
      </c>
      <c r="AD3" s="20">
        <v>0</v>
      </c>
      <c r="AE3" s="27">
        <f t="shared" si="13"/>
        <v>0</v>
      </c>
      <c r="AF3" s="7">
        <v>0</v>
      </c>
      <c r="AG3" s="27">
        <f t="shared" si="14"/>
        <v>0</v>
      </c>
      <c r="AH3" s="7">
        <v>0</v>
      </c>
      <c r="AI3" s="27">
        <f t="shared" si="15"/>
        <v>0</v>
      </c>
      <c r="AJ3" s="7">
        <v>0</v>
      </c>
      <c r="AK3" s="27">
        <f t="shared" si="16"/>
        <v>0</v>
      </c>
      <c r="AL3" s="7">
        <v>1</v>
      </c>
      <c r="AM3" s="27">
        <f t="shared" si="17"/>
        <v>1167</v>
      </c>
      <c r="AN3" s="7">
        <v>1</v>
      </c>
      <c r="AO3" s="27">
        <f t="shared" si="18"/>
        <v>1167</v>
      </c>
      <c r="AP3" s="7">
        <v>2</v>
      </c>
      <c r="AQ3" s="27">
        <f t="shared" si="19"/>
        <v>2334</v>
      </c>
      <c r="AR3" s="7">
        <v>0</v>
      </c>
      <c r="AS3" s="27">
        <f t="shared" si="20"/>
        <v>0</v>
      </c>
      <c r="AT3" s="7">
        <v>0</v>
      </c>
      <c r="AU3" s="27">
        <f t="shared" si="21"/>
        <v>0</v>
      </c>
      <c r="AV3" s="7">
        <v>0</v>
      </c>
      <c r="AW3" s="27">
        <f t="shared" si="22"/>
        <v>0</v>
      </c>
      <c r="AX3" s="7">
        <v>0</v>
      </c>
      <c r="AY3" s="27">
        <f t="shared" si="23"/>
        <v>0</v>
      </c>
      <c r="AZ3" s="40"/>
    </row>
    <row r="4" spans="1:52" x14ac:dyDescent="0.2">
      <c r="A4" s="13" t="s">
        <v>79</v>
      </c>
      <c r="B4" s="15">
        <v>37000</v>
      </c>
      <c r="C4" s="15">
        <v>3083</v>
      </c>
      <c r="D4" s="26">
        <v>4000</v>
      </c>
      <c r="E4" s="15">
        <f t="shared" si="0"/>
        <v>917</v>
      </c>
      <c r="F4" s="26">
        <v>0</v>
      </c>
      <c r="G4" s="27">
        <f t="shared" si="1"/>
        <v>0</v>
      </c>
      <c r="H4" s="26">
        <v>1</v>
      </c>
      <c r="I4" s="27">
        <f t="shared" si="2"/>
        <v>917</v>
      </c>
      <c r="J4" s="20">
        <v>0</v>
      </c>
      <c r="K4" s="27">
        <f t="shared" si="3"/>
        <v>0</v>
      </c>
      <c r="L4" s="20">
        <v>1</v>
      </c>
      <c r="M4" s="27">
        <f t="shared" si="4"/>
        <v>917</v>
      </c>
      <c r="N4" s="20">
        <v>4</v>
      </c>
      <c r="O4" s="27">
        <f t="shared" si="5"/>
        <v>3668</v>
      </c>
      <c r="P4" s="20">
        <v>0</v>
      </c>
      <c r="Q4" s="27">
        <f t="shared" si="6"/>
        <v>0</v>
      </c>
      <c r="R4" s="19">
        <v>2</v>
      </c>
      <c r="S4" s="27">
        <f t="shared" si="7"/>
        <v>1834</v>
      </c>
      <c r="T4" s="19">
        <v>1</v>
      </c>
      <c r="U4" s="27">
        <f t="shared" si="8"/>
        <v>917</v>
      </c>
      <c r="V4" s="19">
        <v>0</v>
      </c>
      <c r="W4" s="27">
        <f t="shared" si="9"/>
        <v>0</v>
      </c>
      <c r="X4" s="19">
        <v>1</v>
      </c>
      <c r="Y4" s="27">
        <f t="shared" si="10"/>
        <v>917</v>
      </c>
      <c r="Z4" s="20">
        <v>0</v>
      </c>
      <c r="AA4" s="27">
        <f t="shared" si="11"/>
        <v>0</v>
      </c>
      <c r="AB4" s="20">
        <v>2</v>
      </c>
      <c r="AC4" s="27">
        <f t="shared" si="12"/>
        <v>1834</v>
      </c>
      <c r="AD4" s="20">
        <v>0</v>
      </c>
      <c r="AE4" s="27">
        <f t="shared" si="13"/>
        <v>0</v>
      </c>
      <c r="AF4" s="7">
        <v>0</v>
      </c>
      <c r="AG4" s="27">
        <f t="shared" si="14"/>
        <v>0</v>
      </c>
      <c r="AH4" s="7">
        <v>0</v>
      </c>
      <c r="AI4" s="27">
        <f t="shared" si="15"/>
        <v>0</v>
      </c>
      <c r="AJ4" s="7">
        <v>1</v>
      </c>
      <c r="AK4" s="27">
        <f t="shared" si="16"/>
        <v>917</v>
      </c>
      <c r="AL4" s="7">
        <v>0</v>
      </c>
      <c r="AM4" s="27">
        <f t="shared" si="17"/>
        <v>0</v>
      </c>
      <c r="AN4" s="7">
        <v>0</v>
      </c>
      <c r="AO4" s="27">
        <f t="shared" si="18"/>
        <v>0</v>
      </c>
      <c r="AP4" s="7">
        <v>0</v>
      </c>
      <c r="AQ4" s="27">
        <f t="shared" si="19"/>
        <v>0</v>
      </c>
      <c r="AR4" s="7">
        <v>2</v>
      </c>
      <c r="AS4" s="27">
        <f t="shared" si="20"/>
        <v>1834</v>
      </c>
      <c r="AT4" s="7">
        <v>0</v>
      </c>
      <c r="AU4" s="27">
        <f t="shared" si="21"/>
        <v>0</v>
      </c>
      <c r="AV4" s="7">
        <v>0</v>
      </c>
      <c r="AW4" s="27">
        <f t="shared" si="22"/>
        <v>0</v>
      </c>
      <c r="AX4" s="7">
        <v>1</v>
      </c>
      <c r="AY4" s="27">
        <f t="shared" si="23"/>
        <v>917</v>
      </c>
      <c r="AZ4" s="40"/>
    </row>
    <row r="5" spans="1:52" x14ac:dyDescent="0.2">
      <c r="A5" s="5" t="s">
        <v>80</v>
      </c>
      <c r="B5" s="15">
        <v>8000</v>
      </c>
      <c r="C5" s="15">
        <v>8000</v>
      </c>
      <c r="D5" s="15">
        <v>12000</v>
      </c>
      <c r="E5" s="15">
        <f t="shared" si="0"/>
        <v>4000</v>
      </c>
      <c r="F5" s="26">
        <v>0</v>
      </c>
      <c r="G5" s="27">
        <f t="shared" si="1"/>
        <v>0</v>
      </c>
      <c r="H5" s="26">
        <v>0</v>
      </c>
      <c r="I5" s="27">
        <f t="shared" si="2"/>
        <v>0</v>
      </c>
      <c r="J5" s="20">
        <v>0</v>
      </c>
      <c r="K5" s="27">
        <f t="shared" si="3"/>
        <v>0</v>
      </c>
      <c r="L5" s="20">
        <v>0</v>
      </c>
      <c r="M5" s="27">
        <f t="shared" si="4"/>
        <v>0</v>
      </c>
      <c r="N5" s="9">
        <v>3</v>
      </c>
      <c r="O5" s="27">
        <f t="shared" si="5"/>
        <v>12000</v>
      </c>
      <c r="P5" s="20">
        <v>0</v>
      </c>
      <c r="Q5" s="27">
        <f t="shared" si="6"/>
        <v>0</v>
      </c>
      <c r="R5" s="19">
        <v>0</v>
      </c>
      <c r="S5" s="27">
        <f t="shared" si="7"/>
        <v>0</v>
      </c>
      <c r="T5" s="19">
        <v>0</v>
      </c>
      <c r="U5" s="27">
        <f t="shared" si="8"/>
        <v>0</v>
      </c>
      <c r="V5" s="19">
        <v>0</v>
      </c>
      <c r="W5" s="27">
        <f t="shared" si="9"/>
        <v>0</v>
      </c>
      <c r="X5" s="19">
        <v>1</v>
      </c>
      <c r="Y5" s="27">
        <f t="shared" si="10"/>
        <v>4000</v>
      </c>
      <c r="Z5" s="20">
        <v>0</v>
      </c>
      <c r="AA5" s="27">
        <f t="shared" si="11"/>
        <v>0</v>
      </c>
      <c r="AB5" s="20">
        <v>0</v>
      </c>
      <c r="AC5" s="27">
        <f t="shared" si="12"/>
        <v>0</v>
      </c>
      <c r="AD5" s="20">
        <v>0</v>
      </c>
      <c r="AE5" s="27">
        <f t="shared" si="13"/>
        <v>0</v>
      </c>
      <c r="AF5" s="7">
        <v>0</v>
      </c>
      <c r="AG5" s="27">
        <f t="shared" si="14"/>
        <v>0</v>
      </c>
      <c r="AH5" s="7">
        <v>1</v>
      </c>
      <c r="AI5" s="27">
        <f t="shared" si="15"/>
        <v>4000</v>
      </c>
      <c r="AJ5" s="7">
        <v>0</v>
      </c>
      <c r="AK5" s="27">
        <f t="shared" si="16"/>
        <v>0</v>
      </c>
      <c r="AL5" s="7">
        <v>0</v>
      </c>
      <c r="AM5" s="27">
        <f t="shared" si="17"/>
        <v>0</v>
      </c>
      <c r="AN5" s="7">
        <v>0</v>
      </c>
      <c r="AO5" s="27">
        <f t="shared" si="18"/>
        <v>0</v>
      </c>
      <c r="AP5" s="7">
        <v>0</v>
      </c>
      <c r="AQ5" s="27">
        <f t="shared" si="19"/>
        <v>0</v>
      </c>
      <c r="AR5" s="7">
        <v>1</v>
      </c>
      <c r="AS5" s="27">
        <f t="shared" si="20"/>
        <v>4000</v>
      </c>
      <c r="AT5" s="7">
        <v>0</v>
      </c>
      <c r="AU5" s="27">
        <f t="shared" si="21"/>
        <v>0</v>
      </c>
      <c r="AV5" s="7">
        <v>0</v>
      </c>
      <c r="AW5" s="27">
        <f t="shared" si="22"/>
        <v>0</v>
      </c>
      <c r="AX5" s="7">
        <v>0</v>
      </c>
      <c r="AY5" s="27">
        <f t="shared" si="23"/>
        <v>0</v>
      </c>
      <c r="AZ5" s="40"/>
    </row>
    <row r="6" spans="1:52" x14ac:dyDescent="0.2">
      <c r="A6" s="13" t="s">
        <v>81</v>
      </c>
      <c r="B6" s="26">
        <v>2000</v>
      </c>
      <c r="C6" s="26">
        <v>2000</v>
      </c>
      <c r="D6" s="26">
        <v>3000</v>
      </c>
      <c r="E6" s="15">
        <f t="shared" si="0"/>
        <v>1000</v>
      </c>
      <c r="F6" s="26">
        <v>0</v>
      </c>
      <c r="G6" s="27">
        <f t="shared" si="1"/>
        <v>0</v>
      </c>
      <c r="H6" s="26">
        <v>0</v>
      </c>
      <c r="I6" s="27">
        <f t="shared" si="2"/>
        <v>0</v>
      </c>
      <c r="J6" s="20">
        <v>1</v>
      </c>
      <c r="K6" s="27">
        <f t="shared" si="3"/>
        <v>1000</v>
      </c>
      <c r="L6" s="20">
        <v>1</v>
      </c>
      <c r="M6" s="27">
        <f t="shared" si="4"/>
        <v>1000</v>
      </c>
      <c r="N6" s="20">
        <v>0</v>
      </c>
      <c r="O6" s="27">
        <f t="shared" si="5"/>
        <v>0</v>
      </c>
      <c r="P6" s="20">
        <v>1</v>
      </c>
      <c r="Q6" s="27">
        <f t="shared" si="6"/>
        <v>1000</v>
      </c>
      <c r="R6" s="19">
        <v>0</v>
      </c>
      <c r="S6" s="27">
        <f t="shared" si="7"/>
        <v>0</v>
      </c>
      <c r="T6" s="19">
        <v>0</v>
      </c>
      <c r="U6" s="27">
        <f t="shared" si="8"/>
        <v>0</v>
      </c>
      <c r="V6" s="19">
        <v>0</v>
      </c>
      <c r="W6" s="27">
        <f t="shared" si="9"/>
        <v>0</v>
      </c>
      <c r="X6" s="19">
        <v>0</v>
      </c>
      <c r="Y6" s="27">
        <f t="shared" si="10"/>
        <v>0</v>
      </c>
      <c r="Z6" s="20">
        <v>0</v>
      </c>
      <c r="AA6" s="27">
        <f t="shared" si="11"/>
        <v>0</v>
      </c>
      <c r="AB6" s="20">
        <v>0</v>
      </c>
      <c r="AC6" s="27">
        <f t="shared" si="12"/>
        <v>0</v>
      </c>
      <c r="AD6" s="20">
        <v>0</v>
      </c>
      <c r="AE6" s="27">
        <f t="shared" si="13"/>
        <v>0</v>
      </c>
      <c r="AF6" s="7">
        <v>0</v>
      </c>
      <c r="AG6" s="27">
        <f t="shared" si="14"/>
        <v>0</v>
      </c>
      <c r="AH6" s="7">
        <v>0</v>
      </c>
      <c r="AI6" s="27">
        <f t="shared" si="15"/>
        <v>0</v>
      </c>
      <c r="AJ6" s="7">
        <v>0</v>
      </c>
      <c r="AK6" s="27">
        <f t="shared" si="16"/>
        <v>0</v>
      </c>
      <c r="AL6" s="7">
        <v>0</v>
      </c>
      <c r="AM6" s="27">
        <f t="shared" si="17"/>
        <v>0</v>
      </c>
      <c r="AN6" s="7">
        <v>0</v>
      </c>
      <c r="AO6" s="27">
        <f t="shared" si="18"/>
        <v>0</v>
      </c>
      <c r="AP6" s="7">
        <v>0</v>
      </c>
      <c r="AQ6" s="27">
        <f t="shared" si="19"/>
        <v>0</v>
      </c>
      <c r="AR6" s="7">
        <v>0</v>
      </c>
      <c r="AS6" s="27">
        <f t="shared" si="20"/>
        <v>0</v>
      </c>
      <c r="AT6" s="7">
        <v>0</v>
      </c>
      <c r="AU6" s="27">
        <f t="shared" si="21"/>
        <v>0</v>
      </c>
      <c r="AV6" s="7">
        <v>0</v>
      </c>
      <c r="AW6" s="27">
        <f t="shared" si="22"/>
        <v>0</v>
      </c>
      <c r="AX6" s="7">
        <v>0</v>
      </c>
      <c r="AY6" s="27">
        <f t="shared" si="23"/>
        <v>0</v>
      </c>
      <c r="AZ6" s="40"/>
    </row>
    <row r="7" spans="1:52" x14ac:dyDescent="0.2">
      <c r="A7" s="13" t="s">
        <v>82</v>
      </c>
      <c r="B7" s="26">
        <v>2000</v>
      </c>
      <c r="C7" s="26">
        <v>2000</v>
      </c>
      <c r="D7" s="26">
        <v>3000</v>
      </c>
      <c r="E7" s="15">
        <f t="shared" si="0"/>
        <v>1000</v>
      </c>
      <c r="F7" s="26">
        <v>1</v>
      </c>
      <c r="G7" s="27">
        <f t="shared" si="1"/>
        <v>1000</v>
      </c>
      <c r="H7" s="26">
        <v>4</v>
      </c>
      <c r="I7" s="27">
        <f t="shared" si="2"/>
        <v>4000</v>
      </c>
      <c r="J7" s="20">
        <v>0</v>
      </c>
      <c r="K7" s="27">
        <f t="shared" si="3"/>
        <v>0</v>
      </c>
      <c r="L7" s="20">
        <v>0</v>
      </c>
      <c r="M7" s="27">
        <f t="shared" si="4"/>
        <v>0</v>
      </c>
      <c r="N7" s="20">
        <v>0</v>
      </c>
      <c r="O7" s="27">
        <f t="shared" si="5"/>
        <v>0</v>
      </c>
      <c r="P7" s="20">
        <v>0</v>
      </c>
      <c r="Q7" s="27">
        <f t="shared" si="6"/>
        <v>0</v>
      </c>
      <c r="R7" s="19">
        <v>0</v>
      </c>
      <c r="S7" s="27">
        <f t="shared" si="7"/>
        <v>0</v>
      </c>
      <c r="T7" s="19">
        <v>2</v>
      </c>
      <c r="U7" s="27">
        <f t="shared" si="8"/>
        <v>2000</v>
      </c>
      <c r="V7" s="19">
        <v>0</v>
      </c>
      <c r="W7" s="27">
        <f t="shared" si="9"/>
        <v>0</v>
      </c>
      <c r="X7" s="19">
        <v>0</v>
      </c>
      <c r="Y7" s="27">
        <f t="shared" si="10"/>
        <v>0</v>
      </c>
      <c r="Z7" s="20">
        <v>1</v>
      </c>
      <c r="AA7" s="27">
        <f t="shared" si="11"/>
        <v>1000</v>
      </c>
      <c r="AB7" s="20">
        <v>0</v>
      </c>
      <c r="AC7" s="27">
        <f t="shared" si="12"/>
        <v>0</v>
      </c>
      <c r="AD7" s="20">
        <v>0</v>
      </c>
      <c r="AE7" s="27">
        <f t="shared" si="13"/>
        <v>0</v>
      </c>
      <c r="AF7" s="7">
        <v>0</v>
      </c>
      <c r="AG7" s="27">
        <f t="shared" si="14"/>
        <v>0</v>
      </c>
      <c r="AH7" s="7">
        <v>0</v>
      </c>
      <c r="AI7" s="27">
        <f t="shared" si="15"/>
        <v>0</v>
      </c>
      <c r="AJ7" s="7">
        <v>0</v>
      </c>
      <c r="AK7" s="27">
        <f t="shared" si="16"/>
        <v>0</v>
      </c>
      <c r="AL7" s="7">
        <v>1</v>
      </c>
      <c r="AM7" s="27">
        <f t="shared" si="17"/>
        <v>1000</v>
      </c>
      <c r="AN7" s="7">
        <v>0</v>
      </c>
      <c r="AO7" s="27">
        <f t="shared" si="18"/>
        <v>0</v>
      </c>
      <c r="AP7" s="7">
        <v>0</v>
      </c>
      <c r="AQ7" s="27">
        <f t="shared" si="19"/>
        <v>0</v>
      </c>
      <c r="AR7" s="7">
        <v>0</v>
      </c>
      <c r="AS7" s="27">
        <f t="shared" si="20"/>
        <v>0</v>
      </c>
      <c r="AT7" s="7">
        <v>0</v>
      </c>
      <c r="AU7" s="27">
        <f t="shared" si="21"/>
        <v>0</v>
      </c>
      <c r="AV7" s="7">
        <v>0</v>
      </c>
      <c r="AW7" s="27">
        <f t="shared" si="22"/>
        <v>0</v>
      </c>
      <c r="AX7" s="7">
        <v>0</v>
      </c>
      <c r="AY7" s="27">
        <f t="shared" si="23"/>
        <v>0</v>
      </c>
      <c r="AZ7" s="40"/>
    </row>
    <row r="8" spans="1:52" x14ac:dyDescent="0.2">
      <c r="A8" s="13" t="s">
        <v>83</v>
      </c>
      <c r="B8" s="26">
        <v>2000</v>
      </c>
      <c r="C8" s="26">
        <v>2000</v>
      </c>
      <c r="D8" s="26">
        <v>3000</v>
      </c>
      <c r="E8" s="15">
        <f t="shared" si="0"/>
        <v>1000</v>
      </c>
      <c r="F8" s="26">
        <v>0</v>
      </c>
      <c r="G8" s="27">
        <f t="shared" si="1"/>
        <v>0</v>
      </c>
      <c r="H8" s="26">
        <v>0</v>
      </c>
      <c r="I8" s="27">
        <f t="shared" si="2"/>
        <v>0</v>
      </c>
      <c r="J8" s="20">
        <v>0</v>
      </c>
      <c r="K8" s="27">
        <f t="shared" si="3"/>
        <v>0</v>
      </c>
      <c r="L8" s="20">
        <v>0</v>
      </c>
      <c r="M8" s="27">
        <f t="shared" si="4"/>
        <v>0</v>
      </c>
      <c r="N8" s="20">
        <v>0</v>
      </c>
      <c r="O8" s="27">
        <f t="shared" si="5"/>
        <v>0</v>
      </c>
      <c r="P8" s="20">
        <v>0</v>
      </c>
      <c r="Q8" s="27">
        <f t="shared" si="6"/>
        <v>0</v>
      </c>
      <c r="R8" s="19">
        <v>0</v>
      </c>
      <c r="S8" s="27">
        <f t="shared" si="7"/>
        <v>0</v>
      </c>
      <c r="T8" s="19">
        <v>0</v>
      </c>
      <c r="U8" s="27">
        <f t="shared" si="8"/>
        <v>0</v>
      </c>
      <c r="V8" s="19">
        <v>0</v>
      </c>
      <c r="W8" s="27">
        <f t="shared" si="9"/>
        <v>0</v>
      </c>
      <c r="X8" s="19">
        <v>0</v>
      </c>
      <c r="Y8" s="27">
        <f t="shared" si="10"/>
        <v>0</v>
      </c>
      <c r="Z8" s="20">
        <v>1</v>
      </c>
      <c r="AA8" s="27">
        <f t="shared" si="11"/>
        <v>1000</v>
      </c>
      <c r="AB8" s="20">
        <v>0</v>
      </c>
      <c r="AC8" s="27">
        <f t="shared" si="12"/>
        <v>0</v>
      </c>
      <c r="AD8" s="20">
        <v>0</v>
      </c>
      <c r="AE8" s="27">
        <f t="shared" si="13"/>
        <v>0</v>
      </c>
      <c r="AF8" s="7">
        <v>0</v>
      </c>
      <c r="AG8" s="27">
        <f t="shared" si="14"/>
        <v>0</v>
      </c>
      <c r="AH8" s="7">
        <v>0</v>
      </c>
      <c r="AI8" s="27">
        <f t="shared" si="15"/>
        <v>0</v>
      </c>
      <c r="AJ8" s="7">
        <v>0</v>
      </c>
      <c r="AK8" s="27">
        <f t="shared" si="16"/>
        <v>0</v>
      </c>
      <c r="AL8" s="7">
        <v>0</v>
      </c>
      <c r="AM8" s="27">
        <f t="shared" si="17"/>
        <v>0</v>
      </c>
      <c r="AN8" s="7">
        <v>0</v>
      </c>
      <c r="AO8" s="27">
        <f t="shared" si="18"/>
        <v>0</v>
      </c>
      <c r="AP8" s="7">
        <v>0</v>
      </c>
      <c r="AQ8" s="27">
        <f t="shared" si="19"/>
        <v>0</v>
      </c>
      <c r="AR8" s="7">
        <v>0</v>
      </c>
      <c r="AS8" s="27">
        <f t="shared" si="20"/>
        <v>0</v>
      </c>
      <c r="AT8" s="7">
        <v>0</v>
      </c>
      <c r="AU8" s="27">
        <f t="shared" si="21"/>
        <v>0</v>
      </c>
      <c r="AV8" s="7">
        <v>0</v>
      </c>
      <c r="AW8" s="27">
        <f t="shared" si="22"/>
        <v>0</v>
      </c>
      <c r="AX8" s="7">
        <v>0</v>
      </c>
      <c r="AY8" s="27">
        <f t="shared" si="23"/>
        <v>0</v>
      </c>
      <c r="AZ8" s="40"/>
    </row>
    <row r="9" spans="1:52" x14ac:dyDescent="0.2">
      <c r="A9" s="16" t="s">
        <v>84</v>
      </c>
      <c r="B9" s="26">
        <v>46800</v>
      </c>
      <c r="C9" s="26">
        <v>1950</v>
      </c>
      <c r="D9" s="15">
        <v>4000</v>
      </c>
      <c r="E9" s="15">
        <f t="shared" si="0"/>
        <v>2050</v>
      </c>
      <c r="F9" s="26">
        <v>0</v>
      </c>
      <c r="G9" s="27">
        <f t="shared" si="1"/>
        <v>0</v>
      </c>
      <c r="H9" s="26">
        <v>1</v>
      </c>
      <c r="I9" s="27">
        <f t="shared" si="2"/>
        <v>2050</v>
      </c>
      <c r="J9" s="20">
        <v>0</v>
      </c>
      <c r="K9" s="27">
        <f t="shared" si="3"/>
        <v>0</v>
      </c>
      <c r="L9" s="20">
        <v>1</v>
      </c>
      <c r="M9" s="27">
        <f t="shared" si="4"/>
        <v>2050</v>
      </c>
      <c r="N9" s="20">
        <v>0</v>
      </c>
      <c r="O9" s="27">
        <f t="shared" si="5"/>
        <v>0</v>
      </c>
      <c r="P9" s="20">
        <v>0</v>
      </c>
      <c r="Q9" s="27">
        <f t="shared" si="6"/>
        <v>0</v>
      </c>
      <c r="R9" s="19">
        <v>0</v>
      </c>
      <c r="S9" s="27">
        <f t="shared" si="7"/>
        <v>0</v>
      </c>
      <c r="T9" s="19">
        <v>0</v>
      </c>
      <c r="U9" s="27">
        <f t="shared" si="8"/>
        <v>0</v>
      </c>
      <c r="V9" s="19">
        <v>0</v>
      </c>
      <c r="W9" s="27">
        <f t="shared" si="9"/>
        <v>0</v>
      </c>
      <c r="X9" s="19">
        <v>1</v>
      </c>
      <c r="Y9" s="27">
        <f t="shared" si="10"/>
        <v>2050</v>
      </c>
      <c r="Z9" s="20">
        <v>1</v>
      </c>
      <c r="AA9" s="27">
        <f t="shared" si="11"/>
        <v>2050</v>
      </c>
      <c r="AB9" s="20">
        <v>0</v>
      </c>
      <c r="AC9" s="27">
        <f t="shared" si="12"/>
        <v>0</v>
      </c>
      <c r="AD9" s="20">
        <v>1</v>
      </c>
      <c r="AE9" s="27">
        <f t="shared" si="13"/>
        <v>2050</v>
      </c>
      <c r="AF9" s="7">
        <v>0</v>
      </c>
      <c r="AG9" s="27">
        <f t="shared" si="14"/>
        <v>0</v>
      </c>
      <c r="AH9" s="7">
        <v>5</v>
      </c>
      <c r="AI9" s="27">
        <f t="shared" si="15"/>
        <v>10250</v>
      </c>
      <c r="AJ9" s="7">
        <v>2</v>
      </c>
      <c r="AK9" s="27">
        <f t="shared" si="16"/>
        <v>4100</v>
      </c>
      <c r="AL9" s="7">
        <v>0</v>
      </c>
      <c r="AM9" s="27">
        <f t="shared" si="17"/>
        <v>0</v>
      </c>
      <c r="AN9" s="7">
        <v>1</v>
      </c>
      <c r="AO9" s="27">
        <f t="shared" si="18"/>
        <v>2050</v>
      </c>
      <c r="AP9" s="7">
        <v>0</v>
      </c>
      <c r="AQ9" s="27">
        <f t="shared" si="19"/>
        <v>0</v>
      </c>
      <c r="AR9" s="7">
        <v>0</v>
      </c>
      <c r="AS9" s="27">
        <f t="shared" si="20"/>
        <v>0</v>
      </c>
      <c r="AT9" s="7">
        <v>2</v>
      </c>
      <c r="AU9" s="27">
        <f t="shared" si="21"/>
        <v>4100</v>
      </c>
      <c r="AV9" s="7">
        <v>0</v>
      </c>
      <c r="AW9" s="27">
        <f t="shared" si="22"/>
        <v>0</v>
      </c>
      <c r="AX9" s="7">
        <v>0</v>
      </c>
      <c r="AY9" s="27">
        <f t="shared" si="23"/>
        <v>0</v>
      </c>
      <c r="AZ9" s="40"/>
    </row>
    <row r="10" spans="1:52" x14ac:dyDescent="0.2">
      <c r="A10" s="13" t="s">
        <v>85</v>
      </c>
      <c r="B10" s="26">
        <v>2500</v>
      </c>
      <c r="C10" s="26">
        <v>2500</v>
      </c>
      <c r="D10" s="26">
        <v>3500</v>
      </c>
      <c r="E10" s="15">
        <f t="shared" si="0"/>
        <v>1000</v>
      </c>
      <c r="F10" s="26">
        <v>0</v>
      </c>
      <c r="G10" s="27">
        <f t="shared" si="1"/>
        <v>0</v>
      </c>
      <c r="H10" s="26">
        <v>0</v>
      </c>
      <c r="I10" s="27">
        <f t="shared" si="2"/>
        <v>0</v>
      </c>
      <c r="J10" s="20">
        <v>0</v>
      </c>
      <c r="K10" s="27">
        <f t="shared" si="3"/>
        <v>0</v>
      </c>
      <c r="L10" s="20">
        <v>0</v>
      </c>
      <c r="M10" s="27">
        <f t="shared" si="4"/>
        <v>0</v>
      </c>
      <c r="N10" s="20">
        <v>0</v>
      </c>
      <c r="O10" s="27">
        <f t="shared" si="5"/>
        <v>0</v>
      </c>
      <c r="P10" s="20">
        <v>0</v>
      </c>
      <c r="Q10" s="27">
        <f t="shared" si="6"/>
        <v>0</v>
      </c>
      <c r="R10" s="19">
        <v>0</v>
      </c>
      <c r="S10" s="27">
        <f t="shared" si="7"/>
        <v>0</v>
      </c>
      <c r="T10" s="19">
        <v>0</v>
      </c>
      <c r="U10" s="27">
        <f t="shared" si="8"/>
        <v>0</v>
      </c>
      <c r="V10" s="19">
        <v>0</v>
      </c>
      <c r="W10" s="27">
        <f t="shared" si="9"/>
        <v>0</v>
      </c>
      <c r="X10" s="19">
        <v>0</v>
      </c>
      <c r="Y10" s="27">
        <f t="shared" si="10"/>
        <v>0</v>
      </c>
      <c r="Z10" s="20">
        <v>0</v>
      </c>
      <c r="AA10" s="27">
        <f t="shared" si="11"/>
        <v>0</v>
      </c>
      <c r="AB10" s="20">
        <v>2</v>
      </c>
      <c r="AC10" s="27">
        <f t="shared" si="12"/>
        <v>2000</v>
      </c>
      <c r="AD10" s="20">
        <v>1</v>
      </c>
      <c r="AE10" s="27">
        <f t="shared" si="13"/>
        <v>1000</v>
      </c>
      <c r="AF10" s="7">
        <v>0</v>
      </c>
      <c r="AG10" s="27">
        <f t="shared" si="14"/>
        <v>0</v>
      </c>
      <c r="AH10" s="7">
        <v>0</v>
      </c>
      <c r="AI10" s="27">
        <f t="shared" si="15"/>
        <v>0</v>
      </c>
      <c r="AJ10" s="7">
        <v>0</v>
      </c>
      <c r="AK10" s="27">
        <f t="shared" si="16"/>
        <v>0</v>
      </c>
      <c r="AL10" s="7">
        <v>0</v>
      </c>
      <c r="AM10" s="27">
        <f t="shared" si="17"/>
        <v>0</v>
      </c>
      <c r="AN10" s="7">
        <v>0</v>
      </c>
      <c r="AO10" s="27">
        <f t="shared" si="18"/>
        <v>0</v>
      </c>
      <c r="AP10" s="7">
        <v>0</v>
      </c>
      <c r="AQ10" s="27">
        <f t="shared" si="19"/>
        <v>0</v>
      </c>
      <c r="AR10" s="7">
        <v>0</v>
      </c>
      <c r="AS10" s="27">
        <f t="shared" si="20"/>
        <v>0</v>
      </c>
      <c r="AT10" s="7">
        <v>0</v>
      </c>
      <c r="AU10" s="27">
        <f t="shared" si="21"/>
        <v>0</v>
      </c>
      <c r="AV10" s="7">
        <v>0</v>
      </c>
      <c r="AW10" s="27">
        <f t="shared" si="22"/>
        <v>0</v>
      </c>
      <c r="AX10" s="7">
        <v>0</v>
      </c>
      <c r="AY10" s="27">
        <f t="shared" si="23"/>
        <v>0</v>
      </c>
      <c r="AZ10" s="40"/>
    </row>
    <row r="11" spans="1:52" x14ac:dyDescent="0.2">
      <c r="A11" s="13" t="s">
        <v>86</v>
      </c>
      <c r="B11" s="26">
        <v>6150</v>
      </c>
      <c r="C11" s="26">
        <v>6150</v>
      </c>
      <c r="D11" s="26">
        <v>10000</v>
      </c>
      <c r="E11" s="15">
        <f t="shared" si="0"/>
        <v>3850</v>
      </c>
      <c r="F11" s="26">
        <v>0</v>
      </c>
      <c r="G11" s="27">
        <f t="shared" si="1"/>
        <v>0</v>
      </c>
      <c r="H11" s="26">
        <v>0</v>
      </c>
      <c r="I11" s="27">
        <f t="shared" si="2"/>
        <v>0</v>
      </c>
      <c r="J11" s="20">
        <v>0</v>
      </c>
      <c r="K11" s="27">
        <f t="shared" si="3"/>
        <v>0</v>
      </c>
      <c r="L11" s="20">
        <v>1</v>
      </c>
      <c r="M11" s="27">
        <f t="shared" si="4"/>
        <v>3850</v>
      </c>
      <c r="N11" s="20">
        <v>0</v>
      </c>
      <c r="O11" s="27">
        <f t="shared" si="5"/>
        <v>0</v>
      </c>
      <c r="P11" s="20">
        <v>0</v>
      </c>
      <c r="Q11" s="27">
        <f t="shared" si="6"/>
        <v>0</v>
      </c>
      <c r="R11" s="19">
        <v>0</v>
      </c>
      <c r="S11" s="27">
        <f t="shared" si="7"/>
        <v>0</v>
      </c>
      <c r="T11" s="19">
        <v>0</v>
      </c>
      <c r="U11" s="27">
        <f t="shared" si="8"/>
        <v>0</v>
      </c>
      <c r="V11" s="19">
        <v>0</v>
      </c>
      <c r="W11" s="27">
        <f t="shared" si="9"/>
        <v>0</v>
      </c>
      <c r="X11" s="19">
        <v>0</v>
      </c>
      <c r="Y11" s="27">
        <f t="shared" si="10"/>
        <v>0</v>
      </c>
      <c r="Z11" s="20">
        <v>0</v>
      </c>
      <c r="AA11" s="27">
        <f t="shared" si="11"/>
        <v>0</v>
      </c>
      <c r="AB11" s="20">
        <v>0</v>
      </c>
      <c r="AC11" s="27">
        <f t="shared" si="12"/>
        <v>0</v>
      </c>
      <c r="AD11" s="20">
        <v>0</v>
      </c>
      <c r="AE11" s="27">
        <f t="shared" si="13"/>
        <v>0</v>
      </c>
      <c r="AF11" s="7">
        <v>0</v>
      </c>
      <c r="AG11" s="27">
        <f t="shared" si="14"/>
        <v>0</v>
      </c>
      <c r="AH11" s="7">
        <v>0</v>
      </c>
      <c r="AI11" s="27">
        <f t="shared" si="15"/>
        <v>0</v>
      </c>
      <c r="AJ11" s="7">
        <v>0</v>
      </c>
      <c r="AK11" s="27">
        <f t="shared" si="16"/>
        <v>0</v>
      </c>
      <c r="AL11" s="7">
        <v>0</v>
      </c>
      <c r="AM11" s="27">
        <f t="shared" si="17"/>
        <v>0</v>
      </c>
      <c r="AN11" s="7">
        <v>0</v>
      </c>
      <c r="AO11" s="27">
        <f t="shared" si="18"/>
        <v>0</v>
      </c>
      <c r="AP11" s="7">
        <v>0</v>
      </c>
      <c r="AQ11" s="27">
        <f t="shared" si="19"/>
        <v>0</v>
      </c>
      <c r="AR11" s="7">
        <v>0</v>
      </c>
      <c r="AS11" s="27">
        <f t="shared" si="20"/>
        <v>0</v>
      </c>
      <c r="AT11" s="7">
        <v>0</v>
      </c>
      <c r="AU11" s="27">
        <f t="shared" si="21"/>
        <v>0</v>
      </c>
      <c r="AV11" s="7">
        <v>0</v>
      </c>
      <c r="AW11" s="27">
        <f t="shared" si="22"/>
        <v>0</v>
      </c>
      <c r="AX11" s="7">
        <v>0</v>
      </c>
      <c r="AY11" s="27">
        <f t="shared" si="23"/>
        <v>0</v>
      </c>
      <c r="AZ11" s="40"/>
    </row>
    <row r="12" spans="1:52" x14ac:dyDescent="0.2">
      <c r="A12" s="13" t="s">
        <v>87</v>
      </c>
      <c r="B12" s="26">
        <v>6800</v>
      </c>
      <c r="C12" s="26">
        <v>6800</v>
      </c>
      <c r="D12" s="26">
        <v>10000</v>
      </c>
      <c r="E12" s="15">
        <f t="shared" si="0"/>
        <v>3200</v>
      </c>
      <c r="F12" s="26">
        <v>0</v>
      </c>
      <c r="G12" s="27">
        <f t="shared" si="1"/>
        <v>0</v>
      </c>
      <c r="H12" s="26">
        <v>0</v>
      </c>
      <c r="I12" s="27">
        <f t="shared" si="2"/>
        <v>0</v>
      </c>
      <c r="J12" s="20">
        <v>0</v>
      </c>
      <c r="K12" s="27">
        <f t="shared" si="3"/>
        <v>0</v>
      </c>
      <c r="L12" s="20">
        <v>3</v>
      </c>
      <c r="M12" s="27">
        <f t="shared" si="4"/>
        <v>9600</v>
      </c>
      <c r="N12" s="20">
        <v>16</v>
      </c>
      <c r="O12" s="27">
        <f t="shared" si="5"/>
        <v>51200</v>
      </c>
      <c r="P12" s="20">
        <v>0</v>
      </c>
      <c r="Q12" s="27">
        <f t="shared" si="6"/>
        <v>0</v>
      </c>
      <c r="R12" s="19">
        <v>0</v>
      </c>
      <c r="S12" s="27">
        <f t="shared" si="7"/>
        <v>0</v>
      </c>
      <c r="T12" s="19">
        <v>0</v>
      </c>
      <c r="U12" s="27">
        <f t="shared" si="8"/>
        <v>0</v>
      </c>
      <c r="V12" s="19">
        <v>0</v>
      </c>
      <c r="W12" s="27">
        <f t="shared" si="9"/>
        <v>0</v>
      </c>
      <c r="X12" s="19">
        <v>0</v>
      </c>
      <c r="Y12" s="27">
        <f t="shared" si="10"/>
        <v>0</v>
      </c>
      <c r="Z12" s="20">
        <v>0</v>
      </c>
      <c r="AA12" s="27">
        <f t="shared" si="11"/>
        <v>0</v>
      </c>
      <c r="AB12" s="20">
        <v>1</v>
      </c>
      <c r="AC12" s="27">
        <f t="shared" si="12"/>
        <v>3200</v>
      </c>
      <c r="AD12" s="20">
        <v>1</v>
      </c>
      <c r="AE12" s="27">
        <f t="shared" si="13"/>
        <v>3200</v>
      </c>
      <c r="AF12" s="7">
        <v>0</v>
      </c>
      <c r="AG12" s="27">
        <f t="shared" si="14"/>
        <v>0</v>
      </c>
      <c r="AH12" s="7">
        <v>0</v>
      </c>
      <c r="AI12" s="27">
        <f t="shared" si="15"/>
        <v>0</v>
      </c>
      <c r="AJ12" s="7">
        <v>0</v>
      </c>
      <c r="AK12" s="27">
        <f t="shared" si="16"/>
        <v>0</v>
      </c>
      <c r="AL12" s="7">
        <v>0</v>
      </c>
      <c r="AM12" s="27">
        <f t="shared" si="17"/>
        <v>0</v>
      </c>
      <c r="AN12" s="7">
        <v>0</v>
      </c>
      <c r="AO12" s="27">
        <f t="shared" si="18"/>
        <v>0</v>
      </c>
      <c r="AP12" s="7">
        <v>0</v>
      </c>
      <c r="AQ12" s="27">
        <f t="shared" si="19"/>
        <v>0</v>
      </c>
      <c r="AR12" s="7">
        <v>0</v>
      </c>
      <c r="AS12" s="27">
        <f t="shared" si="20"/>
        <v>0</v>
      </c>
      <c r="AT12" s="7">
        <v>0</v>
      </c>
      <c r="AU12" s="27">
        <f t="shared" si="21"/>
        <v>0</v>
      </c>
      <c r="AV12" s="7">
        <v>0</v>
      </c>
      <c r="AW12" s="27">
        <f t="shared" si="22"/>
        <v>0</v>
      </c>
      <c r="AX12" s="7">
        <v>0</v>
      </c>
      <c r="AY12" s="27">
        <f t="shared" si="23"/>
        <v>0</v>
      </c>
      <c r="AZ12" s="40"/>
    </row>
    <row r="13" spans="1:52" x14ac:dyDescent="0.2">
      <c r="A13" s="13" t="s">
        <v>88</v>
      </c>
      <c r="B13" s="26">
        <v>60000</v>
      </c>
      <c r="C13" s="26">
        <v>2500</v>
      </c>
      <c r="D13" s="26">
        <v>5000</v>
      </c>
      <c r="E13" s="15">
        <f t="shared" si="0"/>
        <v>2500</v>
      </c>
      <c r="F13" s="26">
        <v>0</v>
      </c>
      <c r="G13" s="27">
        <f t="shared" si="1"/>
        <v>0</v>
      </c>
      <c r="H13" s="26">
        <v>0</v>
      </c>
      <c r="I13" s="27">
        <f t="shared" si="2"/>
        <v>0</v>
      </c>
      <c r="J13" s="20">
        <v>0</v>
      </c>
      <c r="K13" s="27">
        <f t="shared" si="3"/>
        <v>0</v>
      </c>
      <c r="L13" s="20">
        <v>0</v>
      </c>
      <c r="M13" s="27">
        <f t="shared" si="4"/>
        <v>0</v>
      </c>
      <c r="N13" s="20">
        <v>0</v>
      </c>
      <c r="O13" s="27">
        <f t="shared" si="5"/>
        <v>0</v>
      </c>
      <c r="P13" s="20">
        <v>1</v>
      </c>
      <c r="Q13" s="27">
        <f t="shared" si="6"/>
        <v>2500</v>
      </c>
      <c r="R13" s="19">
        <v>0</v>
      </c>
      <c r="S13" s="27">
        <f t="shared" si="7"/>
        <v>0</v>
      </c>
      <c r="T13" s="19">
        <v>0</v>
      </c>
      <c r="U13" s="27">
        <f t="shared" si="8"/>
        <v>0</v>
      </c>
      <c r="V13" s="19">
        <v>0</v>
      </c>
      <c r="W13" s="27">
        <f t="shared" si="9"/>
        <v>0</v>
      </c>
      <c r="X13" s="19">
        <v>0</v>
      </c>
      <c r="Y13" s="27">
        <f t="shared" si="10"/>
        <v>0</v>
      </c>
      <c r="Z13" s="20">
        <v>0</v>
      </c>
      <c r="AA13" s="27">
        <f t="shared" si="11"/>
        <v>0</v>
      </c>
      <c r="AB13" s="20">
        <v>0</v>
      </c>
      <c r="AC13" s="27">
        <f t="shared" si="12"/>
        <v>0</v>
      </c>
      <c r="AD13" s="20">
        <v>0</v>
      </c>
      <c r="AE13" s="27">
        <f t="shared" si="13"/>
        <v>0</v>
      </c>
      <c r="AF13" s="7">
        <v>0</v>
      </c>
      <c r="AG13" s="27">
        <f t="shared" si="14"/>
        <v>0</v>
      </c>
      <c r="AH13" s="7">
        <v>0</v>
      </c>
      <c r="AI13" s="27">
        <f t="shared" si="15"/>
        <v>0</v>
      </c>
      <c r="AJ13" s="7">
        <v>0</v>
      </c>
      <c r="AK13" s="27">
        <f t="shared" si="16"/>
        <v>0</v>
      </c>
      <c r="AL13" s="7">
        <v>0</v>
      </c>
      <c r="AM13" s="27">
        <f t="shared" si="17"/>
        <v>0</v>
      </c>
      <c r="AN13" s="7">
        <v>0</v>
      </c>
      <c r="AO13" s="27">
        <f t="shared" si="18"/>
        <v>0</v>
      </c>
      <c r="AP13" s="7">
        <v>0</v>
      </c>
      <c r="AQ13" s="27">
        <f t="shared" si="19"/>
        <v>0</v>
      </c>
      <c r="AR13" s="7">
        <v>0</v>
      </c>
      <c r="AS13" s="27">
        <f t="shared" si="20"/>
        <v>0</v>
      </c>
      <c r="AT13" s="7">
        <v>0</v>
      </c>
      <c r="AU13" s="27">
        <f t="shared" si="21"/>
        <v>0</v>
      </c>
      <c r="AV13" s="7">
        <v>0</v>
      </c>
      <c r="AW13" s="27">
        <f t="shared" si="22"/>
        <v>0</v>
      </c>
      <c r="AX13" s="7">
        <v>0</v>
      </c>
      <c r="AY13" s="27">
        <f t="shared" si="23"/>
        <v>0</v>
      </c>
      <c r="AZ13" s="40"/>
    </row>
    <row r="14" spans="1:52" x14ac:dyDescent="0.2">
      <c r="A14" s="13" t="s">
        <v>89</v>
      </c>
      <c r="B14" s="26">
        <v>60000</v>
      </c>
      <c r="C14" s="26">
        <v>2500</v>
      </c>
      <c r="D14" s="26">
        <v>5000</v>
      </c>
      <c r="E14" s="15">
        <f t="shared" si="0"/>
        <v>2500</v>
      </c>
      <c r="F14" s="26">
        <v>0</v>
      </c>
      <c r="G14" s="27">
        <f t="shared" si="1"/>
        <v>0</v>
      </c>
      <c r="H14" s="26">
        <v>0</v>
      </c>
      <c r="I14" s="27">
        <f t="shared" si="2"/>
        <v>0</v>
      </c>
      <c r="J14" s="20">
        <v>3</v>
      </c>
      <c r="K14" s="27">
        <f t="shared" si="3"/>
        <v>7500</v>
      </c>
      <c r="L14" s="20">
        <v>0</v>
      </c>
      <c r="M14" s="27">
        <f t="shared" si="4"/>
        <v>0</v>
      </c>
      <c r="N14" s="20">
        <v>0</v>
      </c>
      <c r="O14" s="27">
        <f t="shared" si="5"/>
        <v>0</v>
      </c>
      <c r="P14" s="20">
        <v>1</v>
      </c>
      <c r="Q14" s="27">
        <f t="shared" si="6"/>
        <v>2500</v>
      </c>
      <c r="R14" s="19">
        <v>0</v>
      </c>
      <c r="S14" s="27">
        <f t="shared" si="7"/>
        <v>0</v>
      </c>
      <c r="T14" s="19">
        <v>0</v>
      </c>
      <c r="U14" s="27">
        <f t="shared" si="8"/>
        <v>0</v>
      </c>
      <c r="V14" s="19">
        <v>0</v>
      </c>
      <c r="W14" s="27">
        <f t="shared" si="9"/>
        <v>0</v>
      </c>
      <c r="X14" s="19">
        <v>0</v>
      </c>
      <c r="Y14" s="27">
        <f t="shared" si="10"/>
        <v>0</v>
      </c>
      <c r="Z14" s="20">
        <v>0</v>
      </c>
      <c r="AA14" s="27">
        <f t="shared" si="11"/>
        <v>0</v>
      </c>
      <c r="AB14" s="20">
        <v>0</v>
      </c>
      <c r="AC14" s="27">
        <f t="shared" si="12"/>
        <v>0</v>
      </c>
      <c r="AD14" s="20">
        <v>0</v>
      </c>
      <c r="AE14" s="27">
        <f t="shared" si="13"/>
        <v>0</v>
      </c>
      <c r="AF14" s="7">
        <v>0</v>
      </c>
      <c r="AG14" s="27">
        <f t="shared" si="14"/>
        <v>0</v>
      </c>
      <c r="AH14" s="7">
        <v>0</v>
      </c>
      <c r="AI14" s="27">
        <f t="shared" si="15"/>
        <v>0</v>
      </c>
      <c r="AJ14" s="7">
        <v>0</v>
      </c>
      <c r="AK14" s="27">
        <f t="shared" si="16"/>
        <v>0</v>
      </c>
      <c r="AL14" s="7">
        <v>0</v>
      </c>
      <c r="AM14" s="27">
        <f t="shared" si="17"/>
        <v>0</v>
      </c>
      <c r="AN14" s="7">
        <v>0</v>
      </c>
      <c r="AO14" s="27">
        <f t="shared" si="18"/>
        <v>0</v>
      </c>
      <c r="AP14" s="7">
        <v>0</v>
      </c>
      <c r="AQ14" s="27">
        <f t="shared" si="19"/>
        <v>0</v>
      </c>
      <c r="AR14" s="7">
        <v>0</v>
      </c>
      <c r="AS14" s="27">
        <f t="shared" si="20"/>
        <v>0</v>
      </c>
      <c r="AT14" s="7">
        <v>0</v>
      </c>
      <c r="AU14" s="27">
        <f t="shared" si="21"/>
        <v>0</v>
      </c>
      <c r="AV14" s="7">
        <v>0</v>
      </c>
      <c r="AW14" s="27">
        <f t="shared" si="22"/>
        <v>0</v>
      </c>
      <c r="AX14" s="7">
        <v>0</v>
      </c>
      <c r="AY14" s="27">
        <f t="shared" si="23"/>
        <v>0</v>
      </c>
      <c r="AZ14" s="40"/>
    </row>
    <row r="15" spans="1:52" x14ac:dyDescent="0.2">
      <c r="A15" s="13" t="s">
        <v>90</v>
      </c>
      <c r="B15" s="26">
        <v>56000</v>
      </c>
      <c r="C15" s="26">
        <v>2333</v>
      </c>
      <c r="D15" s="26">
        <v>5000</v>
      </c>
      <c r="E15" s="15">
        <f t="shared" si="0"/>
        <v>2667</v>
      </c>
      <c r="F15" s="26">
        <v>0</v>
      </c>
      <c r="G15" s="27">
        <f t="shared" si="1"/>
        <v>0</v>
      </c>
      <c r="H15" s="26">
        <v>0</v>
      </c>
      <c r="I15" s="27">
        <f t="shared" si="2"/>
        <v>0</v>
      </c>
      <c r="J15" s="20">
        <v>0</v>
      </c>
      <c r="K15" s="27">
        <f t="shared" si="3"/>
        <v>0</v>
      </c>
      <c r="L15" s="20">
        <v>0</v>
      </c>
      <c r="M15" s="27">
        <f t="shared" si="4"/>
        <v>0</v>
      </c>
      <c r="N15" s="20">
        <v>0</v>
      </c>
      <c r="O15" s="27">
        <f t="shared" si="5"/>
        <v>0</v>
      </c>
      <c r="P15" s="20">
        <v>0</v>
      </c>
      <c r="Q15" s="27">
        <f t="shared" si="6"/>
        <v>0</v>
      </c>
      <c r="R15" s="19">
        <v>0</v>
      </c>
      <c r="S15" s="27">
        <f t="shared" si="7"/>
        <v>0</v>
      </c>
      <c r="T15" s="19">
        <v>0</v>
      </c>
      <c r="U15" s="27">
        <f t="shared" si="8"/>
        <v>0</v>
      </c>
      <c r="V15" s="19">
        <v>0</v>
      </c>
      <c r="W15" s="27">
        <f t="shared" si="9"/>
        <v>0</v>
      </c>
      <c r="X15" s="19">
        <v>0</v>
      </c>
      <c r="Y15" s="27">
        <f t="shared" si="10"/>
        <v>0</v>
      </c>
      <c r="Z15" s="20">
        <v>0</v>
      </c>
      <c r="AA15" s="27">
        <f t="shared" si="11"/>
        <v>0</v>
      </c>
      <c r="AB15" s="20">
        <v>0</v>
      </c>
      <c r="AC15" s="27">
        <f t="shared" si="12"/>
        <v>0</v>
      </c>
      <c r="AD15" s="20">
        <v>0</v>
      </c>
      <c r="AE15" s="27">
        <f t="shared" si="13"/>
        <v>0</v>
      </c>
      <c r="AF15" s="7">
        <v>0</v>
      </c>
      <c r="AG15" s="27">
        <f t="shared" si="14"/>
        <v>0</v>
      </c>
      <c r="AH15" s="7">
        <v>0</v>
      </c>
      <c r="AI15" s="27">
        <f t="shared" si="15"/>
        <v>0</v>
      </c>
      <c r="AJ15" s="7">
        <v>0</v>
      </c>
      <c r="AK15" s="27">
        <f t="shared" si="16"/>
        <v>0</v>
      </c>
      <c r="AL15" s="7">
        <v>0</v>
      </c>
      <c r="AM15" s="27">
        <f t="shared" si="17"/>
        <v>0</v>
      </c>
      <c r="AN15" s="7">
        <v>0</v>
      </c>
      <c r="AO15" s="27">
        <f t="shared" si="18"/>
        <v>0</v>
      </c>
      <c r="AP15" s="7">
        <v>0</v>
      </c>
      <c r="AQ15" s="27">
        <f t="shared" si="19"/>
        <v>0</v>
      </c>
      <c r="AR15" s="7">
        <v>0</v>
      </c>
      <c r="AS15" s="27">
        <f t="shared" si="20"/>
        <v>0</v>
      </c>
      <c r="AT15" s="7">
        <v>0</v>
      </c>
      <c r="AU15" s="27">
        <f t="shared" si="21"/>
        <v>0</v>
      </c>
      <c r="AV15" s="7">
        <v>0</v>
      </c>
      <c r="AW15" s="27">
        <f t="shared" si="22"/>
        <v>0</v>
      </c>
      <c r="AX15" s="7">
        <v>0</v>
      </c>
      <c r="AY15" s="27">
        <f t="shared" si="23"/>
        <v>0</v>
      </c>
      <c r="AZ15" s="40"/>
    </row>
    <row r="16" spans="1:52" x14ac:dyDescent="0.2">
      <c r="A16" s="13" t="s">
        <v>91</v>
      </c>
      <c r="B16" s="26"/>
      <c r="C16" s="26"/>
      <c r="D16" s="26">
        <v>7000</v>
      </c>
      <c r="E16" s="15">
        <f t="shared" si="0"/>
        <v>7000</v>
      </c>
      <c r="F16" s="26">
        <v>0</v>
      </c>
      <c r="G16" s="27">
        <f t="shared" si="1"/>
        <v>0</v>
      </c>
      <c r="H16" s="26">
        <v>0</v>
      </c>
      <c r="I16" s="27">
        <f t="shared" si="2"/>
        <v>0</v>
      </c>
      <c r="J16" s="20">
        <v>0</v>
      </c>
      <c r="K16" s="27">
        <f t="shared" si="3"/>
        <v>0</v>
      </c>
      <c r="L16" s="20">
        <v>0</v>
      </c>
      <c r="M16" s="27">
        <f t="shared" si="4"/>
        <v>0</v>
      </c>
      <c r="N16" s="20">
        <v>0</v>
      </c>
      <c r="O16" s="27">
        <f t="shared" si="5"/>
        <v>0</v>
      </c>
      <c r="P16" s="20">
        <v>0</v>
      </c>
      <c r="Q16" s="27">
        <f t="shared" si="6"/>
        <v>0</v>
      </c>
      <c r="R16" s="19">
        <v>0</v>
      </c>
      <c r="S16" s="27">
        <f t="shared" si="7"/>
        <v>0</v>
      </c>
      <c r="T16" s="19">
        <v>0</v>
      </c>
      <c r="U16" s="27">
        <f t="shared" si="8"/>
        <v>0</v>
      </c>
      <c r="V16" s="19">
        <v>0</v>
      </c>
      <c r="W16" s="27">
        <f t="shared" si="9"/>
        <v>0</v>
      </c>
      <c r="X16" s="19">
        <v>0</v>
      </c>
      <c r="Y16" s="27">
        <f t="shared" si="10"/>
        <v>0</v>
      </c>
      <c r="Z16" s="20">
        <v>0</v>
      </c>
      <c r="AA16" s="27">
        <f t="shared" si="11"/>
        <v>0</v>
      </c>
      <c r="AB16" s="20">
        <v>0</v>
      </c>
      <c r="AC16" s="27">
        <f t="shared" si="12"/>
        <v>0</v>
      </c>
      <c r="AD16" s="20">
        <v>0</v>
      </c>
      <c r="AE16" s="27">
        <f t="shared" si="13"/>
        <v>0</v>
      </c>
      <c r="AF16" s="7">
        <v>0</v>
      </c>
      <c r="AG16" s="27">
        <f t="shared" si="14"/>
        <v>0</v>
      </c>
      <c r="AH16" s="7">
        <v>0</v>
      </c>
      <c r="AI16" s="27">
        <f t="shared" si="15"/>
        <v>0</v>
      </c>
      <c r="AJ16" s="7">
        <v>0</v>
      </c>
      <c r="AK16" s="27">
        <f t="shared" si="16"/>
        <v>0</v>
      </c>
      <c r="AL16" s="7">
        <v>0</v>
      </c>
      <c r="AM16" s="27">
        <f t="shared" si="17"/>
        <v>0</v>
      </c>
      <c r="AN16" s="7">
        <v>0</v>
      </c>
      <c r="AO16" s="27">
        <f t="shared" si="18"/>
        <v>0</v>
      </c>
      <c r="AP16" s="7">
        <v>0</v>
      </c>
      <c r="AQ16" s="27">
        <f t="shared" si="19"/>
        <v>0</v>
      </c>
      <c r="AR16" s="7">
        <v>0</v>
      </c>
      <c r="AS16" s="27">
        <f t="shared" si="20"/>
        <v>0</v>
      </c>
      <c r="AT16" s="7">
        <v>0</v>
      </c>
      <c r="AU16" s="27">
        <f t="shared" si="21"/>
        <v>0</v>
      </c>
      <c r="AV16" s="7">
        <v>0</v>
      </c>
      <c r="AW16" s="27">
        <f t="shared" si="22"/>
        <v>0</v>
      </c>
      <c r="AX16" s="7">
        <v>0</v>
      </c>
      <c r="AY16" s="27">
        <f t="shared" si="23"/>
        <v>0</v>
      </c>
      <c r="AZ16" s="40"/>
    </row>
    <row r="17" spans="1:52" x14ac:dyDescent="0.2">
      <c r="A17" s="13" t="s">
        <v>252</v>
      </c>
      <c r="B17" s="26">
        <v>46000</v>
      </c>
      <c r="C17" s="26">
        <v>1916</v>
      </c>
      <c r="D17" s="26">
        <v>6000</v>
      </c>
      <c r="E17" s="15">
        <f t="shared" si="0"/>
        <v>4084</v>
      </c>
      <c r="F17" s="26">
        <v>0</v>
      </c>
      <c r="G17" s="27">
        <f t="shared" si="1"/>
        <v>0</v>
      </c>
      <c r="H17" s="26">
        <v>0</v>
      </c>
      <c r="I17" s="27">
        <f t="shared" si="2"/>
        <v>0</v>
      </c>
      <c r="J17" s="20">
        <v>0</v>
      </c>
      <c r="K17" s="27">
        <f t="shared" si="3"/>
        <v>0</v>
      </c>
      <c r="L17" s="20">
        <v>0</v>
      </c>
      <c r="M17" s="27">
        <f t="shared" si="4"/>
        <v>0</v>
      </c>
      <c r="N17" s="20">
        <v>0</v>
      </c>
      <c r="O17" s="27">
        <f t="shared" si="5"/>
        <v>0</v>
      </c>
      <c r="P17" s="20">
        <v>0</v>
      </c>
      <c r="Q17" s="27">
        <f t="shared" si="6"/>
        <v>0</v>
      </c>
      <c r="R17" s="19">
        <v>0</v>
      </c>
      <c r="S17" s="27">
        <f t="shared" si="7"/>
        <v>0</v>
      </c>
      <c r="T17" s="19">
        <v>0</v>
      </c>
      <c r="U17" s="27">
        <f t="shared" si="8"/>
        <v>0</v>
      </c>
      <c r="V17" s="19">
        <v>0</v>
      </c>
      <c r="W17" s="27">
        <f t="shared" si="9"/>
        <v>0</v>
      </c>
      <c r="X17" s="19">
        <v>0</v>
      </c>
      <c r="Y17" s="27">
        <f t="shared" si="10"/>
        <v>0</v>
      </c>
      <c r="Z17" s="20">
        <v>0</v>
      </c>
      <c r="AA17" s="27">
        <f t="shared" si="11"/>
        <v>0</v>
      </c>
      <c r="AB17" s="20">
        <v>0</v>
      </c>
      <c r="AC17" s="27">
        <f t="shared" si="12"/>
        <v>0</v>
      </c>
      <c r="AD17" s="20">
        <v>0</v>
      </c>
      <c r="AE17" s="27">
        <f t="shared" si="13"/>
        <v>0</v>
      </c>
      <c r="AF17" s="7">
        <v>0</v>
      </c>
      <c r="AG17" s="27">
        <f t="shared" si="14"/>
        <v>0</v>
      </c>
      <c r="AH17" s="7">
        <v>0</v>
      </c>
      <c r="AI17" s="27">
        <f t="shared" si="15"/>
        <v>0</v>
      </c>
      <c r="AJ17" s="7">
        <v>0</v>
      </c>
      <c r="AK17" s="27">
        <f t="shared" si="16"/>
        <v>0</v>
      </c>
      <c r="AL17" s="7">
        <v>0</v>
      </c>
      <c r="AM17" s="27">
        <f t="shared" si="17"/>
        <v>0</v>
      </c>
      <c r="AN17" s="7">
        <v>0</v>
      </c>
      <c r="AO17" s="27">
        <f t="shared" si="18"/>
        <v>0</v>
      </c>
      <c r="AP17" s="7">
        <v>0</v>
      </c>
      <c r="AQ17" s="27">
        <f t="shared" si="19"/>
        <v>0</v>
      </c>
      <c r="AR17" s="7">
        <v>0</v>
      </c>
      <c r="AS17" s="27">
        <f t="shared" si="20"/>
        <v>0</v>
      </c>
      <c r="AT17" s="7">
        <v>0</v>
      </c>
      <c r="AU17" s="27">
        <f t="shared" si="21"/>
        <v>0</v>
      </c>
      <c r="AV17" s="7">
        <v>0</v>
      </c>
      <c r="AW17" s="27">
        <f t="shared" si="22"/>
        <v>0</v>
      </c>
      <c r="AX17" s="7">
        <v>0</v>
      </c>
      <c r="AY17" s="27">
        <f t="shared" si="23"/>
        <v>0</v>
      </c>
      <c r="AZ17" s="40"/>
    </row>
    <row r="18" spans="1:52" x14ac:dyDescent="0.2">
      <c r="A18" s="13" t="s">
        <v>253</v>
      </c>
      <c r="B18" s="26">
        <v>55000</v>
      </c>
      <c r="C18" s="26">
        <v>2291</v>
      </c>
      <c r="D18" s="26">
        <v>4000</v>
      </c>
      <c r="E18" s="15">
        <f t="shared" si="0"/>
        <v>1709</v>
      </c>
      <c r="F18" s="26">
        <v>0</v>
      </c>
      <c r="G18" s="27">
        <f t="shared" si="1"/>
        <v>0</v>
      </c>
      <c r="H18" s="26">
        <v>0</v>
      </c>
      <c r="I18" s="27">
        <f t="shared" si="2"/>
        <v>0</v>
      </c>
      <c r="J18" s="20">
        <v>0</v>
      </c>
      <c r="K18" s="27">
        <f t="shared" si="3"/>
        <v>0</v>
      </c>
      <c r="L18" s="20">
        <v>0</v>
      </c>
      <c r="M18" s="27">
        <f t="shared" si="4"/>
        <v>0</v>
      </c>
      <c r="N18" s="20">
        <v>0</v>
      </c>
      <c r="O18" s="27">
        <f t="shared" si="5"/>
        <v>0</v>
      </c>
      <c r="P18" s="20">
        <v>0</v>
      </c>
      <c r="Q18" s="27">
        <f t="shared" si="6"/>
        <v>0</v>
      </c>
      <c r="R18" s="19">
        <v>0</v>
      </c>
      <c r="S18" s="27">
        <f t="shared" si="7"/>
        <v>0</v>
      </c>
      <c r="T18" s="19">
        <v>0</v>
      </c>
      <c r="U18" s="27">
        <f t="shared" si="8"/>
        <v>0</v>
      </c>
      <c r="V18" s="19">
        <v>0</v>
      </c>
      <c r="W18" s="27">
        <f t="shared" si="9"/>
        <v>0</v>
      </c>
      <c r="X18" s="19">
        <v>0</v>
      </c>
      <c r="Y18" s="27">
        <f t="shared" si="10"/>
        <v>0</v>
      </c>
      <c r="Z18" s="20">
        <v>0</v>
      </c>
      <c r="AA18" s="27">
        <f t="shared" si="11"/>
        <v>0</v>
      </c>
      <c r="AB18" s="20">
        <v>0</v>
      </c>
      <c r="AC18" s="27">
        <f t="shared" si="12"/>
        <v>0</v>
      </c>
      <c r="AD18" s="20">
        <v>0</v>
      </c>
      <c r="AE18" s="27">
        <f t="shared" si="13"/>
        <v>0</v>
      </c>
      <c r="AF18" s="7">
        <v>0</v>
      </c>
      <c r="AG18" s="27">
        <f t="shared" si="14"/>
        <v>0</v>
      </c>
      <c r="AH18" s="7">
        <v>0</v>
      </c>
      <c r="AI18" s="27">
        <f t="shared" si="15"/>
        <v>0</v>
      </c>
      <c r="AJ18" s="7">
        <v>0</v>
      </c>
      <c r="AK18" s="27">
        <f t="shared" si="16"/>
        <v>0</v>
      </c>
      <c r="AL18" s="7">
        <v>0</v>
      </c>
      <c r="AM18" s="27">
        <f t="shared" si="17"/>
        <v>0</v>
      </c>
      <c r="AN18" s="7">
        <v>0</v>
      </c>
      <c r="AO18" s="27">
        <f t="shared" si="18"/>
        <v>0</v>
      </c>
      <c r="AP18" s="7">
        <v>0</v>
      </c>
      <c r="AQ18" s="27">
        <f t="shared" si="19"/>
        <v>0</v>
      </c>
      <c r="AR18" s="7">
        <v>0</v>
      </c>
      <c r="AS18" s="27">
        <f t="shared" si="20"/>
        <v>0</v>
      </c>
      <c r="AT18" s="7">
        <v>0</v>
      </c>
      <c r="AU18" s="27">
        <f t="shared" si="21"/>
        <v>0</v>
      </c>
      <c r="AV18" s="7">
        <v>0</v>
      </c>
      <c r="AW18" s="27">
        <f t="shared" si="22"/>
        <v>0</v>
      </c>
      <c r="AX18" s="7">
        <v>0</v>
      </c>
      <c r="AY18" s="27">
        <f t="shared" si="23"/>
        <v>0</v>
      </c>
      <c r="AZ18" s="40"/>
    </row>
    <row r="19" spans="1:52" x14ac:dyDescent="0.2">
      <c r="A19" s="13" t="s">
        <v>254</v>
      </c>
      <c r="B19" s="26">
        <v>72000</v>
      </c>
      <c r="C19" s="26">
        <v>3000</v>
      </c>
      <c r="D19" s="26">
        <v>6000</v>
      </c>
      <c r="E19" s="15">
        <f t="shared" si="0"/>
        <v>3000</v>
      </c>
      <c r="F19" s="26">
        <v>0</v>
      </c>
      <c r="G19" s="27">
        <f t="shared" si="1"/>
        <v>0</v>
      </c>
      <c r="H19" s="26">
        <v>0</v>
      </c>
      <c r="I19" s="27">
        <f t="shared" si="2"/>
        <v>0</v>
      </c>
      <c r="J19" s="20">
        <v>0</v>
      </c>
      <c r="K19" s="27">
        <f t="shared" si="3"/>
        <v>0</v>
      </c>
      <c r="L19" s="20">
        <v>0</v>
      </c>
      <c r="M19" s="27">
        <f t="shared" si="4"/>
        <v>0</v>
      </c>
      <c r="N19" s="20">
        <v>0</v>
      </c>
      <c r="O19" s="27">
        <f t="shared" si="5"/>
        <v>0</v>
      </c>
      <c r="P19" s="20">
        <v>0</v>
      </c>
      <c r="Q19" s="27">
        <f t="shared" si="6"/>
        <v>0</v>
      </c>
      <c r="R19" s="19">
        <v>0</v>
      </c>
      <c r="S19" s="27">
        <f t="shared" si="7"/>
        <v>0</v>
      </c>
      <c r="T19" s="19">
        <v>0</v>
      </c>
      <c r="U19" s="27">
        <f t="shared" si="8"/>
        <v>0</v>
      </c>
      <c r="V19" s="19">
        <v>0</v>
      </c>
      <c r="W19" s="27">
        <f t="shared" si="9"/>
        <v>0</v>
      </c>
      <c r="X19" s="19">
        <v>0</v>
      </c>
      <c r="Y19" s="27">
        <f t="shared" si="10"/>
        <v>0</v>
      </c>
      <c r="Z19" s="20">
        <v>0</v>
      </c>
      <c r="AA19" s="27">
        <f t="shared" si="11"/>
        <v>0</v>
      </c>
      <c r="AB19" s="20">
        <v>0</v>
      </c>
      <c r="AC19" s="27">
        <f t="shared" si="12"/>
        <v>0</v>
      </c>
      <c r="AD19" s="20">
        <v>0</v>
      </c>
      <c r="AE19" s="27">
        <f t="shared" si="13"/>
        <v>0</v>
      </c>
      <c r="AF19" s="7">
        <v>0</v>
      </c>
      <c r="AG19" s="27">
        <f t="shared" si="14"/>
        <v>0</v>
      </c>
      <c r="AH19" s="7">
        <v>0</v>
      </c>
      <c r="AI19" s="27">
        <f t="shared" si="15"/>
        <v>0</v>
      </c>
      <c r="AJ19" s="7">
        <v>0</v>
      </c>
      <c r="AK19" s="27">
        <f t="shared" si="16"/>
        <v>0</v>
      </c>
      <c r="AL19" s="7">
        <v>0</v>
      </c>
      <c r="AM19" s="27">
        <f t="shared" si="17"/>
        <v>0</v>
      </c>
      <c r="AN19" s="7">
        <v>0</v>
      </c>
      <c r="AO19" s="27">
        <f t="shared" si="18"/>
        <v>0</v>
      </c>
      <c r="AP19" s="7">
        <v>0</v>
      </c>
      <c r="AQ19" s="27">
        <f t="shared" si="19"/>
        <v>0</v>
      </c>
      <c r="AR19" s="7">
        <v>0</v>
      </c>
      <c r="AS19" s="27">
        <f t="shared" si="20"/>
        <v>0</v>
      </c>
      <c r="AT19" s="7">
        <v>0</v>
      </c>
      <c r="AU19" s="27">
        <f t="shared" si="21"/>
        <v>0</v>
      </c>
      <c r="AV19" s="7">
        <v>0</v>
      </c>
      <c r="AW19" s="27">
        <f t="shared" si="22"/>
        <v>0</v>
      </c>
      <c r="AX19" s="7">
        <v>0</v>
      </c>
      <c r="AY19" s="27">
        <f t="shared" si="23"/>
        <v>0</v>
      </c>
      <c r="AZ19" s="40"/>
    </row>
    <row r="20" spans="1:52" x14ac:dyDescent="0.2">
      <c r="A20" s="13" t="s">
        <v>255</v>
      </c>
      <c r="B20" s="26">
        <v>7560</v>
      </c>
      <c r="C20" s="26">
        <v>1260</v>
      </c>
      <c r="D20" s="26">
        <v>3000</v>
      </c>
      <c r="E20" s="15">
        <f t="shared" si="0"/>
        <v>1740</v>
      </c>
      <c r="F20" s="26">
        <v>0</v>
      </c>
      <c r="G20" s="27">
        <f t="shared" si="1"/>
        <v>0</v>
      </c>
      <c r="H20" s="26">
        <v>0</v>
      </c>
      <c r="I20" s="27">
        <f t="shared" si="2"/>
        <v>0</v>
      </c>
      <c r="J20" s="20">
        <v>0</v>
      </c>
      <c r="K20" s="27">
        <f t="shared" si="3"/>
        <v>0</v>
      </c>
      <c r="L20" s="20">
        <v>0</v>
      </c>
      <c r="M20" s="27">
        <f t="shared" si="4"/>
        <v>0</v>
      </c>
      <c r="N20" s="20">
        <v>0</v>
      </c>
      <c r="O20" s="27">
        <f t="shared" si="5"/>
        <v>0</v>
      </c>
      <c r="P20" s="20">
        <v>0</v>
      </c>
      <c r="Q20" s="27">
        <f t="shared" si="6"/>
        <v>0</v>
      </c>
      <c r="R20" s="19">
        <v>0</v>
      </c>
      <c r="S20" s="27">
        <f t="shared" si="7"/>
        <v>0</v>
      </c>
      <c r="T20" s="19">
        <v>0</v>
      </c>
      <c r="U20" s="27">
        <f t="shared" si="8"/>
        <v>0</v>
      </c>
      <c r="V20" s="19">
        <v>0</v>
      </c>
      <c r="W20" s="27">
        <f t="shared" si="9"/>
        <v>0</v>
      </c>
      <c r="X20" s="19">
        <v>0</v>
      </c>
      <c r="Y20" s="27">
        <f t="shared" si="10"/>
        <v>0</v>
      </c>
      <c r="Z20" s="20">
        <v>0</v>
      </c>
      <c r="AA20" s="27">
        <f t="shared" si="11"/>
        <v>0</v>
      </c>
      <c r="AB20" s="20">
        <v>0</v>
      </c>
      <c r="AC20" s="27">
        <f t="shared" si="12"/>
        <v>0</v>
      </c>
      <c r="AD20" s="20">
        <v>0</v>
      </c>
      <c r="AE20" s="27">
        <f t="shared" si="13"/>
        <v>0</v>
      </c>
      <c r="AF20" s="7">
        <v>0</v>
      </c>
      <c r="AG20" s="27">
        <f t="shared" si="14"/>
        <v>0</v>
      </c>
      <c r="AH20" s="7">
        <v>0</v>
      </c>
      <c r="AI20" s="27">
        <f t="shared" si="15"/>
        <v>0</v>
      </c>
      <c r="AJ20" s="7">
        <v>0</v>
      </c>
      <c r="AK20" s="27">
        <f t="shared" si="16"/>
        <v>0</v>
      </c>
      <c r="AL20" s="7">
        <v>0</v>
      </c>
      <c r="AM20" s="27">
        <f t="shared" si="17"/>
        <v>0</v>
      </c>
      <c r="AN20" s="7">
        <v>0</v>
      </c>
      <c r="AO20" s="27">
        <f t="shared" si="18"/>
        <v>0</v>
      </c>
      <c r="AP20" s="7">
        <v>0</v>
      </c>
      <c r="AQ20" s="27">
        <f t="shared" si="19"/>
        <v>0</v>
      </c>
      <c r="AR20" s="7">
        <v>0</v>
      </c>
      <c r="AS20" s="27">
        <f t="shared" si="20"/>
        <v>0</v>
      </c>
      <c r="AT20" s="7">
        <v>0</v>
      </c>
      <c r="AU20" s="27">
        <f t="shared" si="21"/>
        <v>0</v>
      </c>
      <c r="AV20" s="7">
        <v>0</v>
      </c>
      <c r="AW20" s="27">
        <f t="shared" si="22"/>
        <v>0</v>
      </c>
      <c r="AX20" s="7">
        <v>0</v>
      </c>
      <c r="AY20" s="27">
        <f t="shared" si="23"/>
        <v>0</v>
      </c>
      <c r="AZ20" s="40"/>
    </row>
    <row r="21" spans="1:52" x14ac:dyDescent="0.2">
      <c r="A21" s="13" t="s">
        <v>256</v>
      </c>
      <c r="B21" s="26">
        <v>54700</v>
      </c>
      <c r="C21" s="26">
        <v>1823</v>
      </c>
      <c r="D21" s="26">
        <v>4000</v>
      </c>
      <c r="E21" s="15">
        <f t="shared" si="0"/>
        <v>2177</v>
      </c>
      <c r="F21" s="26">
        <v>0</v>
      </c>
      <c r="G21" s="27">
        <f t="shared" si="1"/>
        <v>0</v>
      </c>
      <c r="H21" s="26">
        <v>0</v>
      </c>
      <c r="I21" s="27">
        <f t="shared" si="2"/>
        <v>0</v>
      </c>
      <c r="J21" s="20">
        <v>0</v>
      </c>
      <c r="K21" s="27">
        <f t="shared" si="3"/>
        <v>0</v>
      </c>
      <c r="L21" s="20">
        <v>0</v>
      </c>
      <c r="M21" s="27">
        <f t="shared" si="4"/>
        <v>0</v>
      </c>
      <c r="N21" s="20">
        <v>0</v>
      </c>
      <c r="O21" s="27">
        <f t="shared" si="5"/>
        <v>0</v>
      </c>
      <c r="P21" s="20">
        <v>0</v>
      </c>
      <c r="Q21" s="27">
        <f t="shared" si="6"/>
        <v>0</v>
      </c>
      <c r="R21" s="19">
        <v>0</v>
      </c>
      <c r="S21" s="27">
        <f t="shared" si="7"/>
        <v>0</v>
      </c>
      <c r="T21" s="19">
        <v>0</v>
      </c>
      <c r="U21" s="27">
        <f t="shared" si="8"/>
        <v>0</v>
      </c>
      <c r="V21" s="19">
        <v>0</v>
      </c>
      <c r="W21" s="27">
        <f t="shared" si="9"/>
        <v>0</v>
      </c>
      <c r="X21" s="19">
        <v>0</v>
      </c>
      <c r="Y21" s="27">
        <f t="shared" si="10"/>
        <v>0</v>
      </c>
      <c r="Z21" s="20">
        <v>0</v>
      </c>
      <c r="AA21" s="27">
        <f t="shared" si="11"/>
        <v>0</v>
      </c>
      <c r="AB21" s="20">
        <v>1</v>
      </c>
      <c r="AC21" s="27">
        <f t="shared" si="12"/>
        <v>2177</v>
      </c>
      <c r="AD21" s="20">
        <v>0</v>
      </c>
      <c r="AE21" s="27">
        <f t="shared" si="13"/>
        <v>0</v>
      </c>
      <c r="AF21" s="7">
        <v>0</v>
      </c>
      <c r="AG21" s="27">
        <f t="shared" si="14"/>
        <v>0</v>
      </c>
      <c r="AH21" s="7">
        <v>0</v>
      </c>
      <c r="AI21" s="27">
        <f t="shared" si="15"/>
        <v>0</v>
      </c>
      <c r="AJ21" s="7">
        <v>0</v>
      </c>
      <c r="AK21" s="27">
        <f t="shared" si="16"/>
        <v>0</v>
      </c>
      <c r="AL21" s="7">
        <v>0</v>
      </c>
      <c r="AM21" s="27">
        <f t="shared" si="17"/>
        <v>0</v>
      </c>
      <c r="AN21" s="7">
        <v>0</v>
      </c>
      <c r="AO21" s="27">
        <f t="shared" si="18"/>
        <v>0</v>
      </c>
      <c r="AP21" s="7">
        <v>0</v>
      </c>
      <c r="AQ21" s="27">
        <f t="shared" si="19"/>
        <v>0</v>
      </c>
      <c r="AR21" s="7">
        <v>0</v>
      </c>
      <c r="AS21" s="27">
        <f t="shared" si="20"/>
        <v>0</v>
      </c>
      <c r="AT21" s="7">
        <v>0</v>
      </c>
      <c r="AU21" s="27">
        <f t="shared" si="21"/>
        <v>0</v>
      </c>
      <c r="AV21" s="7">
        <v>0</v>
      </c>
      <c r="AW21" s="27">
        <f t="shared" si="22"/>
        <v>0</v>
      </c>
      <c r="AX21" s="7">
        <v>0</v>
      </c>
      <c r="AY21" s="27">
        <f t="shared" si="23"/>
        <v>0</v>
      </c>
      <c r="AZ21" s="40"/>
    </row>
    <row r="22" spans="1:52" x14ac:dyDescent="0.2">
      <c r="A22" s="13" t="s">
        <v>257</v>
      </c>
      <c r="B22" s="26">
        <v>56000</v>
      </c>
      <c r="C22" s="26">
        <v>1866</v>
      </c>
      <c r="D22" s="26">
        <v>4000</v>
      </c>
      <c r="E22" s="15">
        <f t="shared" si="0"/>
        <v>2134</v>
      </c>
      <c r="F22" s="26">
        <v>0</v>
      </c>
      <c r="G22" s="27">
        <f t="shared" si="1"/>
        <v>0</v>
      </c>
      <c r="H22" s="26">
        <v>0</v>
      </c>
      <c r="I22" s="27">
        <f t="shared" si="2"/>
        <v>0</v>
      </c>
      <c r="J22" s="20">
        <v>0</v>
      </c>
      <c r="K22" s="27">
        <f t="shared" si="3"/>
        <v>0</v>
      </c>
      <c r="L22" s="20">
        <v>0</v>
      </c>
      <c r="M22" s="27">
        <f t="shared" si="4"/>
        <v>0</v>
      </c>
      <c r="N22" s="20">
        <v>0</v>
      </c>
      <c r="O22" s="27">
        <f t="shared" si="5"/>
        <v>0</v>
      </c>
      <c r="P22" s="20">
        <v>0</v>
      </c>
      <c r="Q22" s="27">
        <f t="shared" si="6"/>
        <v>0</v>
      </c>
      <c r="R22" s="19">
        <v>0</v>
      </c>
      <c r="S22" s="27">
        <f t="shared" si="7"/>
        <v>0</v>
      </c>
      <c r="T22" s="19">
        <v>0</v>
      </c>
      <c r="U22" s="27">
        <f t="shared" si="8"/>
        <v>0</v>
      </c>
      <c r="V22" s="19">
        <v>0</v>
      </c>
      <c r="W22" s="27">
        <f t="shared" si="9"/>
        <v>0</v>
      </c>
      <c r="X22" s="19">
        <v>0</v>
      </c>
      <c r="Y22" s="27">
        <f t="shared" si="10"/>
        <v>0</v>
      </c>
      <c r="Z22" s="20">
        <v>0</v>
      </c>
      <c r="AA22" s="27">
        <f t="shared" si="11"/>
        <v>0</v>
      </c>
      <c r="AB22" s="20">
        <v>0</v>
      </c>
      <c r="AC22" s="27">
        <f t="shared" si="12"/>
        <v>0</v>
      </c>
      <c r="AD22" s="20">
        <v>0</v>
      </c>
      <c r="AE22" s="27">
        <f t="shared" si="13"/>
        <v>0</v>
      </c>
      <c r="AF22" s="7">
        <v>0</v>
      </c>
      <c r="AG22" s="27">
        <f t="shared" si="14"/>
        <v>0</v>
      </c>
      <c r="AH22" s="7">
        <v>0</v>
      </c>
      <c r="AI22" s="27">
        <f t="shared" si="15"/>
        <v>0</v>
      </c>
      <c r="AJ22" s="7">
        <v>0</v>
      </c>
      <c r="AK22" s="27">
        <f t="shared" si="16"/>
        <v>0</v>
      </c>
      <c r="AL22" s="7">
        <v>0</v>
      </c>
      <c r="AM22" s="27">
        <f t="shared" si="17"/>
        <v>0</v>
      </c>
      <c r="AN22" s="7">
        <v>0</v>
      </c>
      <c r="AO22" s="27">
        <f t="shared" si="18"/>
        <v>0</v>
      </c>
      <c r="AP22" s="7">
        <v>0</v>
      </c>
      <c r="AQ22" s="27">
        <f t="shared" si="19"/>
        <v>0</v>
      </c>
      <c r="AR22" s="7">
        <v>0</v>
      </c>
      <c r="AS22" s="27">
        <f t="shared" si="20"/>
        <v>0</v>
      </c>
      <c r="AT22" s="7">
        <v>0</v>
      </c>
      <c r="AU22" s="27">
        <f t="shared" si="21"/>
        <v>0</v>
      </c>
      <c r="AV22" s="7">
        <v>0</v>
      </c>
      <c r="AW22" s="27">
        <f t="shared" si="22"/>
        <v>0</v>
      </c>
      <c r="AX22" s="7">
        <v>0</v>
      </c>
      <c r="AY22" s="27">
        <f t="shared" si="23"/>
        <v>0</v>
      </c>
      <c r="AZ22" s="40"/>
    </row>
    <row r="23" spans="1:52" x14ac:dyDescent="0.2">
      <c r="A23" s="13" t="s">
        <v>258</v>
      </c>
      <c r="B23" s="26">
        <v>55000</v>
      </c>
      <c r="C23" s="26">
        <v>2291</v>
      </c>
      <c r="D23" s="26">
        <v>5000</v>
      </c>
      <c r="E23" s="15">
        <f t="shared" si="0"/>
        <v>2709</v>
      </c>
      <c r="F23" s="26">
        <v>5</v>
      </c>
      <c r="G23" s="27">
        <f t="shared" si="1"/>
        <v>13545</v>
      </c>
      <c r="H23" s="26">
        <v>0</v>
      </c>
      <c r="I23" s="27">
        <f t="shared" si="2"/>
        <v>0</v>
      </c>
      <c r="J23" s="20">
        <v>0</v>
      </c>
      <c r="K23" s="27">
        <f t="shared" si="3"/>
        <v>0</v>
      </c>
      <c r="L23" s="20">
        <v>0</v>
      </c>
      <c r="M23" s="27">
        <f t="shared" si="4"/>
        <v>0</v>
      </c>
      <c r="N23" s="20">
        <v>0</v>
      </c>
      <c r="O23" s="27">
        <f t="shared" si="5"/>
        <v>0</v>
      </c>
      <c r="P23" s="20">
        <v>0</v>
      </c>
      <c r="Q23" s="27">
        <f t="shared" si="6"/>
        <v>0</v>
      </c>
      <c r="R23" s="19">
        <v>0</v>
      </c>
      <c r="S23" s="27">
        <f t="shared" si="7"/>
        <v>0</v>
      </c>
      <c r="T23" s="19">
        <v>0</v>
      </c>
      <c r="U23" s="27">
        <f t="shared" si="8"/>
        <v>0</v>
      </c>
      <c r="V23" s="19">
        <v>0</v>
      </c>
      <c r="W23" s="27">
        <f t="shared" si="9"/>
        <v>0</v>
      </c>
      <c r="X23" s="19">
        <v>0</v>
      </c>
      <c r="Y23" s="27">
        <f t="shared" si="10"/>
        <v>0</v>
      </c>
      <c r="Z23" s="20">
        <v>0</v>
      </c>
      <c r="AA23" s="27">
        <f t="shared" si="11"/>
        <v>0</v>
      </c>
      <c r="AB23" s="20">
        <v>0</v>
      </c>
      <c r="AC23" s="27">
        <f t="shared" si="12"/>
        <v>0</v>
      </c>
      <c r="AD23" s="20">
        <v>0</v>
      </c>
      <c r="AE23" s="27">
        <f t="shared" si="13"/>
        <v>0</v>
      </c>
      <c r="AF23" s="7">
        <v>0</v>
      </c>
      <c r="AG23" s="27">
        <f t="shared" si="14"/>
        <v>0</v>
      </c>
      <c r="AH23" s="7">
        <v>0</v>
      </c>
      <c r="AI23" s="27">
        <f t="shared" si="15"/>
        <v>0</v>
      </c>
      <c r="AJ23" s="7">
        <v>4</v>
      </c>
      <c r="AK23" s="27">
        <f t="shared" si="16"/>
        <v>10836</v>
      </c>
      <c r="AL23" s="7">
        <v>0</v>
      </c>
      <c r="AM23" s="27">
        <f t="shared" si="17"/>
        <v>0</v>
      </c>
      <c r="AN23" s="7">
        <v>0</v>
      </c>
      <c r="AO23" s="27">
        <f t="shared" si="18"/>
        <v>0</v>
      </c>
      <c r="AP23" s="7">
        <v>0</v>
      </c>
      <c r="AQ23" s="27">
        <f t="shared" si="19"/>
        <v>0</v>
      </c>
      <c r="AR23" s="7">
        <v>0</v>
      </c>
      <c r="AS23" s="27">
        <f t="shared" si="20"/>
        <v>0</v>
      </c>
      <c r="AT23" s="7">
        <v>0</v>
      </c>
      <c r="AU23" s="27">
        <f t="shared" si="21"/>
        <v>0</v>
      </c>
      <c r="AV23" s="7">
        <v>0</v>
      </c>
      <c r="AW23" s="27">
        <f t="shared" si="22"/>
        <v>0</v>
      </c>
      <c r="AX23" s="7">
        <v>0</v>
      </c>
      <c r="AY23" s="27">
        <f t="shared" si="23"/>
        <v>0</v>
      </c>
      <c r="AZ23" s="40"/>
    </row>
    <row r="24" spans="1:52" x14ac:dyDescent="0.2">
      <c r="A24" s="5" t="s">
        <v>99</v>
      </c>
      <c r="B24" s="26">
        <v>60000</v>
      </c>
      <c r="C24" s="26">
        <v>2500</v>
      </c>
      <c r="D24" s="26">
        <v>5000</v>
      </c>
      <c r="E24" s="15">
        <f t="shared" si="0"/>
        <v>2500</v>
      </c>
      <c r="F24" s="26">
        <v>0</v>
      </c>
      <c r="G24" s="27">
        <f t="shared" si="1"/>
        <v>0</v>
      </c>
      <c r="H24" s="26">
        <v>0</v>
      </c>
      <c r="I24" s="27">
        <f t="shared" si="2"/>
        <v>0</v>
      </c>
      <c r="J24" s="20">
        <v>19</v>
      </c>
      <c r="K24" s="27">
        <f t="shared" si="3"/>
        <v>47500</v>
      </c>
      <c r="L24" s="20">
        <v>14</v>
      </c>
      <c r="M24" s="27">
        <f t="shared" si="4"/>
        <v>35000</v>
      </c>
      <c r="N24" s="20">
        <v>10</v>
      </c>
      <c r="O24" s="27">
        <f t="shared" si="5"/>
        <v>25000</v>
      </c>
      <c r="P24" s="20">
        <v>0</v>
      </c>
      <c r="Q24" s="27">
        <f t="shared" si="6"/>
        <v>0</v>
      </c>
      <c r="R24" s="19">
        <v>0</v>
      </c>
      <c r="S24" s="27">
        <f t="shared" si="7"/>
        <v>0</v>
      </c>
      <c r="T24" s="19">
        <v>0</v>
      </c>
      <c r="U24" s="27">
        <f t="shared" si="8"/>
        <v>0</v>
      </c>
      <c r="V24" s="19">
        <v>18</v>
      </c>
      <c r="W24" s="27">
        <f t="shared" si="9"/>
        <v>45000</v>
      </c>
      <c r="X24" s="19">
        <v>12</v>
      </c>
      <c r="Y24" s="27">
        <f t="shared" si="10"/>
        <v>30000</v>
      </c>
      <c r="Z24" s="20">
        <v>10</v>
      </c>
      <c r="AA24" s="27">
        <f t="shared" si="11"/>
        <v>25000</v>
      </c>
      <c r="AB24" s="20">
        <v>10</v>
      </c>
      <c r="AC24" s="27">
        <f t="shared" si="12"/>
        <v>25000</v>
      </c>
      <c r="AD24" s="20">
        <v>16</v>
      </c>
      <c r="AE24" s="27">
        <f t="shared" si="13"/>
        <v>40000</v>
      </c>
      <c r="AF24" s="7">
        <v>0</v>
      </c>
      <c r="AG24" s="27">
        <f t="shared" si="14"/>
        <v>0</v>
      </c>
      <c r="AH24" s="7">
        <v>12</v>
      </c>
      <c r="AI24" s="27">
        <f t="shared" si="15"/>
        <v>30000</v>
      </c>
      <c r="AJ24" s="7">
        <v>0</v>
      </c>
      <c r="AK24" s="27">
        <f t="shared" si="16"/>
        <v>0</v>
      </c>
      <c r="AL24" s="7">
        <v>103</v>
      </c>
      <c r="AM24" s="27">
        <f t="shared" si="17"/>
        <v>257500</v>
      </c>
      <c r="AN24" s="7">
        <v>0</v>
      </c>
      <c r="AO24" s="27">
        <f t="shared" si="18"/>
        <v>0</v>
      </c>
      <c r="AP24" s="7">
        <v>21</v>
      </c>
      <c r="AQ24" s="27">
        <f t="shared" si="19"/>
        <v>52500</v>
      </c>
      <c r="AR24" s="7">
        <v>0</v>
      </c>
      <c r="AS24" s="27">
        <f t="shared" si="20"/>
        <v>0</v>
      </c>
      <c r="AT24" s="7">
        <v>0</v>
      </c>
      <c r="AU24" s="27">
        <f t="shared" si="21"/>
        <v>0</v>
      </c>
      <c r="AV24" s="7">
        <v>0</v>
      </c>
      <c r="AW24" s="27">
        <f t="shared" si="22"/>
        <v>0</v>
      </c>
      <c r="AX24" s="7">
        <v>11</v>
      </c>
      <c r="AY24" s="27">
        <f t="shared" si="23"/>
        <v>27500</v>
      </c>
      <c r="AZ24" s="40"/>
    </row>
    <row r="25" spans="1:52" x14ac:dyDescent="0.2">
      <c r="A25" s="5" t="s">
        <v>100</v>
      </c>
      <c r="B25" s="26">
        <v>63500</v>
      </c>
      <c r="C25" s="26">
        <v>2116</v>
      </c>
      <c r="D25" s="26">
        <v>3400</v>
      </c>
      <c r="E25" s="15">
        <f t="shared" si="0"/>
        <v>1284</v>
      </c>
      <c r="F25" s="26">
        <v>14</v>
      </c>
      <c r="G25" s="27">
        <f t="shared" si="1"/>
        <v>17976</v>
      </c>
      <c r="H25" s="26">
        <v>58</v>
      </c>
      <c r="I25" s="27">
        <f t="shared" si="2"/>
        <v>74472</v>
      </c>
      <c r="J25" s="20">
        <v>56</v>
      </c>
      <c r="K25" s="27">
        <f t="shared" si="3"/>
        <v>71904</v>
      </c>
      <c r="L25" s="20">
        <v>24</v>
      </c>
      <c r="M25" s="27">
        <f t="shared" si="4"/>
        <v>30816</v>
      </c>
      <c r="N25" s="20">
        <v>67</v>
      </c>
      <c r="O25" s="27">
        <f t="shared" si="5"/>
        <v>86028</v>
      </c>
      <c r="P25" s="20">
        <v>22</v>
      </c>
      <c r="Q25" s="27">
        <f t="shared" si="6"/>
        <v>28248</v>
      </c>
      <c r="R25" s="19">
        <v>26</v>
      </c>
      <c r="S25" s="27">
        <f t="shared" si="7"/>
        <v>33384</v>
      </c>
      <c r="T25" s="19">
        <v>39</v>
      </c>
      <c r="U25" s="27">
        <f t="shared" si="8"/>
        <v>50076</v>
      </c>
      <c r="V25" s="19">
        <v>48</v>
      </c>
      <c r="W25" s="27">
        <f t="shared" si="9"/>
        <v>61632</v>
      </c>
      <c r="X25" s="19">
        <v>90</v>
      </c>
      <c r="Y25" s="27">
        <f t="shared" si="10"/>
        <v>115560</v>
      </c>
      <c r="Z25" s="20">
        <v>55</v>
      </c>
      <c r="AA25" s="27">
        <f t="shared" si="11"/>
        <v>70620</v>
      </c>
      <c r="AB25" s="20">
        <v>19</v>
      </c>
      <c r="AC25" s="27">
        <f t="shared" si="12"/>
        <v>24396</v>
      </c>
      <c r="AD25" s="20">
        <v>18</v>
      </c>
      <c r="AE25" s="27">
        <f t="shared" si="13"/>
        <v>23112</v>
      </c>
      <c r="AF25" s="7">
        <v>26</v>
      </c>
      <c r="AG25" s="27">
        <f t="shared" si="14"/>
        <v>33384</v>
      </c>
      <c r="AH25" s="7">
        <v>93</v>
      </c>
      <c r="AI25" s="27">
        <f t="shared" si="15"/>
        <v>119412</v>
      </c>
      <c r="AJ25" s="7">
        <v>64</v>
      </c>
      <c r="AK25" s="27">
        <f t="shared" si="16"/>
        <v>82176</v>
      </c>
      <c r="AL25" s="7">
        <v>65</v>
      </c>
      <c r="AM25" s="27">
        <f t="shared" si="17"/>
        <v>83460</v>
      </c>
      <c r="AN25" s="7">
        <v>50</v>
      </c>
      <c r="AO25" s="27">
        <f t="shared" si="18"/>
        <v>64200</v>
      </c>
      <c r="AP25" s="7">
        <v>39</v>
      </c>
      <c r="AQ25" s="27">
        <f t="shared" si="19"/>
        <v>50076</v>
      </c>
      <c r="AR25" s="7">
        <v>38</v>
      </c>
      <c r="AS25" s="27">
        <f t="shared" si="20"/>
        <v>48792</v>
      </c>
      <c r="AT25" s="7">
        <v>47</v>
      </c>
      <c r="AU25" s="27">
        <f t="shared" si="21"/>
        <v>60348</v>
      </c>
      <c r="AV25" s="7">
        <v>1</v>
      </c>
      <c r="AW25" s="27">
        <f t="shared" si="22"/>
        <v>1284</v>
      </c>
      <c r="AX25" s="7">
        <v>15</v>
      </c>
      <c r="AY25" s="27">
        <f t="shared" si="23"/>
        <v>19260</v>
      </c>
      <c r="AZ25" s="40"/>
    </row>
    <row r="26" spans="1:52" x14ac:dyDescent="0.2">
      <c r="A26" s="5" t="s">
        <v>101</v>
      </c>
      <c r="B26" s="26">
        <v>63500</v>
      </c>
      <c r="C26" s="26">
        <v>2116</v>
      </c>
      <c r="D26" s="26">
        <v>3400</v>
      </c>
      <c r="E26" s="15">
        <f t="shared" si="0"/>
        <v>1284</v>
      </c>
      <c r="F26" s="26">
        <v>18</v>
      </c>
      <c r="G26" s="27">
        <f t="shared" si="1"/>
        <v>23112</v>
      </c>
      <c r="H26" s="26">
        <v>47</v>
      </c>
      <c r="I26" s="27">
        <f t="shared" si="2"/>
        <v>60348</v>
      </c>
      <c r="J26" s="20">
        <v>14</v>
      </c>
      <c r="K26" s="27">
        <f t="shared" si="3"/>
        <v>17976</v>
      </c>
      <c r="L26" s="20">
        <v>55</v>
      </c>
      <c r="M26" s="27">
        <f t="shared" si="4"/>
        <v>70620</v>
      </c>
      <c r="N26" s="20">
        <v>27</v>
      </c>
      <c r="O26" s="27">
        <f t="shared" si="5"/>
        <v>34668</v>
      </c>
      <c r="P26" s="20">
        <v>45</v>
      </c>
      <c r="Q26" s="27">
        <f t="shared" si="6"/>
        <v>57780</v>
      </c>
      <c r="R26" s="19">
        <v>13</v>
      </c>
      <c r="S26" s="27">
        <f t="shared" si="7"/>
        <v>16692</v>
      </c>
      <c r="T26" s="19">
        <v>37</v>
      </c>
      <c r="U26" s="27">
        <f t="shared" si="8"/>
        <v>47508</v>
      </c>
      <c r="V26" s="19">
        <v>25</v>
      </c>
      <c r="W26" s="27">
        <f t="shared" si="9"/>
        <v>32100</v>
      </c>
      <c r="X26" s="19">
        <v>82</v>
      </c>
      <c r="Y26" s="27">
        <f t="shared" si="10"/>
        <v>105288</v>
      </c>
      <c r="Z26" s="20">
        <v>61</v>
      </c>
      <c r="AA26" s="27">
        <f t="shared" si="11"/>
        <v>78324</v>
      </c>
      <c r="AB26" s="20">
        <v>5</v>
      </c>
      <c r="AC26" s="27">
        <f t="shared" si="12"/>
        <v>6420</v>
      </c>
      <c r="AD26" s="20">
        <v>4</v>
      </c>
      <c r="AE26" s="27">
        <f t="shared" si="13"/>
        <v>5136</v>
      </c>
      <c r="AF26" s="7">
        <v>14</v>
      </c>
      <c r="AG26" s="27">
        <f t="shared" si="14"/>
        <v>17976</v>
      </c>
      <c r="AH26" s="7">
        <v>22</v>
      </c>
      <c r="AI26" s="27">
        <f t="shared" si="15"/>
        <v>28248</v>
      </c>
      <c r="AJ26" s="7">
        <v>49</v>
      </c>
      <c r="AK26" s="27">
        <f t="shared" si="16"/>
        <v>62916</v>
      </c>
      <c r="AL26" s="7">
        <v>32</v>
      </c>
      <c r="AM26" s="27">
        <f t="shared" si="17"/>
        <v>41088</v>
      </c>
      <c r="AN26" s="7">
        <v>74</v>
      </c>
      <c r="AO26" s="27">
        <f t="shared" si="18"/>
        <v>95016</v>
      </c>
      <c r="AP26" s="7">
        <v>34</v>
      </c>
      <c r="AQ26" s="27">
        <f t="shared" si="19"/>
        <v>43656</v>
      </c>
      <c r="AR26" s="7">
        <v>15</v>
      </c>
      <c r="AS26" s="27">
        <f t="shared" si="20"/>
        <v>19260</v>
      </c>
      <c r="AT26" s="7">
        <v>10</v>
      </c>
      <c r="AU26" s="27">
        <f t="shared" si="21"/>
        <v>12840</v>
      </c>
      <c r="AV26" s="7">
        <v>1</v>
      </c>
      <c r="AW26" s="27">
        <f t="shared" si="22"/>
        <v>1284</v>
      </c>
      <c r="AX26" s="7">
        <v>59</v>
      </c>
      <c r="AY26" s="27">
        <f t="shared" si="23"/>
        <v>75756</v>
      </c>
      <c r="AZ26" s="40"/>
    </row>
    <row r="27" spans="1:52" x14ac:dyDescent="0.2">
      <c r="A27" s="5" t="s">
        <v>102</v>
      </c>
      <c r="B27" s="26">
        <v>63500</v>
      </c>
      <c r="C27" s="26">
        <v>2116</v>
      </c>
      <c r="D27" s="26">
        <v>3400</v>
      </c>
      <c r="E27" s="15">
        <f t="shared" si="0"/>
        <v>1284</v>
      </c>
      <c r="F27" s="26">
        <v>3</v>
      </c>
      <c r="G27" s="27">
        <f t="shared" si="1"/>
        <v>3852</v>
      </c>
      <c r="H27" s="26">
        <v>0</v>
      </c>
      <c r="I27" s="27">
        <f t="shared" si="2"/>
        <v>0</v>
      </c>
      <c r="J27" s="20">
        <v>1</v>
      </c>
      <c r="K27" s="27">
        <f t="shared" si="3"/>
        <v>1284</v>
      </c>
      <c r="L27" s="20">
        <v>7</v>
      </c>
      <c r="M27" s="27">
        <f t="shared" si="4"/>
        <v>8988</v>
      </c>
      <c r="N27" s="20">
        <v>8</v>
      </c>
      <c r="O27" s="27">
        <f t="shared" si="5"/>
        <v>10272</v>
      </c>
      <c r="P27" s="20">
        <v>35</v>
      </c>
      <c r="Q27" s="27">
        <f t="shared" si="6"/>
        <v>44940</v>
      </c>
      <c r="R27" s="19">
        <v>3</v>
      </c>
      <c r="S27" s="27">
        <f t="shared" si="7"/>
        <v>3852</v>
      </c>
      <c r="T27" s="19">
        <v>0</v>
      </c>
      <c r="U27" s="27">
        <f t="shared" si="8"/>
        <v>0</v>
      </c>
      <c r="V27" s="19">
        <v>2</v>
      </c>
      <c r="W27" s="27">
        <f t="shared" si="9"/>
        <v>2568</v>
      </c>
      <c r="X27" s="19">
        <v>31</v>
      </c>
      <c r="Y27" s="27">
        <f t="shared" si="10"/>
        <v>39804</v>
      </c>
      <c r="Z27" s="20">
        <v>12</v>
      </c>
      <c r="AA27" s="27">
        <f t="shared" si="11"/>
        <v>15408</v>
      </c>
      <c r="AB27" s="20">
        <v>1</v>
      </c>
      <c r="AC27" s="27">
        <f t="shared" si="12"/>
        <v>1284</v>
      </c>
      <c r="AD27" s="20">
        <v>13</v>
      </c>
      <c r="AE27" s="27">
        <f t="shared" si="13"/>
        <v>16692</v>
      </c>
      <c r="AF27" s="7">
        <v>13</v>
      </c>
      <c r="AG27" s="27">
        <f t="shared" si="14"/>
        <v>16692</v>
      </c>
      <c r="AH27" s="7">
        <v>0</v>
      </c>
      <c r="AI27" s="27">
        <f t="shared" si="15"/>
        <v>0</v>
      </c>
      <c r="AJ27" s="7">
        <v>0</v>
      </c>
      <c r="AK27" s="27">
        <f t="shared" si="16"/>
        <v>0</v>
      </c>
      <c r="AL27" s="7">
        <v>6</v>
      </c>
      <c r="AM27" s="27">
        <f t="shared" si="17"/>
        <v>7704</v>
      </c>
      <c r="AN27" s="7">
        <v>18</v>
      </c>
      <c r="AO27" s="27">
        <f t="shared" si="18"/>
        <v>23112</v>
      </c>
      <c r="AP27" s="7">
        <v>2</v>
      </c>
      <c r="AQ27" s="27">
        <f t="shared" si="19"/>
        <v>2568</v>
      </c>
      <c r="AR27" s="7">
        <v>5</v>
      </c>
      <c r="AS27" s="27">
        <f t="shared" si="20"/>
        <v>6420</v>
      </c>
      <c r="AT27" s="7">
        <v>6</v>
      </c>
      <c r="AU27" s="27">
        <f t="shared" si="21"/>
        <v>7704</v>
      </c>
      <c r="AV27" s="7">
        <v>2</v>
      </c>
      <c r="AW27" s="27">
        <f t="shared" si="22"/>
        <v>2568</v>
      </c>
      <c r="AX27" s="7">
        <v>10</v>
      </c>
      <c r="AY27" s="27">
        <f t="shared" si="23"/>
        <v>12840</v>
      </c>
      <c r="AZ27" s="40"/>
    </row>
    <row r="28" spans="1:52" x14ac:dyDescent="0.2">
      <c r="A28" s="5" t="s">
        <v>103</v>
      </c>
      <c r="B28" s="26">
        <v>52000</v>
      </c>
      <c r="C28" s="26">
        <v>1733</v>
      </c>
      <c r="D28" s="26">
        <v>3400</v>
      </c>
      <c r="E28" s="15">
        <f t="shared" si="0"/>
        <v>1667</v>
      </c>
      <c r="F28" s="26">
        <v>0</v>
      </c>
      <c r="G28" s="27">
        <f t="shared" si="1"/>
        <v>0</v>
      </c>
      <c r="H28" s="26">
        <v>18</v>
      </c>
      <c r="I28" s="27">
        <f t="shared" si="2"/>
        <v>30006</v>
      </c>
      <c r="J28" s="20">
        <v>7</v>
      </c>
      <c r="K28" s="27">
        <f t="shared" si="3"/>
        <v>11669</v>
      </c>
      <c r="L28" s="20">
        <v>25</v>
      </c>
      <c r="M28" s="27">
        <f t="shared" si="4"/>
        <v>41675</v>
      </c>
      <c r="N28" s="20">
        <v>0</v>
      </c>
      <c r="O28" s="27">
        <f t="shared" si="5"/>
        <v>0</v>
      </c>
      <c r="P28" s="20">
        <v>0</v>
      </c>
      <c r="Q28" s="27">
        <f t="shared" si="6"/>
        <v>0</v>
      </c>
      <c r="R28" s="19">
        <v>4</v>
      </c>
      <c r="S28" s="27">
        <f t="shared" si="7"/>
        <v>6668</v>
      </c>
      <c r="T28" s="19">
        <v>21</v>
      </c>
      <c r="U28" s="27">
        <f t="shared" si="8"/>
        <v>35007</v>
      </c>
      <c r="V28" s="19">
        <v>15</v>
      </c>
      <c r="W28" s="27">
        <f t="shared" si="9"/>
        <v>25005</v>
      </c>
      <c r="X28" s="19">
        <v>12</v>
      </c>
      <c r="Y28" s="27">
        <f t="shared" si="10"/>
        <v>20004</v>
      </c>
      <c r="Z28" s="20">
        <v>43</v>
      </c>
      <c r="AA28" s="27">
        <f t="shared" si="11"/>
        <v>71681</v>
      </c>
      <c r="AB28" s="20">
        <v>0</v>
      </c>
      <c r="AC28" s="27">
        <f t="shared" si="12"/>
        <v>0</v>
      </c>
      <c r="AD28" s="20">
        <v>3</v>
      </c>
      <c r="AE28" s="27">
        <f t="shared" si="13"/>
        <v>5001</v>
      </c>
      <c r="AF28" s="7">
        <v>0</v>
      </c>
      <c r="AG28" s="27">
        <f t="shared" si="14"/>
        <v>0</v>
      </c>
      <c r="AH28" s="7">
        <v>1</v>
      </c>
      <c r="AI28" s="27">
        <f t="shared" si="15"/>
        <v>1667</v>
      </c>
      <c r="AJ28" s="7">
        <v>1</v>
      </c>
      <c r="AK28" s="27">
        <f t="shared" si="16"/>
        <v>1667</v>
      </c>
      <c r="AL28" s="7">
        <v>0</v>
      </c>
      <c r="AM28" s="27">
        <f t="shared" si="17"/>
        <v>0</v>
      </c>
      <c r="AN28" s="7">
        <v>22</v>
      </c>
      <c r="AO28" s="27">
        <f t="shared" si="18"/>
        <v>36674</v>
      </c>
      <c r="AP28" s="7">
        <v>0</v>
      </c>
      <c r="AQ28" s="27">
        <f t="shared" si="19"/>
        <v>0</v>
      </c>
      <c r="AR28" s="7">
        <v>4</v>
      </c>
      <c r="AS28" s="27">
        <f t="shared" si="20"/>
        <v>6668</v>
      </c>
      <c r="AT28" s="7">
        <v>6</v>
      </c>
      <c r="AU28" s="27">
        <f t="shared" si="21"/>
        <v>10002</v>
      </c>
      <c r="AV28" s="7">
        <v>4</v>
      </c>
      <c r="AW28" s="27">
        <f t="shared" si="22"/>
        <v>6668</v>
      </c>
      <c r="AX28" s="7">
        <v>0</v>
      </c>
      <c r="AY28" s="27">
        <f t="shared" si="23"/>
        <v>0</v>
      </c>
      <c r="AZ28" s="40"/>
    </row>
    <row r="29" spans="1:52" x14ac:dyDescent="0.2">
      <c r="A29" s="5" t="s">
        <v>104</v>
      </c>
      <c r="B29" s="26">
        <v>78000</v>
      </c>
      <c r="C29" s="26">
        <v>2100</v>
      </c>
      <c r="D29" s="26">
        <v>4000</v>
      </c>
      <c r="E29" s="15">
        <f t="shared" si="0"/>
        <v>1900</v>
      </c>
      <c r="F29" s="26">
        <v>5</v>
      </c>
      <c r="G29" s="27">
        <f t="shared" si="1"/>
        <v>9500</v>
      </c>
      <c r="H29" s="26">
        <v>1</v>
      </c>
      <c r="I29" s="27">
        <f t="shared" si="2"/>
        <v>1900</v>
      </c>
      <c r="J29" s="20">
        <v>12</v>
      </c>
      <c r="K29" s="27">
        <f t="shared" si="3"/>
        <v>22800</v>
      </c>
      <c r="L29" s="20">
        <v>0</v>
      </c>
      <c r="M29" s="27">
        <f t="shared" si="4"/>
        <v>0</v>
      </c>
      <c r="N29" s="20">
        <v>0</v>
      </c>
      <c r="O29" s="27">
        <f t="shared" si="5"/>
        <v>0</v>
      </c>
      <c r="P29" s="20">
        <v>0</v>
      </c>
      <c r="Q29" s="27">
        <f t="shared" si="6"/>
        <v>0</v>
      </c>
      <c r="R29" s="19">
        <v>0</v>
      </c>
      <c r="S29" s="27">
        <f t="shared" si="7"/>
        <v>0</v>
      </c>
      <c r="T29" s="19">
        <v>0</v>
      </c>
      <c r="U29" s="27">
        <f t="shared" si="8"/>
        <v>0</v>
      </c>
      <c r="V29" s="19">
        <v>12</v>
      </c>
      <c r="W29" s="27">
        <f t="shared" si="9"/>
        <v>22800</v>
      </c>
      <c r="X29" s="19">
        <v>0</v>
      </c>
      <c r="Y29" s="27">
        <f t="shared" si="10"/>
        <v>0</v>
      </c>
      <c r="Z29" s="20">
        <v>18</v>
      </c>
      <c r="AA29" s="27">
        <f t="shared" si="11"/>
        <v>34200</v>
      </c>
      <c r="AB29" s="20">
        <v>0</v>
      </c>
      <c r="AC29" s="27">
        <f t="shared" si="12"/>
        <v>0</v>
      </c>
      <c r="AD29" s="20">
        <v>11</v>
      </c>
      <c r="AE29" s="27">
        <f t="shared" si="13"/>
        <v>20900</v>
      </c>
      <c r="AF29" s="7">
        <v>0</v>
      </c>
      <c r="AG29" s="27">
        <f t="shared" si="14"/>
        <v>0</v>
      </c>
      <c r="AH29" s="7">
        <v>3</v>
      </c>
      <c r="AI29" s="27">
        <f t="shared" si="15"/>
        <v>5700</v>
      </c>
      <c r="AJ29" s="7">
        <v>0</v>
      </c>
      <c r="AK29" s="27">
        <f t="shared" si="16"/>
        <v>0</v>
      </c>
      <c r="AL29" s="7">
        <v>25</v>
      </c>
      <c r="AM29" s="27">
        <f t="shared" si="17"/>
        <v>47500</v>
      </c>
      <c r="AN29" s="7">
        <v>8</v>
      </c>
      <c r="AO29" s="27">
        <f t="shared" si="18"/>
        <v>15200</v>
      </c>
      <c r="AP29" s="7">
        <v>5</v>
      </c>
      <c r="AQ29" s="27">
        <f t="shared" si="19"/>
        <v>9500</v>
      </c>
      <c r="AR29" s="7">
        <v>1</v>
      </c>
      <c r="AS29" s="27">
        <f t="shared" si="20"/>
        <v>1900</v>
      </c>
      <c r="AT29" s="7">
        <v>6</v>
      </c>
      <c r="AU29" s="27">
        <f t="shared" si="21"/>
        <v>11400</v>
      </c>
      <c r="AV29" s="7">
        <v>0</v>
      </c>
      <c r="AW29" s="27">
        <f t="shared" si="22"/>
        <v>0</v>
      </c>
      <c r="AX29" s="7">
        <v>0</v>
      </c>
      <c r="AY29" s="27">
        <f t="shared" si="23"/>
        <v>0</v>
      </c>
      <c r="AZ29" s="40"/>
    </row>
    <row r="30" spans="1:52" x14ac:dyDescent="0.2">
      <c r="A30" s="5" t="s">
        <v>105</v>
      </c>
      <c r="B30" s="26">
        <v>19850</v>
      </c>
      <c r="C30" s="26">
        <v>19850</v>
      </c>
      <c r="D30" s="26">
        <v>40000</v>
      </c>
      <c r="E30" s="15">
        <f t="shared" si="0"/>
        <v>20150</v>
      </c>
      <c r="F30" s="26">
        <v>0</v>
      </c>
      <c r="G30" s="27">
        <f t="shared" si="1"/>
        <v>0</v>
      </c>
      <c r="H30" s="26">
        <v>1</v>
      </c>
      <c r="I30" s="27">
        <f t="shared" si="2"/>
        <v>20150</v>
      </c>
      <c r="J30" s="20">
        <v>0</v>
      </c>
      <c r="K30" s="27">
        <f t="shared" si="3"/>
        <v>0</v>
      </c>
      <c r="L30" s="20">
        <v>12</v>
      </c>
      <c r="M30" s="27">
        <f t="shared" si="4"/>
        <v>241800</v>
      </c>
      <c r="N30" s="20">
        <v>11</v>
      </c>
      <c r="O30" s="27">
        <f t="shared" si="5"/>
        <v>221650</v>
      </c>
      <c r="P30" s="20">
        <v>0</v>
      </c>
      <c r="Q30" s="27">
        <f t="shared" si="6"/>
        <v>0</v>
      </c>
      <c r="R30" s="19">
        <v>0</v>
      </c>
      <c r="S30" s="27">
        <f t="shared" si="7"/>
        <v>0</v>
      </c>
      <c r="T30" s="19">
        <v>0</v>
      </c>
      <c r="U30" s="27">
        <f t="shared" si="8"/>
        <v>0</v>
      </c>
      <c r="V30" s="19">
        <v>0</v>
      </c>
      <c r="W30" s="27">
        <f t="shared" si="9"/>
        <v>0</v>
      </c>
      <c r="X30" s="19">
        <v>0</v>
      </c>
      <c r="Y30" s="27">
        <f t="shared" si="10"/>
        <v>0</v>
      </c>
      <c r="Z30" s="20">
        <v>1</v>
      </c>
      <c r="AA30" s="27">
        <f t="shared" si="11"/>
        <v>20150</v>
      </c>
      <c r="AB30" s="20">
        <v>2</v>
      </c>
      <c r="AC30" s="27">
        <f t="shared" si="12"/>
        <v>40300</v>
      </c>
      <c r="AD30" s="20">
        <v>6</v>
      </c>
      <c r="AE30" s="27">
        <f t="shared" si="13"/>
        <v>120900</v>
      </c>
      <c r="AF30" s="7">
        <v>0</v>
      </c>
      <c r="AG30" s="27">
        <f t="shared" si="14"/>
        <v>0</v>
      </c>
      <c r="AH30" s="7">
        <v>0</v>
      </c>
      <c r="AI30" s="27">
        <f t="shared" si="15"/>
        <v>0</v>
      </c>
      <c r="AJ30" s="7">
        <v>0</v>
      </c>
      <c r="AK30" s="27">
        <f t="shared" si="16"/>
        <v>0</v>
      </c>
      <c r="AL30" s="7">
        <v>1</v>
      </c>
      <c r="AM30" s="27">
        <f t="shared" si="17"/>
        <v>20150</v>
      </c>
      <c r="AN30" s="7">
        <v>1</v>
      </c>
      <c r="AO30" s="27">
        <f t="shared" si="18"/>
        <v>20150</v>
      </c>
      <c r="AP30" s="7">
        <v>0</v>
      </c>
      <c r="AQ30" s="27">
        <f t="shared" si="19"/>
        <v>0</v>
      </c>
      <c r="AR30" s="7">
        <v>0</v>
      </c>
      <c r="AS30" s="27">
        <f t="shared" si="20"/>
        <v>0</v>
      </c>
      <c r="AT30" s="7">
        <v>0</v>
      </c>
      <c r="AU30" s="27">
        <f t="shared" si="21"/>
        <v>0</v>
      </c>
      <c r="AV30" s="7">
        <v>0</v>
      </c>
      <c r="AW30" s="27">
        <f t="shared" si="22"/>
        <v>0</v>
      </c>
      <c r="AX30" s="7">
        <v>1</v>
      </c>
      <c r="AY30" s="27">
        <f t="shared" si="23"/>
        <v>20150</v>
      </c>
      <c r="AZ30" s="40"/>
    </row>
    <row r="31" spans="1:52" x14ac:dyDescent="0.2">
      <c r="A31" s="5" t="s">
        <v>106</v>
      </c>
      <c r="B31" s="26">
        <v>38400</v>
      </c>
      <c r="C31" s="26">
        <v>38400</v>
      </c>
      <c r="D31" s="26">
        <v>80000</v>
      </c>
      <c r="E31" s="15">
        <f t="shared" si="0"/>
        <v>41600</v>
      </c>
      <c r="F31" s="26">
        <v>0</v>
      </c>
      <c r="G31" s="27">
        <f t="shared" si="1"/>
        <v>0</v>
      </c>
      <c r="H31" s="26">
        <v>0</v>
      </c>
      <c r="I31" s="27">
        <f t="shared" si="2"/>
        <v>0</v>
      </c>
      <c r="J31" s="20">
        <v>0</v>
      </c>
      <c r="K31" s="27">
        <f t="shared" si="3"/>
        <v>0</v>
      </c>
      <c r="L31" s="20">
        <v>1</v>
      </c>
      <c r="M31" s="27">
        <f t="shared" si="4"/>
        <v>41600</v>
      </c>
      <c r="N31" s="20">
        <v>9</v>
      </c>
      <c r="O31" s="27">
        <f t="shared" si="5"/>
        <v>374400</v>
      </c>
      <c r="P31" s="20">
        <v>0</v>
      </c>
      <c r="Q31" s="27">
        <f t="shared" si="6"/>
        <v>0</v>
      </c>
      <c r="R31" s="19">
        <v>0</v>
      </c>
      <c r="S31" s="27">
        <f t="shared" si="7"/>
        <v>0</v>
      </c>
      <c r="T31" s="19">
        <v>0</v>
      </c>
      <c r="U31" s="27">
        <f t="shared" si="8"/>
        <v>0</v>
      </c>
      <c r="V31" s="19">
        <v>0</v>
      </c>
      <c r="W31" s="27">
        <f t="shared" si="9"/>
        <v>0</v>
      </c>
      <c r="X31" s="19">
        <v>0</v>
      </c>
      <c r="Y31" s="27">
        <f t="shared" si="10"/>
        <v>0</v>
      </c>
      <c r="Z31" s="20">
        <v>0</v>
      </c>
      <c r="AA31" s="27">
        <f t="shared" si="11"/>
        <v>0</v>
      </c>
      <c r="AB31" s="20">
        <v>0</v>
      </c>
      <c r="AC31" s="27">
        <f t="shared" si="12"/>
        <v>0</v>
      </c>
      <c r="AD31" s="20">
        <v>1</v>
      </c>
      <c r="AE31" s="27">
        <f t="shared" si="13"/>
        <v>41600</v>
      </c>
      <c r="AF31" s="7">
        <v>0</v>
      </c>
      <c r="AG31" s="27">
        <f t="shared" si="14"/>
        <v>0</v>
      </c>
      <c r="AH31" s="7">
        <v>0</v>
      </c>
      <c r="AI31" s="27">
        <f t="shared" si="15"/>
        <v>0</v>
      </c>
      <c r="AJ31" s="7">
        <v>0</v>
      </c>
      <c r="AK31" s="27">
        <f t="shared" si="16"/>
        <v>0</v>
      </c>
      <c r="AL31" s="7">
        <v>0</v>
      </c>
      <c r="AM31" s="27">
        <f t="shared" si="17"/>
        <v>0</v>
      </c>
      <c r="AN31" s="7">
        <v>0</v>
      </c>
      <c r="AO31" s="27">
        <f t="shared" si="18"/>
        <v>0</v>
      </c>
      <c r="AP31" s="7">
        <v>0</v>
      </c>
      <c r="AQ31" s="27">
        <f t="shared" si="19"/>
        <v>0</v>
      </c>
      <c r="AR31" s="7">
        <v>0</v>
      </c>
      <c r="AS31" s="27">
        <f t="shared" si="20"/>
        <v>0</v>
      </c>
      <c r="AT31" s="7">
        <v>0</v>
      </c>
      <c r="AU31" s="27">
        <f t="shared" si="21"/>
        <v>0</v>
      </c>
      <c r="AV31" s="7">
        <v>0</v>
      </c>
      <c r="AW31" s="27">
        <f t="shared" si="22"/>
        <v>0</v>
      </c>
      <c r="AX31" s="7">
        <v>0</v>
      </c>
      <c r="AY31" s="27">
        <f t="shared" si="23"/>
        <v>0</v>
      </c>
      <c r="AZ31" s="40"/>
    </row>
    <row r="32" spans="1:52" x14ac:dyDescent="0.2">
      <c r="A32" s="5" t="s">
        <v>107</v>
      </c>
      <c r="B32" s="26">
        <v>23500</v>
      </c>
      <c r="C32" s="26">
        <v>23500</v>
      </c>
      <c r="D32" s="26">
        <v>40000</v>
      </c>
      <c r="E32" s="15">
        <f t="shared" si="0"/>
        <v>16500</v>
      </c>
      <c r="F32" s="26">
        <v>0</v>
      </c>
      <c r="G32" s="27">
        <f t="shared" si="1"/>
        <v>0</v>
      </c>
      <c r="H32" s="26">
        <v>0</v>
      </c>
      <c r="I32" s="27">
        <f t="shared" si="2"/>
        <v>0</v>
      </c>
      <c r="J32" s="20">
        <v>0</v>
      </c>
      <c r="K32" s="27">
        <f t="shared" si="3"/>
        <v>0</v>
      </c>
      <c r="L32" s="20">
        <v>0</v>
      </c>
      <c r="M32" s="27">
        <f t="shared" si="4"/>
        <v>0</v>
      </c>
      <c r="N32" s="20">
        <v>0</v>
      </c>
      <c r="O32" s="27">
        <f t="shared" si="5"/>
        <v>0</v>
      </c>
      <c r="P32" s="20">
        <v>0</v>
      </c>
      <c r="Q32" s="27">
        <f t="shared" si="6"/>
        <v>0</v>
      </c>
      <c r="R32" s="19">
        <v>0</v>
      </c>
      <c r="S32" s="27">
        <f t="shared" si="7"/>
        <v>0</v>
      </c>
      <c r="T32" s="19">
        <v>0</v>
      </c>
      <c r="U32" s="27">
        <f t="shared" si="8"/>
        <v>0</v>
      </c>
      <c r="V32" s="19">
        <v>0</v>
      </c>
      <c r="W32" s="27">
        <f t="shared" si="9"/>
        <v>0</v>
      </c>
      <c r="X32" s="19">
        <v>0</v>
      </c>
      <c r="Y32" s="27">
        <f t="shared" si="10"/>
        <v>0</v>
      </c>
      <c r="Z32" s="20">
        <v>0</v>
      </c>
      <c r="AA32" s="27">
        <f t="shared" si="11"/>
        <v>0</v>
      </c>
      <c r="AB32" s="20">
        <v>0</v>
      </c>
      <c r="AC32" s="27">
        <f t="shared" si="12"/>
        <v>0</v>
      </c>
      <c r="AD32" s="20">
        <v>0</v>
      </c>
      <c r="AE32" s="27">
        <f t="shared" si="13"/>
        <v>0</v>
      </c>
      <c r="AF32" s="7">
        <v>0</v>
      </c>
      <c r="AG32" s="27">
        <f t="shared" si="14"/>
        <v>0</v>
      </c>
      <c r="AH32" s="7">
        <v>0</v>
      </c>
      <c r="AI32" s="27">
        <f t="shared" si="15"/>
        <v>0</v>
      </c>
      <c r="AJ32" s="7">
        <v>0</v>
      </c>
      <c r="AK32" s="27">
        <f t="shared" si="16"/>
        <v>0</v>
      </c>
      <c r="AL32" s="7">
        <v>0</v>
      </c>
      <c r="AM32" s="27">
        <f t="shared" si="17"/>
        <v>0</v>
      </c>
      <c r="AN32" s="7">
        <v>0</v>
      </c>
      <c r="AO32" s="27">
        <f t="shared" si="18"/>
        <v>0</v>
      </c>
      <c r="AP32" s="7">
        <v>0</v>
      </c>
      <c r="AQ32" s="27">
        <f t="shared" si="19"/>
        <v>0</v>
      </c>
      <c r="AR32" s="7">
        <v>0</v>
      </c>
      <c r="AS32" s="27">
        <f t="shared" si="20"/>
        <v>0</v>
      </c>
      <c r="AT32" s="7">
        <v>0</v>
      </c>
      <c r="AU32" s="27">
        <f t="shared" si="21"/>
        <v>0</v>
      </c>
      <c r="AV32" s="7">
        <v>0</v>
      </c>
      <c r="AW32" s="27">
        <f t="shared" si="22"/>
        <v>0</v>
      </c>
      <c r="AX32" s="7">
        <v>0</v>
      </c>
      <c r="AY32" s="27">
        <f t="shared" si="23"/>
        <v>0</v>
      </c>
      <c r="AZ32" s="40"/>
    </row>
    <row r="33" spans="1:52" x14ac:dyDescent="0.2">
      <c r="A33" s="5" t="s">
        <v>108</v>
      </c>
      <c r="B33" s="26">
        <v>43150</v>
      </c>
      <c r="C33" s="26">
        <v>43150</v>
      </c>
      <c r="D33" s="26">
        <v>85000</v>
      </c>
      <c r="E33" s="15">
        <f t="shared" si="0"/>
        <v>41850</v>
      </c>
      <c r="F33" s="26">
        <v>0</v>
      </c>
      <c r="G33" s="27">
        <f t="shared" si="1"/>
        <v>0</v>
      </c>
      <c r="H33" s="26">
        <v>0</v>
      </c>
      <c r="I33" s="27">
        <f t="shared" si="2"/>
        <v>0</v>
      </c>
      <c r="J33" s="20">
        <v>0</v>
      </c>
      <c r="K33" s="27">
        <f t="shared" si="3"/>
        <v>0</v>
      </c>
      <c r="L33" s="20">
        <v>0</v>
      </c>
      <c r="M33" s="27">
        <f t="shared" si="4"/>
        <v>0</v>
      </c>
      <c r="N33" s="20">
        <v>0</v>
      </c>
      <c r="O33" s="27">
        <f t="shared" si="5"/>
        <v>0</v>
      </c>
      <c r="P33" s="20">
        <v>0</v>
      </c>
      <c r="Q33" s="27">
        <f t="shared" si="6"/>
        <v>0</v>
      </c>
      <c r="R33" s="19">
        <v>0</v>
      </c>
      <c r="S33" s="27">
        <f t="shared" si="7"/>
        <v>0</v>
      </c>
      <c r="T33" s="19">
        <v>0</v>
      </c>
      <c r="U33" s="27">
        <f t="shared" si="8"/>
        <v>0</v>
      </c>
      <c r="V33" s="19">
        <v>0</v>
      </c>
      <c r="W33" s="27">
        <f t="shared" si="9"/>
        <v>0</v>
      </c>
      <c r="X33" s="19">
        <v>0</v>
      </c>
      <c r="Y33" s="27">
        <f t="shared" si="10"/>
        <v>0</v>
      </c>
      <c r="Z33" s="20">
        <v>0</v>
      </c>
      <c r="AA33" s="27">
        <f t="shared" si="11"/>
        <v>0</v>
      </c>
      <c r="AB33" s="20">
        <v>0</v>
      </c>
      <c r="AC33" s="27">
        <f t="shared" si="12"/>
        <v>0</v>
      </c>
      <c r="AD33" s="20">
        <v>0</v>
      </c>
      <c r="AE33" s="27">
        <f t="shared" si="13"/>
        <v>0</v>
      </c>
      <c r="AF33" s="7">
        <v>0</v>
      </c>
      <c r="AG33" s="27">
        <f t="shared" si="14"/>
        <v>0</v>
      </c>
      <c r="AH33" s="7">
        <v>0</v>
      </c>
      <c r="AI33" s="27">
        <f t="shared" si="15"/>
        <v>0</v>
      </c>
      <c r="AJ33" s="7">
        <v>0</v>
      </c>
      <c r="AK33" s="27">
        <f t="shared" si="16"/>
        <v>0</v>
      </c>
      <c r="AL33" s="7">
        <v>0</v>
      </c>
      <c r="AM33" s="27">
        <f t="shared" si="17"/>
        <v>0</v>
      </c>
      <c r="AN33" s="7">
        <v>0</v>
      </c>
      <c r="AO33" s="27">
        <f t="shared" si="18"/>
        <v>0</v>
      </c>
      <c r="AP33" s="7">
        <v>0</v>
      </c>
      <c r="AQ33" s="27">
        <f t="shared" si="19"/>
        <v>0</v>
      </c>
      <c r="AR33" s="7">
        <v>0</v>
      </c>
      <c r="AS33" s="27">
        <f t="shared" si="20"/>
        <v>0</v>
      </c>
      <c r="AT33" s="7">
        <v>0</v>
      </c>
      <c r="AU33" s="27">
        <f t="shared" si="21"/>
        <v>0</v>
      </c>
      <c r="AV33" s="7">
        <v>0</v>
      </c>
      <c r="AW33" s="27">
        <f t="shared" si="22"/>
        <v>0</v>
      </c>
      <c r="AX33" s="7">
        <v>0</v>
      </c>
      <c r="AY33" s="27">
        <f t="shared" si="23"/>
        <v>0</v>
      </c>
      <c r="AZ33" s="40"/>
    </row>
    <row r="34" spans="1:52" x14ac:dyDescent="0.2">
      <c r="A34" s="13" t="s">
        <v>109</v>
      </c>
      <c r="B34" s="15"/>
      <c r="C34" s="15"/>
      <c r="D34" s="26">
        <v>50000</v>
      </c>
      <c r="E34" s="15">
        <f t="shared" si="0"/>
        <v>50000</v>
      </c>
      <c r="F34" s="26">
        <v>0</v>
      </c>
      <c r="G34" s="27">
        <f t="shared" si="1"/>
        <v>0</v>
      </c>
      <c r="H34" s="26">
        <v>0</v>
      </c>
      <c r="I34" s="27">
        <f t="shared" si="2"/>
        <v>0</v>
      </c>
      <c r="J34" s="20">
        <v>0</v>
      </c>
      <c r="K34" s="27">
        <f t="shared" si="3"/>
        <v>0</v>
      </c>
      <c r="L34" s="20">
        <v>0</v>
      </c>
      <c r="M34" s="27">
        <f t="shared" si="4"/>
        <v>0</v>
      </c>
      <c r="N34" s="20">
        <v>0</v>
      </c>
      <c r="O34" s="27">
        <f t="shared" si="5"/>
        <v>0</v>
      </c>
      <c r="P34" s="20">
        <v>0</v>
      </c>
      <c r="Q34" s="27">
        <f t="shared" si="6"/>
        <v>0</v>
      </c>
      <c r="R34" s="19">
        <v>0</v>
      </c>
      <c r="S34" s="27">
        <f t="shared" si="7"/>
        <v>0</v>
      </c>
      <c r="T34" s="19">
        <v>0</v>
      </c>
      <c r="U34" s="27">
        <f t="shared" si="8"/>
        <v>0</v>
      </c>
      <c r="V34" s="19">
        <v>0</v>
      </c>
      <c r="W34" s="27">
        <f t="shared" si="9"/>
        <v>0</v>
      </c>
      <c r="X34" s="19">
        <v>0</v>
      </c>
      <c r="Y34" s="27">
        <f t="shared" si="10"/>
        <v>0</v>
      </c>
      <c r="Z34" s="20">
        <v>0</v>
      </c>
      <c r="AA34" s="27">
        <f t="shared" si="11"/>
        <v>0</v>
      </c>
      <c r="AB34" s="20">
        <v>0</v>
      </c>
      <c r="AC34" s="27">
        <f t="shared" si="12"/>
        <v>0</v>
      </c>
      <c r="AD34" s="20">
        <v>0</v>
      </c>
      <c r="AE34" s="27">
        <f t="shared" si="13"/>
        <v>0</v>
      </c>
      <c r="AF34" s="7">
        <v>0</v>
      </c>
      <c r="AG34" s="27">
        <f t="shared" si="14"/>
        <v>0</v>
      </c>
      <c r="AH34" s="7">
        <v>0</v>
      </c>
      <c r="AI34" s="27">
        <f t="shared" si="15"/>
        <v>0</v>
      </c>
      <c r="AJ34" s="7">
        <v>0</v>
      </c>
      <c r="AK34" s="27">
        <f t="shared" si="16"/>
        <v>0</v>
      </c>
      <c r="AL34" s="7">
        <v>0</v>
      </c>
      <c r="AM34" s="27">
        <f t="shared" si="17"/>
        <v>0</v>
      </c>
      <c r="AN34" s="7">
        <v>0</v>
      </c>
      <c r="AO34" s="27">
        <f t="shared" si="18"/>
        <v>0</v>
      </c>
      <c r="AP34" s="7">
        <v>0</v>
      </c>
      <c r="AQ34" s="27">
        <f t="shared" si="19"/>
        <v>0</v>
      </c>
      <c r="AR34" s="7">
        <v>0</v>
      </c>
      <c r="AS34" s="27">
        <f t="shared" si="20"/>
        <v>0</v>
      </c>
      <c r="AT34" s="7">
        <v>0</v>
      </c>
      <c r="AU34" s="27">
        <f t="shared" si="21"/>
        <v>0</v>
      </c>
      <c r="AV34" s="7">
        <v>0</v>
      </c>
      <c r="AW34" s="27">
        <f t="shared" si="22"/>
        <v>0</v>
      </c>
      <c r="AX34" s="7">
        <v>0</v>
      </c>
      <c r="AY34" s="27">
        <f t="shared" si="23"/>
        <v>0</v>
      </c>
      <c r="AZ34" s="40"/>
    </row>
    <row r="35" spans="1:52" x14ac:dyDescent="0.2">
      <c r="A35" s="13" t="s">
        <v>110</v>
      </c>
      <c r="B35" s="15"/>
      <c r="C35" s="15"/>
      <c r="D35" s="26">
        <v>45000</v>
      </c>
      <c r="E35" s="15">
        <f t="shared" si="0"/>
        <v>45000</v>
      </c>
      <c r="F35" s="26">
        <v>0</v>
      </c>
      <c r="G35" s="27">
        <f t="shared" si="1"/>
        <v>0</v>
      </c>
      <c r="H35" s="26">
        <v>0</v>
      </c>
      <c r="I35" s="27">
        <f t="shared" si="2"/>
        <v>0</v>
      </c>
      <c r="J35" s="20">
        <v>0</v>
      </c>
      <c r="K35" s="27">
        <f t="shared" si="3"/>
        <v>0</v>
      </c>
      <c r="L35" s="20">
        <v>0</v>
      </c>
      <c r="M35" s="27">
        <f t="shared" si="4"/>
        <v>0</v>
      </c>
      <c r="N35" s="20">
        <v>0</v>
      </c>
      <c r="O35" s="27">
        <f t="shared" si="5"/>
        <v>0</v>
      </c>
      <c r="P35" s="20">
        <v>0</v>
      </c>
      <c r="Q35" s="27">
        <f t="shared" si="6"/>
        <v>0</v>
      </c>
      <c r="R35" s="19">
        <v>0</v>
      </c>
      <c r="S35" s="27">
        <f t="shared" si="7"/>
        <v>0</v>
      </c>
      <c r="T35" s="19">
        <v>0</v>
      </c>
      <c r="U35" s="27">
        <f t="shared" si="8"/>
        <v>0</v>
      </c>
      <c r="V35" s="19">
        <v>0</v>
      </c>
      <c r="W35" s="27">
        <f t="shared" si="9"/>
        <v>0</v>
      </c>
      <c r="X35" s="19">
        <v>0</v>
      </c>
      <c r="Y35" s="27">
        <f t="shared" si="10"/>
        <v>0</v>
      </c>
      <c r="Z35" s="20">
        <v>0</v>
      </c>
      <c r="AA35" s="27">
        <f t="shared" si="11"/>
        <v>0</v>
      </c>
      <c r="AB35" s="20">
        <v>0</v>
      </c>
      <c r="AC35" s="27">
        <f t="shared" si="12"/>
        <v>0</v>
      </c>
      <c r="AD35" s="20">
        <v>0</v>
      </c>
      <c r="AE35" s="27">
        <f t="shared" si="13"/>
        <v>0</v>
      </c>
      <c r="AF35" s="7">
        <v>0</v>
      </c>
      <c r="AG35" s="27">
        <f t="shared" si="14"/>
        <v>0</v>
      </c>
      <c r="AH35" s="7">
        <v>0</v>
      </c>
      <c r="AI35" s="27">
        <f t="shared" si="15"/>
        <v>0</v>
      </c>
      <c r="AJ35" s="7">
        <v>0</v>
      </c>
      <c r="AK35" s="27">
        <f t="shared" si="16"/>
        <v>0</v>
      </c>
      <c r="AL35" s="7">
        <v>0</v>
      </c>
      <c r="AM35" s="27">
        <f t="shared" si="17"/>
        <v>0</v>
      </c>
      <c r="AN35" s="7">
        <v>0</v>
      </c>
      <c r="AO35" s="27">
        <f t="shared" si="18"/>
        <v>0</v>
      </c>
      <c r="AP35" s="7">
        <v>0</v>
      </c>
      <c r="AQ35" s="27">
        <f t="shared" si="19"/>
        <v>0</v>
      </c>
      <c r="AR35" s="7">
        <v>0</v>
      </c>
      <c r="AS35" s="27">
        <f t="shared" si="20"/>
        <v>0</v>
      </c>
      <c r="AT35" s="7">
        <v>0</v>
      </c>
      <c r="AU35" s="27">
        <f t="shared" si="21"/>
        <v>0</v>
      </c>
      <c r="AV35" s="7">
        <v>0</v>
      </c>
      <c r="AW35" s="27">
        <f t="shared" si="22"/>
        <v>0</v>
      </c>
      <c r="AX35" s="7">
        <v>0</v>
      </c>
      <c r="AY35" s="27">
        <f t="shared" si="23"/>
        <v>0</v>
      </c>
      <c r="AZ35" s="40"/>
    </row>
    <row r="36" spans="1:52" x14ac:dyDescent="0.2">
      <c r="A36" s="13" t="s">
        <v>111</v>
      </c>
      <c r="B36" s="15"/>
      <c r="C36" s="15"/>
      <c r="D36" s="26">
        <v>85000</v>
      </c>
      <c r="E36" s="15">
        <f t="shared" si="0"/>
        <v>85000</v>
      </c>
      <c r="F36" s="26">
        <v>0</v>
      </c>
      <c r="G36" s="27">
        <f t="shared" si="1"/>
        <v>0</v>
      </c>
      <c r="H36" s="26">
        <v>0</v>
      </c>
      <c r="I36" s="27">
        <f t="shared" si="2"/>
        <v>0</v>
      </c>
      <c r="J36" s="20">
        <v>0</v>
      </c>
      <c r="K36" s="27">
        <f t="shared" si="3"/>
        <v>0</v>
      </c>
      <c r="L36" s="20">
        <v>0</v>
      </c>
      <c r="M36" s="27">
        <f t="shared" si="4"/>
        <v>0</v>
      </c>
      <c r="N36" s="20">
        <v>0</v>
      </c>
      <c r="O36" s="27">
        <f t="shared" si="5"/>
        <v>0</v>
      </c>
      <c r="P36" s="20">
        <v>0</v>
      </c>
      <c r="Q36" s="27">
        <f t="shared" si="6"/>
        <v>0</v>
      </c>
      <c r="R36" s="19">
        <v>0</v>
      </c>
      <c r="S36" s="27">
        <f t="shared" si="7"/>
        <v>0</v>
      </c>
      <c r="T36" s="19">
        <v>0</v>
      </c>
      <c r="U36" s="27">
        <f t="shared" si="8"/>
        <v>0</v>
      </c>
      <c r="V36" s="19">
        <v>0</v>
      </c>
      <c r="W36" s="27">
        <f t="shared" si="9"/>
        <v>0</v>
      </c>
      <c r="X36" s="19">
        <v>0</v>
      </c>
      <c r="Y36" s="27">
        <f t="shared" si="10"/>
        <v>0</v>
      </c>
      <c r="Z36" s="20">
        <v>0</v>
      </c>
      <c r="AA36" s="27">
        <f t="shared" si="11"/>
        <v>0</v>
      </c>
      <c r="AB36" s="20">
        <v>0</v>
      </c>
      <c r="AC36" s="27">
        <f t="shared" si="12"/>
        <v>0</v>
      </c>
      <c r="AD36" s="20">
        <v>0</v>
      </c>
      <c r="AE36" s="27">
        <f t="shared" si="13"/>
        <v>0</v>
      </c>
      <c r="AF36" s="7">
        <v>0</v>
      </c>
      <c r="AG36" s="27">
        <f t="shared" si="14"/>
        <v>0</v>
      </c>
      <c r="AH36" s="7">
        <v>0</v>
      </c>
      <c r="AI36" s="27">
        <f t="shared" si="15"/>
        <v>0</v>
      </c>
      <c r="AJ36" s="7">
        <v>0</v>
      </c>
      <c r="AK36" s="27">
        <f t="shared" si="16"/>
        <v>0</v>
      </c>
      <c r="AL36" s="7">
        <v>0</v>
      </c>
      <c r="AM36" s="27">
        <f t="shared" si="17"/>
        <v>0</v>
      </c>
      <c r="AN36" s="7">
        <v>0</v>
      </c>
      <c r="AO36" s="27">
        <f t="shared" si="18"/>
        <v>0</v>
      </c>
      <c r="AP36" s="7">
        <v>0</v>
      </c>
      <c r="AQ36" s="27">
        <f t="shared" si="19"/>
        <v>0</v>
      </c>
      <c r="AR36" s="7">
        <v>0</v>
      </c>
      <c r="AS36" s="27">
        <f t="shared" si="20"/>
        <v>0</v>
      </c>
      <c r="AT36" s="7">
        <v>0</v>
      </c>
      <c r="AU36" s="27">
        <f t="shared" si="21"/>
        <v>0</v>
      </c>
      <c r="AV36" s="7">
        <v>0</v>
      </c>
      <c r="AW36" s="27">
        <f t="shared" si="22"/>
        <v>0</v>
      </c>
      <c r="AX36" s="7">
        <v>0</v>
      </c>
      <c r="AY36" s="27">
        <f t="shared" si="23"/>
        <v>0</v>
      </c>
      <c r="AZ36" s="40"/>
    </row>
    <row r="37" spans="1:52" x14ac:dyDescent="0.2">
      <c r="A37" s="13" t="s">
        <v>112</v>
      </c>
      <c r="B37" s="15"/>
      <c r="C37" s="15"/>
      <c r="D37" s="15"/>
      <c r="E37" s="15">
        <f t="shared" si="0"/>
        <v>0</v>
      </c>
      <c r="F37" s="26">
        <v>0</v>
      </c>
      <c r="G37" s="27">
        <f t="shared" si="1"/>
        <v>0</v>
      </c>
      <c r="H37" s="26">
        <v>0</v>
      </c>
      <c r="I37" s="27">
        <f t="shared" si="2"/>
        <v>0</v>
      </c>
      <c r="J37" s="20">
        <v>0</v>
      </c>
      <c r="K37" s="27">
        <f t="shared" si="3"/>
        <v>0</v>
      </c>
      <c r="L37" s="20">
        <v>0</v>
      </c>
      <c r="M37" s="27">
        <f t="shared" si="4"/>
        <v>0</v>
      </c>
      <c r="N37" s="20">
        <v>0</v>
      </c>
      <c r="O37" s="27">
        <f t="shared" si="5"/>
        <v>0</v>
      </c>
      <c r="P37" s="20">
        <v>0</v>
      </c>
      <c r="Q37" s="27">
        <f t="shared" si="6"/>
        <v>0</v>
      </c>
      <c r="R37" s="19">
        <v>0</v>
      </c>
      <c r="S37" s="27">
        <f t="shared" si="7"/>
        <v>0</v>
      </c>
      <c r="T37" s="19">
        <v>0</v>
      </c>
      <c r="U37" s="27">
        <f t="shared" si="8"/>
        <v>0</v>
      </c>
      <c r="V37" s="19">
        <v>0</v>
      </c>
      <c r="W37" s="27">
        <f t="shared" si="9"/>
        <v>0</v>
      </c>
      <c r="X37" s="19">
        <v>0</v>
      </c>
      <c r="Y37" s="27">
        <f t="shared" si="10"/>
        <v>0</v>
      </c>
      <c r="Z37" s="20">
        <v>0</v>
      </c>
      <c r="AA37" s="27">
        <f t="shared" si="11"/>
        <v>0</v>
      </c>
      <c r="AB37" s="20">
        <v>0</v>
      </c>
      <c r="AC37" s="27">
        <f t="shared" si="12"/>
        <v>0</v>
      </c>
      <c r="AD37" s="20">
        <v>0</v>
      </c>
      <c r="AE37" s="27">
        <f t="shared" si="13"/>
        <v>0</v>
      </c>
      <c r="AF37" s="7">
        <v>0</v>
      </c>
      <c r="AG37" s="27">
        <f t="shared" si="14"/>
        <v>0</v>
      </c>
      <c r="AH37" s="7">
        <v>0</v>
      </c>
      <c r="AI37" s="27">
        <f t="shared" si="15"/>
        <v>0</v>
      </c>
      <c r="AJ37" s="7">
        <v>0</v>
      </c>
      <c r="AK37" s="27">
        <f t="shared" si="16"/>
        <v>0</v>
      </c>
      <c r="AL37" s="7">
        <v>0</v>
      </c>
      <c r="AM37" s="27">
        <f t="shared" si="17"/>
        <v>0</v>
      </c>
      <c r="AN37" s="7">
        <v>0</v>
      </c>
      <c r="AO37" s="27">
        <f t="shared" si="18"/>
        <v>0</v>
      </c>
      <c r="AP37" s="7">
        <v>0</v>
      </c>
      <c r="AQ37" s="27">
        <f t="shared" si="19"/>
        <v>0</v>
      </c>
      <c r="AR37" s="7">
        <v>0</v>
      </c>
      <c r="AS37" s="27">
        <f t="shared" si="20"/>
        <v>0</v>
      </c>
      <c r="AT37" s="7">
        <v>0</v>
      </c>
      <c r="AU37" s="27">
        <f t="shared" si="21"/>
        <v>0</v>
      </c>
      <c r="AV37" s="7">
        <v>0</v>
      </c>
      <c r="AW37" s="27">
        <f t="shared" si="22"/>
        <v>0</v>
      </c>
      <c r="AX37" s="7">
        <v>0</v>
      </c>
      <c r="AY37" s="27">
        <f t="shared" si="23"/>
        <v>0</v>
      </c>
      <c r="AZ37" s="40"/>
    </row>
    <row r="38" spans="1:52" x14ac:dyDescent="0.2">
      <c r="A38" s="13" t="s">
        <v>113</v>
      </c>
      <c r="B38" s="15"/>
      <c r="C38" s="15"/>
      <c r="D38" s="15"/>
      <c r="E38" s="15">
        <f t="shared" si="0"/>
        <v>0</v>
      </c>
      <c r="F38" s="26">
        <v>0</v>
      </c>
      <c r="G38" s="27">
        <f t="shared" si="1"/>
        <v>0</v>
      </c>
      <c r="H38" s="26">
        <v>0</v>
      </c>
      <c r="I38" s="27">
        <f t="shared" si="2"/>
        <v>0</v>
      </c>
      <c r="J38" s="20">
        <v>0</v>
      </c>
      <c r="K38" s="27">
        <f t="shared" si="3"/>
        <v>0</v>
      </c>
      <c r="L38" s="20">
        <v>0</v>
      </c>
      <c r="M38" s="27">
        <f t="shared" si="4"/>
        <v>0</v>
      </c>
      <c r="N38" s="20">
        <v>0</v>
      </c>
      <c r="O38" s="27">
        <f t="shared" si="5"/>
        <v>0</v>
      </c>
      <c r="P38" s="20">
        <v>0</v>
      </c>
      <c r="Q38" s="27">
        <f t="shared" si="6"/>
        <v>0</v>
      </c>
      <c r="R38" s="19">
        <v>0</v>
      </c>
      <c r="S38" s="27">
        <f t="shared" si="7"/>
        <v>0</v>
      </c>
      <c r="T38" s="19">
        <v>0</v>
      </c>
      <c r="U38" s="27">
        <f t="shared" si="8"/>
        <v>0</v>
      </c>
      <c r="V38" s="19">
        <v>0</v>
      </c>
      <c r="W38" s="27">
        <f t="shared" si="9"/>
        <v>0</v>
      </c>
      <c r="X38" s="19">
        <v>0</v>
      </c>
      <c r="Y38" s="27">
        <f t="shared" si="10"/>
        <v>0</v>
      </c>
      <c r="Z38" s="20">
        <v>0</v>
      </c>
      <c r="AA38" s="27">
        <f t="shared" si="11"/>
        <v>0</v>
      </c>
      <c r="AB38" s="20">
        <v>0</v>
      </c>
      <c r="AC38" s="27">
        <f t="shared" si="12"/>
        <v>0</v>
      </c>
      <c r="AD38" s="20">
        <v>0</v>
      </c>
      <c r="AE38" s="27">
        <f t="shared" si="13"/>
        <v>0</v>
      </c>
      <c r="AF38" s="7">
        <v>0</v>
      </c>
      <c r="AG38" s="27">
        <f t="shared" si="14"/>
        <v>0</v>
      </c>
      <c r="AH38" s="7">
        <v>0</v>
      </c>
      <c r="AI38" s="27">
        <f t="shared" si="15"/>
        <v>0</v>
      </c>
      <c r="AJ38" s="7">
        <v>0</v>
      </c>
      <c r="AK38" s="27">
        <f t="shared" si="16"/>
        <v>0</v>
      </c>
      <c r="AL38" s="7">
        <v>0</v>
      </c>
      <c r="AM38" s="27">
        <f t="shared" si="17"/>
        <v>0</v>
      </c>
      <c r="AN38" s="7">
        <v>0</v>
      </c>
      <c r="AO38" s="27">
        <f t="shared" si="18"/>
        <v>0</v>
      </c>
      <c r="AP38" s="7">
        <v>0</v>
      </c>
      <c r="AQ38" s="27">
        <f t="shared" si="19"/>
        <v>0</v>
      </c>
      <c r="AR38" s="7">
        <v>0</v>
      </c>
      <c r="AS38" s="27">
        <f t="shared" si="20"/>
        <v>0</v>
      </c>
      <c r="AT38" s="7">
        <v>0</v>
      </c>
      <c r="AU38" s="27">
        <f t="shared" si="21"/>
        <v>0</v>
      </c>
      <c r="AV38" s="7">
        <v>0</v>
      </c>
      <c r="AW38" s="27">
        <f t="shared" si="22"/>
        <v>0</v>
      </c>
      <c r="AX38" s="7">
        <v>0</v>
      </c>
      <c r="AY38" s="27">
        <f t="shared" si="23"/>
        <v>0</v>
      </c>
      <c r="AZ38" s="40"/>
    </row>
    <row r="39" spans="1:52" x14ac:dyDescent="0.2">
      <c r="A39" s="13" t="s">
        <v>114</v>
      </c>
      <c r="B39" s="15"/>
      <c r="C39" s="15"/>
      <c r="D39" s="15"/>
      <c r="E39" s="15">
        <f t="shared" si="0"/>
        <v>0</v>
      </c>
      <c r="F39" s="26">
        <v>0</v>
      </c>
      <c r="G39" s="27">
        <f t="shared" si="1"/>
        <v>0</v>
      </c>
      <c r="H39" s="26">
        <v>0</v>
      </c>
      <c r="I39" s="27">
        <f t="shared" si="2"/>
        <v>0</v>
      </c>
      <c r="J39" s="20">
        <v>0</v>
      </c>
      <c r="K39" s="27">
        <f t="shared" si="3"/>
        <v>0</v>
      </c>
      <c r="L39" s="20">
        <v>0</v>
      </c>
      <c r="M39" s="27">
        <f t="shared" si="4"/>
        <v>0</v>
      </c>
      <c r="N39" s="20">
        <v>0</v>
      </c>
      <c r="O39" s="27">
        <f t="shared" si="5"/>
        <v>0</v>
      </c>
      <c r="P39" s="20">
        <v>0</v>
      </c>
      <c r="Q39" s="27">
        <f t="shared" si="6"/>
        <v>0</v>
      </c>
      <c r="R39" s="19">
        <v>0</v>
      </c>
      <c r="S39" s="27">
        <f t="shared" si="7"/>
        <v>0</v>
      </c>
      <c r="T39" s="19">
        <v>0</v>
      </c>
      <c r="U39" s="27">
        <f t="shared" si="8"/>
        <v>0</v>
      </c>
      <c r="V39" s="19">
        <v>0</v>
      </c>
      <c r="W39" s="27">
        <f t="shared" si="9"/>
        <v>0</v>
      </c>
      <c r="X39" s="19">
        <v>0</v>
      </c>
      <c r="Y39" s="27">
        <f t="shared" si="10"/>
        <v>0</v>
      </c>
      <c r="Z39" s="20">
        <v>0</v>
      </c>
      <c r="AA39" s="27">
        <f t="shared" si="11"/>
        <v>0</v>
      </c>
      <c r="AB39" s="20">
        <v>0</v>
      </c>
      <c r="AC39" s="27">
        <f t="shared" si="12"/>
        <v>0</v>
      </c>
      <c r="AD39" s="20">
        <v>0</v>
      </c>
      <c r="AE39" s="27">
        <f t="shared" si="13"/>
        <v>0</v>
      </c>
      <c r="AF39" s="7">
        <v>0</v>
      </c>
      <c r="AG39" s="27">
        <f t="shared" si="14"/>
        <v>0</v>
      </c>
      <c r="AH39" s="7">
        <v>0</v>
      </c>
      <c r="AI39" s="27">
        <f t="shared" si="15"/>
        <v>0</v>
      </c>
      <c r="AJ39" s="7">
        <v>0</v>
      </c>
      <c r="AK39" s="27">
        <f t="shared" si="16"/>
        <v>0</v>
      </c>
      <c r="AL39" s="7">
        <v>0</v>
      </c>
      <c r="AM39" s="27">
        <f t="shared" si="17"/>
        <v>0</v>
      </c>
      <c r="AN39" s="7">
        <v>0</v>
      </c>
      <c r="AO39" s="27">
        <f t="shared" si="18"/>
        <v>0</v>
      </c>
      <c r="AP39" s="7">
        <v>0</v>
      </c>
      <c r="AQ39" s="27">
        <f t="shared" si="19"/>
        <v>0</v>
      </c>
      <c r="AR39" s="7">
        <v>0</v>
      </c>
      <c r="AS39" s="27">
        <f t="shared" si="20"/>
        <v>0</v>
      </c>
      <c r="AT39" s="7">
        <v>0</v>
      </c>
      <c r="AU39" s="27">
        <f t="shared" si="21"/>
        <v>0</v>
      </c>
      <c r="AV39" s="7">
        <v>0</v>
      </c>
      <c r="AW39" s="27">
        <f t="shared" si="22"/>
        <v>0</v>
      </c>
      <c r="AX39" s="7">
        <v>0</v>
      </c>
      <c r="AY39" s="27">
        <f t="shared" si="23"/>
        <v>0</v>
      </c>
      <c r="AZ39" s="40"/>
    </row>
    <row r="40" spans="1:52" x14ac:dyDescent="0.2">
      <c r="A40" s="5" t="s">
        <v>115</v>
      </c>
      <c r="B40" s="26">
        <v>5500</v>
      </c>
      <c r="C40" s="26">
        <v>5500</v>
      </c>
      <c r="D40" s="26">
        <v>10000</v>
      </c>
      <c r="E40" s="15">
        <f t="shared" si="0"/>
        <v>4500</v>
      </c>
      <c r="F40" s="26">
        <v>1</v>
      </c>
      <c r="G40" s="27">
        <f t="shared" si="1"/>
        <v>4500</v>
      </c>
      <c r="H40" s="26">
        <v>0</v>
      </c>
      <c r="I40" s="27">
        <f t="shared" si="2"/>
        <v>0</v>
      </c>
      <c r="J40" s="20">
        <v>0</v>
      </c>
      <c r="K40" s="27">
        <f t="shared" si="3"/>
        <v>0</v>
      </c>
      <c r="L40" s="20">
        <v>0</v>
      </c>
      <c r="M40" s="27">
        <f t="shared" si="4"/>
        <v>0</v>
      </c>
      <c r="N40" s="20">
        <v>2</v>
      </c>
      <c r="O40" s="27">
        <f t="shared" si="5"/>
        <v>9000</v>
      </c>
      <c r="P40" s="20">
        <v>0</v>
      </c>
      <c r="Q40" s="27">
        <f t="shared" si="6"/>
        <v>0</v>
      </c>
      <c r="R40" s="19">
        <v>0</v>
      </c>
      <c r="S40" s="27">
        <f t="shared" si="7"/>
        <v>0</v>
      </c>
      <c r="T40" s="19">
        <v>0</v>
      </c>
      <c r="U40" s="27">
        <f t="shared" si="8"/>
        <v>0</v>
      </c>
      <c r="V40" s="19">
        <v>0</v>
      </c>
      <c r="W40" s="27">
        <f t="shared" si="9"/>
        <v>0</v>
      </c>
      <c r="X40" s="19">
        <v>0</v>
      </c>
      <c r="Y40" s="27">
        <f t="shared" si="10"/>
        <v>0</v>
      </c>
      <c r="Z40" s="20">
        <v>0</v>
      </c>
      <c r="AA40" s="27">
        <f t="shared" si="11"/>
        <v>0</v>
      </c>
      <c r="AB40" s="20">
        <v>0</v>
      </c>
      <c r="AC40" s="27">
        <f t="shared" si="12"/>
        <v>0</v>
      </c>
      <c r="AD40" s="20">
        <v>0</v>
      </c>
      <c r="AE40" s="27">
        <f t="shared" si="13"/>
        <v>0</v>
      </c>
      <c r="AF40" s="7">
        <v>0</v>
      </c>
      <c r="AG40" s="27">
        <f t="shared" si="14"/>
        <v>0</v>
      </c>
      <c r="AH40" s="7">
        <v>0</v>
      </c>
      <c r="AI40" s="27">
        <f t="shared" si="15"/>
        <v>0</v>
      </c>
      <c r="AJ40" s="7">
        <v>1</v>
      </c>
      <c r="AK40" s="27">
        <f t="shared" si="16"/>
        <v>4500</v>
      </c>
      <c r="AL40" s="7">
        <v>1</v>
      </c>
      <c r="AM40" s="27">
        <f t="shared" si="17"/>
        <v>4500</v>
      </c>
      <c r="AN40" s="7">
        <v>3</v>
      </c>
      <c r="AO40" s="27">
        <f t="shared" si="18"/>
        <v>13500</v>
      </c>
      <c r="AP40" s="7">
        <v>0</v>
      </c>
      <c r="AQ40" s="27">
        <f t="shared" si="19"/>
        <v>0</v>
      </c>
      <c r="AR40" s="7">
        <v>0</v>
      </c>
      <c r="AS40" s="27">
        <f t="shared" si="20"/>
        <v>0</v>
      </c>
      <c r="AT40" s="7">
        <v>0</v>
      </c>
      <c r="AU40" s="27">
        <f t="shared" si="21"/>
        <v>0</v>
      </c>
      <c r="AV40" s="7">
        <v>0</v>
      </c>
      <c r="AW40" s="27">
        <f t="shared" si="22"/>
        <v>0</v>
      </c>
      <c r="AX40" s="7">
        <v>0</v>
      </c>
      <c r="AY40" s="27">
        <f t="shared" si="23"/>
        <v>0</v>
      </c>
      <c r="AZ40" s="40"/>
    </row>
    <row r="41" spans="1:52" x14ac:dyDescent="0.2">
      <c r="A41" s="5" t="s">
        <v>116</v>
      </c>
      <c r="B41" s="26">
        <v>5500</v>
      </c>
      <c r="C41" s="26">
        <v>550</v>
      </c>
      <c r="D41" s="26">
        <v>1000</v>
      </c>
      <c r="E41" s="15">
        <f t="shared" si="0"/>
        <v>450</v>
      </c>
      <c r="F41" s="26">
        <v>0</v>
      </c>
      <c r="G41" s="27">
        <f t="shared" si="1"/>
        <v>0</v>
      </c>
      <c r="H41" s="26">
        <v>0</v>
      </c>
      <c r="I41" s="27">
        <f t="shared" si="2"/>
        <v>0</v>
      </c>
      <c r="J41" s="20">
        <v>11</v>
      </c>
      <c r="K41" s="27">
        <f t="shared" si="3"/>
        <v>4950</v>
      </c>
      <c r="L41" s="20">
        <v>0</v>
      </c>
      <c r="M41" s="27">
        <f t="shared" si="4"/>
        <v>0</v>
      </c>
      <c r="N41" s="20">
        <v>7</v>
      </c>
      <c r="O41" s="27">
        <f t="shared" si="5"/>
        <v>3150</v>
      </c>
      <c r="P41" s="20">
        <v>10</v>
      </c>
      <c r="Q41" s="27">
        <f t="shared" si="6"/>
        <v>4500</v>
      </c>
      <c r="R41" s="19">
        <v>5</v>
      </c>
      <c r="S41" s="27">
        <f t="shared" si="7"/>
        <v>2250</v>
      </c>
      <c r="T41" s="19">
        <v>2</v>
      </c>
      <c r="U41" s="27">
        <f t="shared" si="8"/>
        <v>900</v>
      </c>
      <c r="V41" s="19">
        <v>5</v>
      </c>
      <c r="W41" s="27">
        <f t="shared" si="9"/>
        <v>2250</v>
      </c>
      <c r="X41" s="19">
        <v>9</v>
      </c>
      <c r="Y41" s="27">
        <f t="shared" si="10"/>
        <v>4050</v>
      </c>
      <c r="Z41" s="20">
        <v>0</v>
      </c>
      <c r="AA41" s="27">
        <f t="shared" si="11"/>
        <v>0</v>
      </c>
      <c r="AB41" s="20">
        <v>2</v>
      </c>
      <c r="AC41" s="27">
        <f t="shared" si="12"/>
        <v>900</v>
      </c>
      <c r="AD41" s="20">
        <v>0</v>
      </c>
      <c r="AE41" s="27">
        <f t="shared" si="13"/>
        <v>0</v>
      </c>
      <c r="AF41" s="7">
        <v>0</v>
      </c>
      <c r="AG41" s="27">
        <f t="shared" si="14"/>
        <v>0</v>
      </c>
      <c r="AH41" s="7">
        <v>0</v>
      </c>
      <c r="AI41" s="27">
        <f t="shared" si="15"/>
        <v>0</v>
      </c>
      <c r="AJ41" s="7">
        <v>0</v>
      </c>
      <c r="AK41" s="27">
        <f t="shared" si="16"/>
        <v>0</v>
      </c>
      <c r="AL41" s="7">
        <v>2</v>
      </c>
      <c r="AM41" s="27">
        <f t="shared" si="17"/>
        <v>900</v>
      </c>
      <c r="AN41" s="7">
        <v>6</v>
      </c>
      <c r="AO41" s="27">
        <f t="shared" si="18"/>
        <v>2700</v>
      </c>
      <c r="AP41" s="7">
        <v>14</v>
      </c>
      <c r="AQ41" s="27">
        <f t="shared" si="19"/>
        <v>6300</v>
      </c>
      <c r="AR41" s="7">
        <v>3</v>
      </c>
      <c r="AS41" s="27">
        <f t="shared" si="20"/>
        <v>1350</v>
      </c>
      <c r="AT41" s="7">
        <v>2</v>
      </c>
      <c r="AU41" s="27">
        <f t="shared" si="21"/>
        <v>900</v>
      </c>
      <c r="AV41" s="7">
        <v>0</v>
      </c>
      <c r="AW41" s="27">
        <f t="shared" si="22"/>
        <v>0</v>
      </c>
      <c r="AX41" s="7">
        <v>6</v>
      </c>
      <c r="AY41" s="27">
        <f t="shared" si="23"/>
        <v>2700</v>
      </c>
      <c r="AZ41" s="40"/>
    </row>
    <row r="42" spans="1:52" x14ac:dyDescent="0.2">
      <c r="A42" s="5" t="s">
        <v>117</v>
      </c>
      <c r="B42" s="26">
        <v>6500</v>
      </c>
      <c r="C42" s="26">
        <v>6500</v>
      </c>
      <c r="D42" s="26">
        <v>10000</v>
      </c>
      <c r="E42" s="15">
        <f t="shared" si="0"/>
        <v>3500</v>
      </c>
      <c r="F42" s="26">
        <v>0</v>
      </c>
      <c r="G42" s="27">
        <f t="shared" si="1"/>
        <v>0</v>
      </c>
      <c r="H42" s="26">
        <v>1</v>
      </c>
      <c r="I42" s="27">
        <f t="shared" si="2"/>
        <v>3500</v>
      </c>
      <c r="J42" s="20">
        <v>0</v>
      </c>
      <c r="K42" s="27">
        <f t="shared" si="3"/>
        <v>0</v>
      </c>
      <c r="L42" s="20">
        <v>4</v>
      </c>
      <c r="M42" s="27">
        <f t="shared" si="4"/>
        <v>14000</v>
      </c>
      <c r="N42" s="20">
        <v>0</v>
      </c>
      <c r="O42" s="27">
        <f t="shared" si="5"/>
        <v>0</v>
      </c>
      <c r="P42" s="20">
        <v>0</v>
      </c>
      <c r="Q42" s="27">
        <f t="shared" si="6"/>
        <v>0</v>
      </c>
      <c r="R42" s="19">
        <v>0</v>
      </c>
      <c r="S42" s="27">
        <f t="shared" si="7"/>
        <v>0</v>
      </c>
      <c r="T42" s="19">
        <v>0</v>
      </c>
      <c r="U42" s="27">
        <f t="shared" si="8"/>
        <v>0</v>
      </c>
      <c r="V42" s="19">
        <v>1</v>
      </c>
      <c r="W42" s="27">
        <f t="shared" si="9"/>
        <v>3500</v>
      </c>
      <c r="X42" s="19">
        <v>0</v>
      </c>
      <c r="Y42" s="27">
        <f t="shared" si="10"/>
        <v>0</v>
      </c>
      <c r="Z42" s="20">
        <v>1</v>
      </c>
      <c r="AA42" s="27">
        <f t="shared" si="11"/>
        <v>3500</v>
      </c>
      <c r="AB42" s="20">
        <v>0</v>
      </c>
      <c r="AC42" s="27">
        <f t="shared" si="12"/>
        <v>0</v>
      </c>
      <c r="AD42" s="20">
        <v>0</v>
      </c>
      <c r="AE42" s="27">
        <f t="shared" si="13"/>
        <v>0</v>
      </c>
      <c r="AF42" s="7">
        <v>0</v>
      </c>
      <c r="AG42" s="27">
        <f t="shared" si="14"/>
        <v>0</v>
      </c>
      <c r="AH42" s="7">
        <v>0</v>
      </c>
      <c r="AI42" s="27">
        <f t="shared" si="15"/>
        <v>0</v>
      </c>
      <c r="AJ42" s="7">
        <v>0</v>
      </c>
      <c r="AK42" s="27">
        <f t="shared" si="16"/>
        <v>0</v>
      </c>
      <c r="AL42" s="7">
        <v>0</v>
      </c>
      <c r="AM42" s="27">
        <f t="shared" si="17"/>
        <v>0</v>
      </c>
      <c r="AN42" s="7">
        <v>0</v>
      </c>
      <c r="AO42" s="27">
        <f t="shared" si="18"/>
        <v>0</v>
      </c>
      <c r="AP42" s="7">
        <v>0</v>
      </c>
      <c r="AQ42" s="27">
        <f t="shared" si="19"/>
        <v>0</v>
      </c>
      <c r="AR42" s="7">
        <v>0</v>
      </c>
      <c r="AS42" s="27">
        <f t="shared" si="20"/>
        <v>0</v>
      </c>
      <c r="AT42" s="7">
        <v>0</v>
      </c>
      <c r="AU42" s="27">
        <f t="shared" si="21"/>
        <v>0</v>
      </c>
      <c r="AV42" s="7">
        <v>0</v>
      </c>
      <c r="AW42" s="27">
        <f t="shared" si="22"/>
        <v>0</v>
      </c>
      <c r="AX42" s="7">
        <v>0</v>
      </c>
      <c r="AY42" s="27">
        <f t="shared" si="23"/>
        <v>0</v>
      </c>
      <c r="AZ42" s="40"/>
    </row>
    <row r="43" spans="1:52" x14ac:dyDescent="0.2">
      <c r="A43" s="5" t="s">
        <v>118</v>
      </c>
      <c r="B43" s="20">
        <v>6500</v>
      </c>
      <c r="C43" s="20">
        <v>650</v>
      </c>
      <c r="D43" s="20">
        <v>1000</v>
      </c>
      <c r="E43" s="15">
        <f t="shared" si="0"/>
        <v>350</v>
      </c>
      <c r="F43" s="26">
        <v>4</v>
      </c>
      <c r="G43" s="27">
        <f t="shared" si="1"/>
        <v>1400</v>
      </c>
      <c r="H43" s="26">
        <v>3</v>
      </c>
      <c r="I43" s="27">
        <f t="shared" si="2"/>
        <v>1050</v>
      </c>
      <c r="J43" s="20">
        <v>1</v>
      </c>
      <c r="K43" s="27">
        <f t="shared" si="3"/>
        <v>350</v>
      </c>
      <c r="L43" s="20">
        <v>16</v>
      </c>
      <c r="M43" s="27">
        <f t="shared" si="4"/>
        <v>5600</v>
      </c>
      <c r="N43" s="20">
        <v>8</v>
      </c>
      <c r="O43" s="27">
        <f t="shared" si="5"/>
        <v>2800</v>
      </c>
      <c r="P43" s="20">
        <v>7</v>
      </c>
      <c r="Q43" s="27">
        <f t="shared" si="6"/>
        <v>2450</v>
      </c>
      <c r="R43" s="19">
        <v>10</v>
      </c>
      <c r="S43" s="27">
        <f t="shared" si="7"/>
        <v>3500</v>
      </c>
      <c r="T43" s="19">
        <v>12</v>
      </c>
      <c r="U43" s="27">
        <f t="shared" si="8"/>
        <v>4200</v>
      </c>
      <c r="V43" s="19">
        <v>7</v>
      </c>
      <c r="W43" s="27">
        <f t="shared" si="9"/>
        <v>2450</v>
      </c>
      <c r="X43" s="19">
        <v>8</v>
      </c>
      <c r="Y43" s="27">
        <f t="shared" si="10"/>
        <v>2800</v>
      </c>
      <c r="Z43" s="20">
        <v>13</v>
      </c>
      <c r="AA43" s="27">
        <f t="shared" si="11"/>
        <v>4550</v>
      </c>
      <c r="AB43" s="20">
        <v>1</v>
      </c>
      <c r="AC43" s="27">
        <f t="shared" si="12"/>
        <v>350</v>
      </c>
      <c r="AD43" s="20">
        <v>12</v>
      </c>
      <c r="AE43" s="27">
        <f t="shared" si="13"/>
        <v>4200</v>
      </c>
      <c r="AF43" s="7">
        <v>10</v>
      </c>
      <c r="AG43" s="27">
        <f t="shared" si="14"/>
        <v>3500</v>
      </c>
      <c r="AH43" s="7">
        <v>9</v>
      </c>
      <c r="AI43" s="27">
        <f t="shared" si="15"/>
        <v>3150</v>
      </c>
      <c r="AJ43" s="7">
        <v>11</v>
      </c>
      <c r="AK43" s="27">
        <f t="shared" si="16"/>
        <v>3850</v>
      </c>
      <c r="AL43" s="7">
        <v>13</v>
      </c>
      <c r="AM43" s="27">
        <f t="shared" si="17"/>
        <v>4550</v>
      </c>
      <c r="AN43" s="7">
        <v>2</v>
      </c>
      <c r="AO43" s="27">
        <f t="shared" si="18"/>
        <v>700</v>
      </c>
      <c r="AP43" s="7">
        <v>11</v>
      </c>
      <c r="AQ43" s="27">
        <f t="shared" si="19"/>
        <v>3850</v>
      </c>
      <c r="AR43" s="7">
        <v>5</v>
      </c>
      <c r="AS43" s="27">
        <f t="shared" si="20"/>
        <v>1750</v>
      </c>
      <c r="AT43" s="7">
        <v>4</v>
      </c>
      <c r="AU43" s="27">
        <f t="shared" si="21"/>
        <v>1400</v>
      </c>
      <c r="AV43" s="7">
        <v>0</v>
      </c>
      <c r="AW43" s="27">
        <f t="shared" si="22"/>
        <v>0</v>
      </c>
      <c r="AX43" s="7">
        <v>4</v>
      </c>
      <c r="AY43" s="27">
        <f t="shared" si="23"/>
        <v>1400</v>
      </c>
      <c r="AZ43" s="40"/>
    </row>
    <row r="44" spans="1:52" x14ac:dyDescent="0.2">
      <c r="A44" s="13" t="s">
        <v>119</v>
      </c>
      <c r="B44" s="20">
        <v>5500</v>
      </c>
      <c r="C44" s="20">
        <v>5500</v>
      </c>
      <c r="D44" s="20">
        <v>10000</v>
      </c>
      <c r="E44" s="15">
        <f t="shared" si="0"/>
        <v>4500</v>
      </c>
      <c r="F44" s="26">
        <v>0</v>
      </c>
      <c r="G44" s="27">
        <f t="shared" si="1"/>
        <v>0</v>
      </c>
      <c r="H44" s="26">
        <v>0</v>
      </c>
      <c r="I44" s="27">
        <f t="shared" si="2"/>
        <v>0</v>
      </c>
      <c r="J44" s="20">
        <v>0</v>
      </c>
      <c r="K44" s="27">
        <f t="shared" si="3"/>
        <v>0</v>
      </c>
      <c r="L44" s="20">
        <v>0</v>
      </c>
      <c r="M44" s="27">
        <f t="shared" si="4"/>
        <v>0</v>
      </c>
      <c r="N44" s="20">
        <v>0</v>
      </c>
      <c r="O44" s="27">
        <f t="shared" si="5"/>
        <v>0</v>
      </c>
      <c r="P44" s="20">
        <v>0</v>
      </c>
      <c r="Q44" s="27">
        <f t="shared" si="6"/>
        <v>0</v>
      </c>
      <c r="R44" s="19">
        <v>0</v>
      </c>
      <c r="S44" s="27">
        <f t="shared" si="7"/>
        <v>0</v>
      </c>
      <c r="T44" s="19">
        <v>0</v>
      </c>
      <c r="U44" s="27">
        <f t="shared" si="8"/>
        <v>0</v>
      </c>
      <c r="V44" s="19">
        <v>0</v>
      </c>
      <c r="W44" s="27">
        <f t="shared" si="9"/>
        <v>0</v>
      </c>
      <c r="X44" s="19">
        <v>0</v>
      </c>
      <c r="Y44" s="27">
        <f t="shared" si="10"/>
        <v>0</v>
      </c>
      <c r="Z44" s="20">
        <v>0</v>
      </c>
      <c r="AA44" s="27">
        <f t="shared" si="11"/>
        <v>0</v>
      </c>
      <c r="AB44" s="20">
        <v>0</v>
      </c>
      <c r="AC44" s="27">
        <f t="shared" si="12"/>
        <v>0</v>
      </c>
      <c r="AD44" s="20">
        <v>0</v>
      </c>
      <c r="AE44" s="27">
        <f t="shared" si="13"/>
        <v>0</v>
      </c>
      <c r="AF44" s="7">
        <v>0</v>
      </c>
      <c r="AG44" s="27">
        <f t="shared" si="14"/>
        <v>0</v>
      </c>
      <c r="AH44" s="7">
        <v>0</v>
      </c>
      <c r="AI44" s="27">
        <f t="shared" si="15"/>
        <v>0</v>
      </c>
      <c r="AJ44" s="7">
        <v>0</v>
      </c>
      <c r="AK44" s="27">
        <f t="shared" si="16"/>
        <v>0</v>
      </c>
      <c r="AL44" s="7">
        <v>0</v>
      </c>
      <c r="AM44" s="27">
        <f t="shared" si="17"/>
        <v>0</v>
      </c>
      <c r="AN44" s="7">
        <v>0</v>
      </c>
      <c r="AO44" s="27">
        <f t="shared" si="18"/>
        <v>0</v>
      </c>
      <c r="AP44" s="7">
        <v>0</v>
      </c>
      <c r="AQ44" s="27">
        <f t="shared" si="19"/>
        <v>0</v>
      </c>
      <c r="AR44" s="7">
        <v>0</v>
      </c>
      <c r="AS44" s="27">
        <f t="shared" si="20"/>
        <v>0</v>
      </c>
      <c r="AT44" s="7">
        <v>0</v>
      </c>
      <c r="AU44" s="27">
        <f t="shared" si="21"/>
        <v>0</v>
      </c>
      <c r="AV44" s="7">
        <v>0</v>
      </c>
      <c r="AW44" s="27">
        <f t="shared" si="22"/>
        <v>0</v>
      </c>
      <c r="AX44" s="7">
        <v>0</v>
      </c>
      <c r="AY44" s="27">
        <f t="shared" si="23"/>
        <v>0</v>
      </c>
      <c r="AZ44" s="40"/>
    </row>
    <row r="45" spans="1:52" x14ac:dyDescent="0.2">
      <c r="A45" s="13" t="s">
        <v>120</v>
      </c>
      <c r="B45" s="20">
        <v>550</v>
      </c>
      <c r="C45" s="20">
        <v>550</v>
      </c>
      <c r="D45" s="20">
        <v>1000</v>
      </c>
      <c r="E45" s="15">
        <f t="shared" si="0"/>
        <v>450</v>
      </c>
      <c r="F45" s="26">
        <v>1</v>
      </c>
      <c r="G45" s="27">
        <f t="shared" si="1"/>
        <v>450</v>
      </c>
      <c r="H45" s="26">
        <v>0</v>
      </c>
      <c r="I45" s="27">
        <f t="shared" si="2"/>
        <v>0</v>
      </c>
      <c r="J45" s="20">
        <v>0</v>
      </c>
      <c r="K45" s="27">
        <f t="shared" si="3"/>
        <v>0</v>
      </c>
      <c r="L45" s="20">
        <v>8</v>
      </c>
      <c r="M45" s="27">
        <f t="shared" si="4"/>
        <v>3600</v>
      </c>
      <c r="N45" s="20">
        <v>0</v>
      </c>
      <c r="O45" s="27">
        <f t="shared" si="5"/>
        <v>0</v>
      </c>
      <c r="P45" s="20">
        <v>1</v>
      </c>
      <c r="Q45" s="27">
        <f t="shared" si="6"/>
        <v>450</v>
      </c>
      <c r="R45" s="19">
        <v>0</v>
      </c>
      <c r="S45" s="27">
        <f t="shared" si="7"/>
        <v>0</v>
      </c>
      <c r="T45" s="19">
        <v>0</v>
      </c>
      <c r="U45" s="27">
        <f t="shared" si="8"/>
        <v>0</v>
      </c>
      <c r="V45" s="19">
        <v>0</v>
      </c>
      <c r="W45" s="27">
        <f t="shared" si="9"/>
        <v>0</v>
      </c>
      <c r="X45" s="19">
        <v>2</v>
      </c>
      <c r="Y45" s="27">
        <f t="shared" si="10"/>
        <v>900</v>
      </c>
      <c r="Z45" s="20">
        <v>2</v>
      </c>
      <c r="AA45" s="27">
        <f t="shared" si="11"/>
        <v>900</v>
      </c>
      <c r="AB45" s="20">
        <v>0</v>
      </c>
      <c r="AC45" s="27">
        <f t="shared" si="12"/>
        <v>0</v>
      </c>
      <c r="AD45" s="20">
        <v>0</v>
      </c>
      <c r="AE45" s="27">
        <f t="shared" si="13"/>
        <v>0</v>
      </c>
      <c r="AF45" s="7">
        <v>0</v>
      </c>
      <c r="AG45" s="27">
        <f t="shared" si="14"/>
        <v>0</v>
      </c>
      <c r="AH45" s="7">
        <v>0</v>
      </c>
      <c r="AI45" s="27">
        <f t="shared" si="15"/>
        <v>0</v>
      </c>
      <c r="AJ45" s="7">
        <v>0</v>
      </c>
      <c r="AK45" s="27">
        <f t="shared" si="16"/>
        <v>0</v>
      </c>
      <c r="AL45" s="7">
        <v>0</v>
      </c>
      <c r="AM45" s="27">
        <f t="shared" si="17"/>
        <v>0</v>
      </c>
      <c r="AN45" s="7">
        <v>1</v>
      </c>
      <c r="AO45" s="27">
        <f t="shared" si="18"/>
        <v>450</v>
      </c>
      <c r="AP45" s="7">
        <v>0</v>
      </c>
      <c r="AQ45" s="27">
        <f t="shared" si="19"/>
        <v>0</v>
      </c>
      <c r="AR45" s="7">
        <v>0</v>
      </c>
      <c r="AS45" s="27">
        <f t="shared" si="20"/>
        <v>0</v>
      </c>
      <c r="AT45" s="7">
        <v>0</v>
      </c>
      <c r="AU45" s="27">
        <f t="shared" si="21"/>
        <v>0</v>
      </c>
      <c r="AV45" s="7">
        <v>4</v>
      </c>
      <c r="AW45" s="27">
        <f t="shared" si="22"/>
        <v>1800</v>
      </c>
      <c r="AX45" s="7">
        <v>1</v>
      </c>
      <c r="AY45" s="27">
        <f t="shared" si="23"/>
        <v>450</v>
      </c>
      <c r="AZ45" s="40"/>
    </row>
    <row r="46" spans="1:52" x14ac:dyDescent="0.2">
      <c r="A46" s="13" t="s">
        <v>121</v>
      </c>
      <c r="B46" s="20">
        <v>5900</v>
      </c>
      <c r="C46" s="20">
        <v>5900</v>
      </c>
      <c r="D46" s="20">
        <v>10000</v>
      </c>
      <c r="E46" s="15">
        <f t="shared" si="0"/>
        <v>4100</v>
      </c>
      <c r="F46" s="26">
        <v>0</v>
      </c>
      <c r="G46" s="27">
        <f t="shared" si="1"/>
        <v>0</v>
      </c>
      <c r="H46" s="26">
        <v>0</v>
      </c>
      <c r="I46" s="27">
        <f t="shared" si="2"/>
        <v>0</v>
      </c>
      <c r="J46" s="20">
        <v>0</v>
      </c>
      <c r="K46" s="27">
        <f t="shared" si="3"/>
        <v>0</v>
      </c>
      <c r="L46" s="20">
        <v>0</v>
      </c>
      <c r="M46" s="27">
        <f t="shared" si="4"/>
        <v>0</v>
      </c>
      <c r="N46" s="20">
        <v>0</v>
      </c>
      <c r="O46" s="27">
        <f t="shared" si="5"/>
        <v>0</v>
      </c>
      <c r="P46" s="20">
        <v>0</v>
      </c>
      <c r="Q46" s="27">
        <f t="shared" si="6"/>
        <v>0</v>
      </c>
      <c r="R46" s="19">
        <v>0</v>
      </c>
      <c r="S46" s="27">
        <f t="shared" si="7"/>
        <v>0</v>
      </c>
      <c r="T46" s="19">
        <v>0</v>
      </c>
      <c r="U46" s="27">
        <f t="shared" si="8"/>
        <v>0</v>
      </c>
      <c r="V46" s="19">
        <v>0</v>
      </c>
      <c r="W46" s="27">
        <f t="shared" si="9"/>
        <v>0</v>
      </c>
      <c r="X46" s="19">
        <v>0</v>
      </c>
      <c r="Y46" s="27">
        <f t="shared" si="10"/>
        <v>0</v>
      </c>
      <c r="Z46" s="20">
        <v>0</v>
      </c>
      <c r="AA46" s="27">
        <f t="shared" si="11"/>
        <v>0</v>
      </c>
      <c r="AB46" s="20">
        <v>0</v>
      </c>
      <c r="AC46" s="27">
        <f t="shared" si="12"/>
        <v>0</v>
      </c>
      <c r="AD46" s="20">
        <v>0</v>
      </c>
      <c r="AE46" s="27">
        <f t="shared" si="13"/>
        <v>0</v>
      </c>
      <c r="AF46" s="7">
        <v>0</v>
      </c>
      <c r="AG46" s="27">
        <f t="shared" si="14"/>
        <v>0</v>
      </c>
      <c r="AH46" s="7">
        <v>0</v>
      </c>
      <c r="AI46" s="27">
        <f t="shared" si="15"/>
        <v>0</v>
      </c>
      <c r="AJ46" s="7">
        <v>2</v>
      </c>
      <c r="AK46" s="27">
        <f t="shared" si="16"/>
        <v>8200</v>
      </c>
      <c r="AL46" s="7">
        <v>0</v>
      </c>
      <c r="AM46" s="27">
        <f t="shared" si="17"/>
        <v>0</v>
      </c>
      <c r="AN46" s="7">
        <v>0</v>
      </c>
      <c r="AO46" s="27">
        <f t="shared" si="18"/>
        <v>0</v>
      </c>
      <c r="AP46" s="7">
        <v>0</v>
      </c>
      <c r="AQ46" s="27">
        <f t="shared" si="19"/>
        <v>0</v>
      </c>
      <c r="AR46" s="7">
        <v>0</v>
      </c>
      <c r="AS46" s="27">
        <f t="shared" si="20"/>
        <v>0</v>
      </c>
      <c r="AT46" s="7">
        <v>0</v>
      </c>
      <c r="AU46" s="27">
        <f t="shared" si="21"/>
        <v>0</v>
      </c>
      <c r="AV46" s="7">
        <v>0</v>
      </c>
      <c r="AW46" s="27">
        <f t="shared" si="22"/>
        <v>0</v>
      </c>
      <c r="AX46" s="7">
        <v>0</v>
      </c>
      <c r="AY46" s="27">
        <f t="shared" si="23"/>
        <v>0</v>
      </c>
      <c r="AZ46" s="40"/>
    </row>
    <row r="47" spans="1:52" x14ac:dyDescent="0.2">
      <c r="A47" s="13" t="s">
        <v>122</v>
      </c>
      <c r="B47" s="20">
        <v>590</v>
      </c>
      <c r="C47" s="20">
        <v>590</v>
      </c>
      <c r="D47" s="20">
        <v>1000</v>
      </c>
      <c r="E47" s="15">
        <f t="shared" si="0"/>
        <v>410</v>
      </c>
      <c r="F47" s="26">
        <v>2</v>
      </c>
      <c r="G47" s="27">
        <f t="shared" si="1"/>
        <v>820</v>
      </c>
      <c r="H47" s="26">
        <v>3</v>
      </c>
      <c r="I47" s="27">
        <f t="shared" si="2"/>
        <v>1230</v>
      </c>
      <c r="J47" s="20">
        <v>0</v>
      </c>
      <c r="K47" s="27">
        <f t="shared" si="3"/>
        <v>0</v>
      </c>
      <c r="L47" s="20">
        <v>0</v>
      </c>
      <c r="M47" s="27">
        <f t="shared" si="4"/>
        <v>0</v>
      </c>
      <c r="N47" s="20">
        <v>0</v>
      </c>
      <c r="O47" s="27">
        <f t="shared" si="5"/>
        <v>0</v>
      </c>
      <c r="P47" s="20">
        <v>0</v>
      </c>
      <c r="Q47" s="27">
        <f t="shared" si="6"/>
        <v>0</v>
      </c>
      <c r="R47" s="19">
        <v>0</v>
      </c>
      <c r="S47" s="27">
        <f t="shared" si="7"/>
        <v>0</v>
      </c>
      <c r="T47" s="19">
        <v>13</v>
      </c>
      <c r="U47" s="27">
        <f t="shared" si="8"/>
        <v>5330</v>
      </c>
      <c r="V47" s="19">
        <v>0</v>
      </c>
      <c r="W47" s="27">
        <f t="shared" si="9"/>
        <v>0</v>
      </c>
      <c r="X47" s="19">
        <v>9</v>
      </c>
      <c r="Y47" s="27">
        <f t="shared" si="10"/>
        <v>3690</v>
      </c>
      <c r="Z47" s="20">
        <v>0</v>
      </c>
      <c r="AA47" s="27">
        <f t="shared" si="11"/>
        <v>0</v>
      </c>
      <c r="AB47" s="20">
        <v>2</v>
      </c>
      <c r="AC47" s="27">
        <f t="shared" si="12"/>
        <v>820</v>
      </c>
      <c r="AD47" s="20">
        <v>0</v>
      </c>
      <c r="AE47" s="27">
        <f t="shared" si="13"/>
        <v>0</v>
      </c>
      <c r="AF47" s="7">
        <v>0</v>
      </c>
      <c r="AG47" s="27">
        <f t="shared" si="14"/>
        <v>0</v>
      </c>
      <c r="AH47" s="7">
        <v>0</v>
      </c>
      <c r="AI47" s="27">
        <f t="shared" si="15"/>
        <v>0</v>
      </c>
      <c r="AJ47" s="7">
        <v>10</v>
      </c>
      <c r="AK47" s="27">
        <f t="shared" si="16"/>
        <v>4100</v>
      </c>
      <c r="AL47" s="7">
        <v>3</v>
      </c>
      <c r="AM47" s="27">
        <f t="shared" si="17"/>
        <v>1230</v>
      </c>
      <c r="AN47" s="7">
        <v>7</v>
      </c>
      <c r="AO47" s="27">
        <f t="shared" si="18"/>
        <v>2870</v>
      </c>
      <c r="AP47" s="7">
        <v>0</v>
      </c>
      <c r="AQ47" s="27">
        <f t="shared" si="19"/>
        <v>0</v>
      </c>
      <c r="AR47" s="7">
        <v>0</v>
      </c>
      <c r="AS47" s="27">
        <f t="shared" si="20"/>
        <v>0</v>
      </c>
      <c r="AT47" s="7">
        <v>0</v>
      </c>
      <c r="AU47" s="27">
        <f t="shared" si="21"/>
        <v>0</v>
      </c>
      <c r="AV47" s="7">
        <v>0</v>
      </c>
      <c r="AW47" s="27">
        <f t="shared" si="22"/>
        <v>0</v>
      </c>
      <c r="AX47" s="7">
        <v>0</v>
      </c>
      <c r="AY47" s="27">
        <f t="shared" si="23"/>
        <v>0</v>
      </c>
      <c r="AZ47" s="40"/>
    </row>
    <row r="48" spans="1:52" x14ac:dyDescent="0.2">
      <c r="A48" s="5" t="s">
        <v>197</v>
      </c>
      <c r="B48" s="20">
        <v>1956</v>
      </c>
      <c r="C48" s="20">
        <v>1956</v>
      </c>
      <c r="D48" s="20">
        <v>4000</v>
      </c>
      <c r="E48" s="15">
        <f t="shared" si="0"/>
        <v>2044</v>
      </c>
      <c r="F48" s="26">
        <v>0</v>
      </c>
      <c r="G48" s="27">
        <f t="shared" si="1"/>
        <v>0</v>
      </c>
      <c r="H48" s="26">
        <v>0</v>
      </c>
      <c r="I48" s="27">
        <f t="shared" si="2"/>
        <v>0</v>
      </c>
      <c r="J48" s="20">
        <v>0</v>
      </c>
      <c r="K48" s="27">
        <f t="shared" si="3"/>
        <v>0</v>
      </c>
      <c r="L48" s="20">
        <v>0</v>
      </c>
      <c r="M48" s="27">
        <f t="shared" si="4"/>
        <v>0</v>
      </c>
      <c r="N48" s="20">
        <v>0</v>
      </c>
      <c r="O48" s="27">
        <f t="shared" si="5"/>
        <v>0</v>
      </c>
      <c r="P48" s="20">
        <v>0</v>
      </c>
      <c r="Q48" s="27">
        <f t="shared" si="6"/>
        <v>0</v>
      </c>
      <c r="R48" s="19">
        <v>0</v>
      </c>
      <c r="S48" s="27">
        <f t="shared" si="7"/>
        <v>0</v>
      </c>
      <c r="T48" s="19">
        <v>0</v>
      </c>
      <c r="U48" s="27">
        <f t="shared" si="8"/>
        <v>0</v>
      </c>
      <c r="V48" s="19">
        <v>0</v>
      </c>
      <c r="W48" s="27">
        <f t="shared" si="9"/>
        <v>0</v>
      </c>
      <c r="X48" s="19">
        <v>0</v>
      </c>
      <c r="Y48" s="27">
        <f t="shared" si="10"/>
        <v>0</v>
      </c>
      <c r="Z48" s="20">
        <v>0</v>
      </c>
      <c r="AA48" s="27">
        <f t="shared" si="11"/>
        <v>0</v>
      </c>
      <c r="AB48" s="20">
        <v>0</v>
      </c>
      <c r="AC48" s="27">
        <f t="shared" si="12"/>
        <v>0</v>
      </c>
      <c r="AD48" s="20">
        <v>0</v>
      </c>
      <c r="AE48" s="27">
        <f t="shared" si="13"/>
        <v>0</v>
      </c>
      <c r="AF48" s="7">
        <v>0</v>
      </c>
      <c r="AG48" s="27">
        <f t="shared" si="14"/>
        <v>0</v>
      </c>
      <c r="AH48" s="7">
        <v>0</v>
      </c>
      <c r="AI48" s="27">
        <f t="shared" si="15"/>
        <v>0</v>
      </c>
      <c r="AJ48" s="7">
        <v>0</v>
      </c>
      <c r="AK48" s="27">
        <f t="shared" si="16"/>
        <v>0</v>
      </c>
      <c r="AL48" s="7">
        <v>0</v>
      </c>
      <c r="AM48" s="27">
        <f t="shared" si="17"/>
        <v>0</v>
      </c>
      <c r="AN48" s="7">
        <v>0</v>
      </c>
      <c r="AO48" s="27">
        <f t="shared" si="18"/>
        <v>0</v>
      </c>
      <c r="AP48" s="7">
        <v>0</v>
      </c>
      <c r="AQ48" s="27">
        <f t="shared" si="19"/>
        <v>0</v>
      </c>
      <c r="AR48" s="7">
        <v>0</v>
      </c>
      <c r="AS48" s="27">
        <f t="shared" si="20"/>
        <v>0</v>
      </c>
      <c r="AT48" s="7">
        <v>0</v>
      </c>
      <c r="AU48" s="27">
        <f t="shared" si="21"/>
        <v>0</v>
      </c>
      <c r="AV48" s="7">
        <v>0</v>
      </c>
      <c r="AW48" s="27">
        <f t="shared" si="22"/>
        <v>0</v>
      </c>
      <c r="AX48" s="7">
        <v>0</v>
      </c>
      <c r="AY48" s="27">
        <f t="shared" si="23"/>
        <v>0</v>
      </c>
      <c r="AZ48" s="40"/>
    </row>
    <row r="49" spans="1:52" x14ac:dyDescent="0.2">
      <c r="A49" s="5" t="s">
        <v>123</v>
      </c>
      <c r="B49" s="20">
        <v>1956</v>
      </c>
      <c r="C49" s="20">
        <v>1956</v>
      </c>
      <c r="D49" s="20">
        <v>4000</v>
      </c>
      <c r="E49" s="15">
        <f t="shared" si="0"/>
        <v>2044</v>
      </c>
      <c r="F49" s="26">
        <v>0</v>
      </c>
      <c r="G49" s="27">
        <f t="shared" si="1"/>
        <v>0</v>
      </c>
      <c r="H49" s="26">
        <v>0</v>
      </c>
      <c r="I49" s="27">
        <f t="shared" si="2"/>
        <v>0</v>
      </c>
      <c r="J49" s="20">
        <v>0</v>
      </c>
      <c r="K49" s="27">
        <f t="shared" si="3"/>
        <v>0</v>
      </c>
      <c r="L49" s="20">
        <v>0</v>
      </c>
      <c r="M49" s="27">
        <f t="shared" si="4"/>
        <v>0</v>
      </c>
      <c r="N49" s="20">
        <v>0</v>
      </c>
      <c r="O49" s="27">
        <f t="shared" si="5"/>
        <v>0</v>
      </c>
      <c r="P49" s="20">
        <v>0</v>
      </c>
      <c r="Q49" s="27">
        <f t="shared" si="6"/>
        <v>0</v>
      </c>
      <c r="R49" s="19">
        <v>0</v>
      </c>
      <c r="S49" s="27">
        <f t="shared" si="7"/>
        <v>0</v>
      </c>
      <c r="T49" s="19">
        <v>3</v>
      </c>
      <c r="U49" s="27">
        <f t="shared" si="8"/>
        <v>6132</v>
      </c>
      <c r="V49" s="19">
        <v>0</v>
      </c>
      <c r="W49" s="27">
        <f t="shared" si="9"/>
        <v>0</v>
      </c>
      <c r="X49" s="19">
        <v>2</v>
      </c>
      <c r="Y49" s="27">
        <f t="shared" si="10"/>
        <v>4088</v>
      </c>
      <c r="Z49" s="20">
        <v>0</v>
      </c>
      <c r="AA49" s="27">
        <f t="shared" si="11"/>
        <v>0</v>
      </c>
      <c r="AB49" s="20">
        <v>1</v>
      </c>
      <c r="AC49" s="27">
        <f t="shared" si="12"/>
        <v>2044</v>
      </c>
      <c r="AD49" s="20">
        <v>0</v>
      </c>
      <c r="AE49" s="27">
        <f t="shared" si="13"/>
        <v>0</v>
      </c>
      <c r="AF49" s="7">
        <v>1</v>
      </c>
      <c r="AG49" s="27">
        <f t="shared" si="14"/>
        <v>2044</v>
      </c>
      <c r="AH49" s="7">
        <v>2</v>
      </c>
      <c r="AI49" s="27">
        <f t="shared" si="15"/>
        <v>4088</v>
      </c>
      <c r="AJ49" s="7">
        <v>0</v>
      </c>
      <c r="AK49" s="27">
        <f t="shared" si="16"/>
        <v>0</v>
      </c>
      <c r="AL49" s="7">
        <v>1</v>
      </c>
      <c r="AM49" s="27">
        <f t="shared" si="17"/>
        <v>2044</v>
      </c>
      <c r="AN49" s="7">
        <v>4</v>
      </c>
      <c r="AO49" s="27">
        <f t="shared" si="18"/>
        <v>8176</v>
      </c>
      <c r="AP49" s="7">
        <v>0</v>
      </c>
      <c r="AQ49" s="27">
        <f t="shared" si="19"/>
        <v>0</v>
      </c>
      <c r="AR49" s="7">
        <v>0</v>
      </c>
      <c r="AS49" s="27">
        <f t="shared" si="20"/>
        <v>0</v>
      </c>
      <c r="AT49" s="7">
        <v>0</v>
      </c>
      <c r="AU49" s="27">
        <f t="shared" si="21"/>
        <v>0</v>
      </c>
      <c r="AV49" s="7">
        <v>0</v>
      </c>
      <c r="AW49" s="27">
        <f t="shared" si="22"/>
        <v>0</v>
      </c>
      <c r="AX49" s="7">
        <v>0</v>
      </c>
      <c r="AY49" s="27">
        <f t="shared" si="23"/>
        <v>0</v>
      </c>
      <c r="AZ49" s="40"/>
    </row>
    <row r="50" spans="1:52" x14ac:dyDescent="0.2">
      <c r="A50" s="5" t="s">
        <v>124</v>
      </c>
      <c r="B50" s="20">
        <v>1956</v>
      </c>
      <c r="C50" s="20">
        <v>1956</v>
      </c>
      <c r="D50" s="20">
        <v>4000</v>
      </c>
      <c r="E50" s="15">
        <f t="shared" si="0"/>
        <v>2044</v>
      </c>
      <c r="F50" s="26">
        <v>0</v>
      </c>
      <c r="G50" s="27">
        <f t="shared" si="1"/>
        <v>0</v>
      </c>
      <c r="H50" s="26">
        <v>1</v>
      </c>
      <c r="I50" s="27">
        <f t="shared" si="2"/>
        <v>2044</v>
      </c>
      <c r="J50" s="20">
        <v>0</v>
      </c>
      <c r="K50" s="27">
        <f t="shared" si="3"/>
        <v>0</v>
      </c>
      <c r="L50" s="20">
        <v>0</v>
      </c>
      <c r="M50" s="27">
        <f t="shared" si="4"/>
        <v>0</v>
      </c>
      <c r="N50" s="20">
        <v>1</v>
      </c>
      <c r="O50" s="27">
        <f t="shared" si="5"/>
        <v>2044</v>
      </c>
      <c r="P50" s="20">
        <v>0</v>
      </c>
      <c r="Q50" s="27">
        <f t="shared" si="6"/>
        <v>0</v>
      </c>
      <c r="R50" s="19">
        <v>0</v>
      </c>
      <c r="S50" s="27">
        <f t="shared" si="7"/>
        <v>0</v>
      </c>
      <c r="T50" s="19">
        <v>0</v>
      </c>
      <c r="U50" s="27">
        <f t="shared" si="8"/>
        <v>0</v>
      </c>
      <c r="V50" s="19">
        <v>0</v>
      </c>
      <c r="W50" s="27">
        <f t="shared" si="9"/>
        <v>0</v>
      </c>
      <c r="X50" s="19">
        <v>2</v>
      </c>
      <c r="Y50" s="27">
        <f t="shared" si="10"/>
        <v>4088</v>
      </c>
      <c r="Z50" s="20">
        <v>3</v>
      </c>
      <c r="AA50" s="27">
        <f t="shared" si="11"/>
        <v>6132</v>
      </c>
      <c r="AB50" s="20">
        <v>0</v>
      </c>
      <c r="AC50" s="27">
        <f t="shared" si="12"/>
        <v>0</v>
      </c>
      <c r="AD50" s="20">
        <v>0</v>
      </c>
      <c r="AE50" s="27">
        <f t="shared" si="13"/>
        <v>0</v>
      </c>
      <c r="AF50" s="7">
        <v>0</v>
      </c>
      <c r="AG50" s="27">
        <f t="shared" si="14"/>
        <v>0</v>
      </c>
      <c r="AH50" s="7">
        <v>2</v>
      </c>
      <c r="AI50" s="27">
        <f t="shared" si="15"/>
        <v>4088</v>
      </c>
      <c r="AJ50" s="7">
        <v>0</v>
      </c>
      <c r="AK50" s="27">
        <f t="shared" si="16"/>
        <v>0</v>
      </c>
      <c r="AL50" s="7">
        <v>0</v>
      </c>
      <c r="AM50" s="27">
        <f t="shared" si="17"/>
        <v>0</v>
      </c>
      <c r="AN50" s="7">
        <v>0</v>
      </c>
      <c r="AO50" s="27">
        <f t="shared" si="18"/>
        <v>0</v>
      </c>
      <c r="AP50" s="7">
        <v>0</v>
      </c>
      <c r="AQ50" s="27">
        <f t="shared" si="19"/>
        <v>0</v>
      </c>
      <c r="AR50" s="7">
        <v>0</v>
      </c>
      <c r="AS50" s="27">
        <f t="shared" si="20"/>
        <v>0</v>
      </c>
      <c r="AT50" s="7">
        <v>0</v>
      </c>
      <c r="AU50" s="27">
        <f t="shared" si="21"/>
        <v>0</v>
      </c>
      <c r="AV50" s="7">
        <v>0</v>
      </c>
      <c r="AW50" s="27">
        <f t="shared" si="22"/>
        <v>0</v>
      </c>
      <c r="AX50" s="7">
        <v>0</v>
      </c>
      <c r="AY50" s="27">
        <f t="shared" si="23"/>
        <v>0</v>
      </c>
      <c r="AZ50" s="40"/>
    </row>
    <row r="51" spans="1:52" x14ac:dyDescent="0.2">
      <c r="A51" s="5" t="s">
        <v>125</v>
      </c>
      <c r="B51" s="20">
        <v>1956</v>
      </c>
      <c r="C51" s="20">
        <v>1956</v>
      </c>
      <c r="D51" s="20">
        <v>4000</v>
      </c>
      <c r="E51" s="15">
        <f t="shared" si="0"/>
        <v>2044</v>
      </c>
      <c r="F51" s="26">
        <v>1</v>
      </c>
      <c r="G51" s="27">
        <f t="shared" si="1"/>
        <v>2044</v>
      </c>
      <c r="H51" s="26">
        <v>0</v>
      </c>
      <c r="I51" s="27">
        <f t="shared" si="2"/>
        <v>0</v>
      </c>
      <c r="J51" s="20">
        <v>0</v>
      </c>
      <c r="K51" s="27">
        <f t="shared" si="3"/>
        <v>0</v>
      </c>
      <c r="L51" s="20">
        <v>0</v>
      </c>
      <c r="M51" s="27">
        <f t="shared" si="4"/>
        <v>0</v>
      </c>
      <c r="N51" s="20">
        <v>0</v>
      </c>
      <c r="O51" s="27">
        <f t="shared" si="5"/>
        <v>0</v>
      </c>
      <c r="P51" s="20">
        <v>0</v>
      </c>
      <c r="Q51" s="27">
        <f t="shared" si="6"/>
        <v>0</v>
      </c>
      <c r="R51" s="19">
        <v>0</v>
      </c>
      <c r="S51" s="27">
        <f t="shared" si="7"/>
        <v>0</v>
      </c>
      <c r="T51" s="19">
        <v>0</v>
      </c>
      <c r="U51" s="27">
        <f t="shared" si="8"/>
        <v>0</v>
      </c>
      <c r="V51" s="19">
        <v>0</v>
      </c>
      <c r="W51" s="27">
        <f t="shared" si="9"/>
        <v>0</v>
      </c>
      <c r="X51" s="19">
        <v>6</v>
      </c>
      <c r="Y51" s="27">
        <f t="shared" si="10"/>
        <v>12264</v>
      </c>
      <c r="Z51" s="20">
        <v>0</v>
      </c>
      <c r="AA51" s="27">
        <f t="shared" si="11"/>
        <v>0</v>
      </c>
      <c r="AB51" s="20">
        <v>0</v>
      </c>
      <c r="AC51" s="27">
        <f t="shared" si="12"/>
        <v>0</v>
      </c>
      <c r="AD51" s="20">
        <v>0</v>
      </c>
      <c r="AE51" s="27">
        <f t="shared" si="13"/>
        <v>0</v>
      </c>
      <c r="AF51" s="7">
        <v>0</v>
      </c>
      <c r="AG51" s="27">
        <f t="shared" si="14"/>
        <v>0</v>
      </c>
      <c r="AH51" s="7">
        <v>4</v>
      </c>
      <c r="AI51" s="27">
        <f t="shared" si="15"/>
        <v>8176</v>
      </c>
      <c r="AJ51" s="7">
        <v>0</v>
      </c>
      <c r="AK51" s="27">
        <f t="shared" si="16"/>
        <v>0</v>
      </c>
      <c r="AL51" s="7">
        <v>1</v>
      </c>
      <c r="AM51" s="27">
        <f t="shared" si="17"/>
        <v>2044</v>
      </c>
      <c r="AN51" s="7">
        <v>0</v>
      </c>
      <c r="AO51" s="27">
        <f t="shared" si="18"/>
        <v>0</v>
      </c>
      <c r="AP51" s="7">
        <v>1</v>
      </c>
      <c r="AQ51" s="27">
        <f t="shared" si="19"/>
        <v>2044</v>
      </c>
      <c r="AR51" s="7">
        <v>1</v>
      </c>
      <c r="AS51" s="27">
        <f t="shared" si="20"/>
        <v>2044</v>
      </c>
      <c r="AT51" s="7">
        <v>0</v>
      </c>
      <c r="AU51" s="27">
        <f t="shared" si="21"/>
        <v>0</v>
      </c>
      <c r="AV51" s="7">
        <v>0</v>
      </c>
      <c r="AW51" s="27">
        <f t="shared" si="22"/>
        <v>0</v>
      </c>
      <c r="AX51" s="7">
        <v>3</v>
      </c>
      <c r="AY51" s="27">
        <f t="shared" si="23"/>
        <v>6132</v>
      </c>
      <c r="AZ51" s="40"/>
    </row>
    <row r="52" spans="1:52" x14ac:dyDescent="0.2">
      <c r="A52" s="21" t="s">
        <v>126</v>
      </c>
      <c r="B52" s="20">
        <v>825</v>
      </c>
      <c r="C52" s="20">
        <v>825</v>
      </c>
      <c r="D52" s="20">
        <v>2500</v>
      </c>
      <c r="E52" s="15">
        <f t="shared" si="0"/>
        <v>1675</v>
      </c>
      <c r="F52" s="20">
        <v>0</v>
      </c>
      <c r="G52" s="20">
        <v>0</v>
      </c>
      <c r="H52" s="20">
        <v>1</v>
      </c>
      <c r="I52" s="27">
        <f t="shared" si="2"/>
        <v>1675</v>
      </c>
      <c r="J52" s="20">
        <v>0</v>
      </c>
      <c r="K52" s="27">
        <f t="shared" si="3"/>
        <v>0</v>
      </c>
      <c r="L52" s="20">
        <v>1</v>
      </c>
      <c r="M52" s="27">
        <f t="shared" si="4"/>
        <v>1675</v>
      </c>
      <c r="N52" s="20">
        <v>0</v>
      </c>
      <c r="O52" s="27">
        <f t="shared" si="5"/>
        <v>0</v>
      </c>
      <c r="P52" s="20">
        <v>0</v>
      </c>
      <c r="Q52" s="27">
        <f t="shared" si="6"/>
        <v>0</v>
      </c>
      <c r="R52" s="19">
        <v>0</v>
      </c>
      <c r="S52" s="27">
        <f t="shared" si="7"/>
        <v>0</v>
      </c>
      <c r="T52" s="19">
        <v>0</v>
      </c>
      <c r="U52" s="27">
        <f t="shared" si="8"/>
        <v>0</v>
      </c>
      <c r="V52" s="19">
        <v>0</v>
      </c>
      <c r="W52" s="27">
        <f t="shared" si="9"/>
        <v>0</v>
      </c>
      <c r="X52" s="19">
        <v>0</v>
      </c>
      <c r="Y52" s="27">
        <f t="shared" si="10"/>
        <v>0</v>
      </c>
      <c r="Z52" s="20">
        <v>0</v>
      </c>
      <c r="AA52" s="27">
        <f t="shared" si="11"/>
        <v>0</v>
      </c>
      <c r="AB52" s="20">
        <v>0</v>
      </c>
      <c r="AC52" s="27">
        <f t="shared" si="12"/>
        <v>0</v>
      </c>
      <c r="AD52" s="20">
        <v>0</v>
      </c>
      <c r="AE52" s="27">
        <f t="shared" si="13"/>
        <v>0</v>
      </c>
      <c r="AF52" s="7">
        <v>0</v>
      </c>
      <c r="AG52" s="27">
        <f t="shared" si="14"/>
        <v>0</v>
      </c>
      <c r="AH52" s="7">
        <v>0</v>
      </c>
      <c r="AI52" s="27">
        <f t="shared" si="15"/>
        <v>0</v>
      </c>
      <c r="AJ52" s="7">
        <v>0</v>
      </c>
      <c r="AK52" s="27">
        <f t="shared" si="16"/>
        <v>0</v>
      </c>
      <c r="AL52" s="7">
        <v>0</v>
      </c>
      <c r="AM52" s="27">
        <f t="shared" si="17"/>
        <v>0</v>
      </c>
      <c r="AN52" s="7">
        <v>0</v>
      </c>
      <c r="AO52" s="27">
        <f t="shared" si="18"/>
        <v>0</v>
      </c>
      <c r="AP52" s="7">
        <v>0</v>
      </c>
      <c r="AQ52" s="27">
        <f t="shared" si="19"/>
        <v>0</v>
      </c>
      <c r="AR52" s="7">
        <v>0</v>
      </c>
      <c r="AS52" s="27">
        <f t="shared" si="20"/>
        <v>0</v>
      </c>
      <c r="AT52" s="7">
        <v>0</v>
      </c>
      <c r="AU52" s="27">
        <f t="shared" si="21"/>
        <v>0</v>
      </c>
      <c r="AV52" s="7">
        <v>0</v>
      </c>
      <c r="AW52" s="27">
        <f t="shared" si="22"/>
        <v>0</v>
      </c>
      <c r="AX52" s="7">
        <v>0</v>
      </c>
      <c r="AY52" s="27">
        <f t="shared" si="23"/>
        <v>0</v>
      </c>
      <c r="AZ52" s="40"/>
    </row>
    <row r="53" spans="1:52" x14ac:dyDescent="0.2">
      <c r="A53" s="21" t="s">
        <v>127</v>
      </c>
      <c r="B53" s="20">
        <v>103</v>
      </c>
      <c r="C53" s="20">
        <v>103</v>
      </c>
      <c r="D53" s="20">
        <v>200</v>
      </c>
      <c r="E53" s="15">
        <f t="shared" si="0"/>
        <v>97</v>
      </c>
      <c r="F53" s="20">
        <v>0</v>
      </c>
      <c r="G53" s="20">
        <v>0</v>
      </c>
      <c r="H53" s="20">
        <v>0</v>
      </c>
      <c r="I53" s="27">
        <f t="shared" si="2"/>
        <v>0</v>
      </c>
      <c r="J53" s="20">
        <v>0</v>
      </c>
      <c r="K53" s="27">
        <f t="shared" si="3"/>
        <v>0</v>
      </c>
      <c r="L53" s="20">
        <v>23</v>
      </c>
      <c r="M53" s="27">
        <f t="shared" si="4"/>
        <v>2231</v>
      </c>
      <c r="N53" s="20">
        <v>1</v>
      </c>
      <c r="O53" s="27">
        <f t="shared" si="5"/>
        <v>97</v>
      </c>
      <c r="P53" s="20">
        <v>1</v>
      </c>
      <c r="Q53" s="27">
        <f t="shared" si="6"/>
        <v>97</v>
      </c>
      <c r="R53" s="19">
        <v>0</v>
      </c>
      <c r="S53" s="27">
        <f t="shared" si="7"/>
        <v>0</v>
      </c>
      <c r="T53" s="19">
        <v>0</v>
      </c>
      <c r="U53" s="27">
        <f t="shared" si="8"/>
        <v>0</v>
      </c>
      <c r="V53" s="19">
        <v>0</v>
      </c>
      <c r="W53" s="27">
        <f t="shared" si="9"/>
        <v>0</v>
      </c>
      <c r="X53" s="19">
        <v>0</v>
      </c>
      <c r="Y53" s="27">
        <f t="shared" si="10"/>
        <v>0</v>
      </c>
      <c r="Z53" s="20">
        <v>0</v>
      </c>
      <c r="AA53" s="27">
        <f t="shared" si="11"/>
        <v>0</v>
      </c>
      <c r="AB53" s="20">
        <v>0</v>
      </c>
      <c r="AC53" s="27">
        <f t="shared" si="12"/>
        <v>0</v>
      </c>
      <c r="AD53" s="20">
        <v>0</v>
      </c>
      <c r="AE53" s="27">
        <f t="shared" si="13"/>
        <v>0</v>
      </c>
      <c r="AF53" s="7">
        <v>0</v>
      </c>
      <c r="AG53" s="27">
        <f t="shared" si="14"/>
        <v>0</v>
      </c>
      <c r="AH53" s="7">
        <v>0</v>
      </c>
      <c r="AI53" s="27">
        <f t="shared" si="15"/>
        <v>0</v>
      </c>
      <c r="AJ53" s="7">
        <v>0</v>
      </c>
      <c r="AK53" s="27">
        <f t="shared" si="16"/>
        <v>0</v>
      </c>
      <c r="AL53" s="7">
        <v>0</v>
      </c>
      <c r="AM53" s="27">
        <f t="shared" si="17"/>
        <v>0</v>
      </c>
      <c r="AN53" s="7">
        <v>0</v>
      </c>
      <c r="AO53" s="27">
        <f t="shared" si="18"/>
        <v>0</v>
      </c>
      <c r="AP53" s="7">
        <v>0</v>
      </c>
      <c r="AQ53" s="27">
        <f t="shared" si="19"/>
        <v>0</v>
      </c>
      <c r="AR53" s="7">
        <v>0</v>
      </c>
      <c r="AS53" s="27">
        <f t="shared" si="20"/>
        <v>0</v>
      </c>
      <c r="AT53" s="7">
        <v>0</v>
      </c>
      <c r="AU53" s="27">
        <f t="shared" si="21"/>
        <v>0</v>
      </c>
      <c r="AV53" s="7">
        <v>0</v>
      </c>
      <c r="AW53" s="27">
        <f t="shared" si="22"/>
        <v>0</v>
      </c>
      <c r="AX53" s="7">
        <v>0</v>
      </c>
      <c r="AY53" s="27">
        <f t="shared" si="23"/>
        <v>0</v>
      </c>
      <c r="AZ53" s="40"/>
    </row>
    <row r="54" spans="1:52" x14ac:dyDescent="0.2">
      <c r="A54" s="21" t="s">
        <v>128</v>
      </c>
      <c r="B54" s="20">
        <v>352</v>
      </c>
      <c r="C54" s="20">
        <v>352</v>
      </c>
      <c r="D54" s="20">
        <v>700</v>
      </c>
      <c r="E54" s="15">
        <f t="shared" si="0"/>
        <v>348</v>
      </c>
      <c r="F54" s="20">
        <v>0</v>
      </c>
      <c r="G54" s="20">
        <v>0</v>
      </c>
      <c r="H54" s="20">
        <v>0</v>
      </c>
      <c r="I54" s="27">
        <f t="shared" si="2"/>
        <v>0</v>
      </c>
      <c r="J54" s="20">
        <v>1</v>
      </c>
      <c r="K54" s="27">
        <f t="shared" si="3"/>
        <v>348</v>
      </c>
      <c r="L54" s="20">
        <v>10</v>
      </c>
      <c r="M54" s="27">
        <f t="shared" si="4"/>
        <v>3480</v>
      </c>
      <c r="N54" s="20">
        <v>0</v>
      </c>
      <c r="O54" s="27">
        <f t="shared" si="5"/>
        <v>0</v>
      </c>
      <c r="P54" s="20">
        <v>0</v>
      </c>
      <c r="Q54" s="27">
        <f t="shared" si="6"/>
        <v>0</v>
      </c>
      <c r="R54" s="19">
        <v>0</v>
      </c>
      <c r="S54" s="27">
        <f t="shared" si="7"/>
        <v>0</v>
      </c>
      <c r="T54" s="19">
        <v>0</v>
      </c>
      <c r="U54" s="27">
        <f t="shared" si="8"/>
        <v>0</v>
      </c>
      <c r="V54" s="19">
        <v>0</v>
      </c>
      <c r="W54" s="27">
        <f t="shared" si="9"/>
        <v>0</v>
      </c>
      <c r="X54" s="19">
        <v>0</v>
      </c>
      <c r="Y54" s="27">
        <f t="shared" si="10"/>
        <v>0</v>
      </c>
      <c r="Z54" s="20">
        <v>0</v>
      </c>
      <c r="AA54" s="27">
        <f t="shared" si="11"/>
        <v>0</v>
      </c>
      <c r="AB54" s="20">
        <v>0</v>
      </c>
      <c r="AC54" s="27">
        <f t="shared" si="12"/>
        <v>0</v>
      </c>
      <c r="AD54" s="20">
        <v>0</v>
      </c>
      <c r="AE54" s="27">
        <f t="shared" si="13"/>
        <v>0</v>
      </c>
      <c r="AF54" s="7">
        <v>0</v>
      </c>
      <c r="AG54" s="27">
        <f t="shared" si="14"/>
        <v>0</v>
      </c>
      <c r="AH54" s="7">
        <v>0</v>
      </c>
      <c r="AI54" s="27">
        <f t="shared" si="15"/>
        <v>0</v>
      </c>
      <c r="AJ54" s="7">
        <v>0</v>
      </c>
      <c r="AK54" s="27">
        <f t="shared" si="16"/>
        <v>0</v>
      </c>
      <c r="AL54" s="7">
        <v>0</v>
      </c>
      <c r="AM54" s="27">
        <f t="shared" si="17"/>
        <v>0</v>
      </c>
      <c r="AN54" s="7">
        <v>0</v>
      </c>
      <c r="AO54" s="27">
        <f t="shared" si="18"/>
        <v>0</v>
      </c>
      <c r="AP54" s="7">
        <v>0</v>
      </c>
      <c r="AQ54" s="27">
        <f t="shared" si="19"/>
        <v>0</v>
      </c>
      <c r="AR54" s="7">
        <v>0</v>
      </c>
      <c r="AS54" s="27">
        <f t="shared" si="20"/>
        <v>0</v>
      </c>
      <c r="AT54" s="7">
        <v>0</v>
      </c>
      <c r="AU54" s="27">
        <f t="shared" si="21"/>
        <v>0</v>
      </c>
      <c r="AV54" s="7">
        <v>0</v>
      </c>
      <c r="AW54" s="27">
        <f t="shared" si="22"/>
        <v>0</v>
      </c>
      <c r="AX54" s="7">
        <v>0</v>
      </c>
      <c r="AY54" s="27">
        <f t="shared" si="23"/>
        <v>0</v>
      </c>
      <c r="AZ54" s="40"/>
    </row>
    <row r="55" spans="1:52" x14ac:dyDescent="0.2">
      <c r="A55" s="21" t="s">
        <v>129</v>
      </c>
      <c r="B55" s="20">
        <v>60000</v>
      </c>
      <c r="C55" s="20">
        <v>60000</v>
      </c>
      <c r="D55" s="20">
        <v>100000</v>
      </c>
      <c r="E55" s="15">
        <f t="shared" si="0"/>
        <v>40000</v>
      </c>
      <c r="F55" s="20">
        <v>0</v>
      </c>
      <c r="G55" s="20">
        <v>0</v>
      </c>
      <c r="H55" s="20">
        <v>0</v>
      </c>
      <c r="I55" s="27">
        <f t="shared" si="2"/>
        <v>0</v>
      </c>
      <c r="J55" s="20">
        <v>0</v>
      </c>
      <c r="K55" s="27">
        <f t="shared" si="3"/>
        <v>0</v>
      </c>
      <c r="L55" s="20">
        <v>1</v>
      </c>
      <c r="M55" s="27">
        <f t="shared" si="4"/>
        <v>40000</v>
      </c>
      <c r="N55" s="20">
        <v>0</v>
      </c>
      <c r="O55" s="27">
        <f t="shared" si="5"/>
        <v>0</v>
      </c>
      <c r="P55" s="20">
        <v>1</v>
      </c>
      <c r="Q55" s="27">
        <f t="shared" si="6"/>
        <v>40000</v>
      </c>
      <c r="R55" s="19">
        <v>0</v>
      </c>
      <c r="S55" s="27">
        <f t="shared" si="7"/>
        <v>0</v>
      </c>
      <c r="T55" s="19">
        <v>0</v>
      </c>
      <c r="U55" s="27">
        <f t="shared" si="8"/>
        <v>0</v>
      </c>
      <c r="V55" s="19">
        <v>1</v>
      </c>
      <c r="W55" s="27">
        <f t="shared" si="9"/>
        <v>40000</v>
      </c>
      <c r="X55" s="19">
        <v>0</v>
      </c>
      <c r="Y55" s="27">
        <f t="shared" si="10"/>
        <v>0</v>
      </c>
      <c r="Z55" s="20">
        <v>0</v>
      </c>
      <c r="AA55" s="27">
        <f t="shared" si="11"/>
        <v>0</v>
      </c>
      <c r="AB55" s="20">
        <v>0</v>
      </c>
      <c r="AC55" s="27">
        <f t="shared" si="12"/>
        <v>0</v>
      </c>
      <c r="AD55" s="20">
        <v>0</v>
      </c>
      <c r="AE55" s="27">
        <f t="shared" si="13"/>
        <v>0</v>
      </c>
      <c r="AF55" s="7">
        <v>0</v>
      </c>
      <c r="AG55" s="27">
        <f t="shared" si="14"/>
        <v>0</v>
      </c>
      <c r="AH55" s="7">
        <v>0</v>
      </c>
      <c r="AI55" s="27">
        <f t="shared" si="15"/>
        <v>0</v>
      </c>
      <c r="AJ55" s="7">
        <v>0</v>
      </c>
      <c r="AK55" s="27">
        <f t="shared" si="16"/>
        <v>0</v>
      </c>
      <c r="AL55" s="7">
        <v>0</v>
      </c>
      <c r="AM55" s="27">
        <f t="shared" si="17"/>
        <v>0</v>
      </c>
      <c r="AN55" s="7">
        <v>0</v>
      </c>
      <c r="AO55" s="27">
        <f t="shared" si="18"/>
        <v>0</v>
      </c>
      <c r="AP55" s="7">
        <v>0</v>
      </c>
      <c r="AQ55" s="27">
        <f t="shared" si="19"/>
        <v>0</v>
      </c>
      <c r="AR55" s="7">
        <v>0</v>
      </c>
      <c r="AS55" s="27">
        <f t="shared" si="20"/>
        <v>0</v>
      </c>
      <c r="AT55" s="7">
        <v>0</v>
      </c>
      <c r="AU55" s="27">
        <f t="shared" si="21"/>
        <v>0</v>
      </c>
      <c r="AV55" s="7">
        <v>0</v>
      </c>
      <c r="AW55" s="27">
        <f t="shared" si="22"/>
        <v>0</v>
      </c>
      <c r="AX55" s="7">
        <v>0</v>
      </c>
      <c r="AY55" s="27">
        <f t="shared" si="23"/>
        <v>0</v>
      </c>
      <c r="AZ55" s="40"/>
    </row>
    <row r="56" spans="1:52" x14ac:dyDescent="0.2">
      <c r="G56" s="40">
        <f>SUM(G2:G51)</f>
        <v>79366</v>
      </c>
      <c r="I56" s="27">
        <f>SUM(I3:I55)</f>
        <v>203342</v>
      </c>
      <c r="K56" s="40">
        <f>SUM(K3:K55)</f>
        <v>187281</v>
      </c>
      <c r="M56" s="27">
        <f>SUM(M2:M55)</f>
        <v>573502</v>
      </c>
      <c r="O56" s="27">
        <f>SUM(O2:O55)</f>
        <v>839727</v>
      </c>
      <c r="P56" s="40"/>
      <c r="Q56" s="40">
        <f>SUM(Q2:Q55)</f>
        <v>188215</v>
      </c>
      <c r="R56" s="40"/>
      <c r="S56" s="27">
        <f>SUM(S2:S55)</f>
        <v>70055</v>
      </c>
      <c r="T56" s="40"/>
      <c r="U56" s="27">
        <f>SUM(U2:U55)</f>
        <v>152070</v>
      </c>
      <c r="V56" s="40"/>
      <c r="W56" s="27">
        <f>SUM(W2:W55)</f>
        <v>237305</v>
      </c>
      <c r="Y56" s="40">
        <f>SUM(Y2:Y55)</f>
        <v>351378</v>
      </c>
      <c r="Z56" s="40"/>
      <c r="AA56" s="40">
        <f>SUM(AA2:AA55)</f>
        <v>334515</v>
      </c>
      <c r="AB56" s="40"/>
      <c r="AC56" s="40">
        <f>SUM(AC2:AC55)</f>
        <v>110725</v>
      </c>
      <c r="AD56" s="40"/>
      <c r="AE56" s="40">
        <f>SUM(AE2:AE55)</f>
        <v>293166</v>
      </c>
      <c r="AF56" s="40"/>
      <c r="AG56" s="40">
        <f>SUM(AG2:AG55)</f>
        <v>73596</v>
      </c>
      <c r="AH56" s="40"/>
      <c r="AI56" s="40">
        <f>SUM(AI2:AI55)</f>
        <v>241279</v>
      </c>
      <c r="AJ56" s="40"/>
      <c r="AK56" s="40">
        <f>SUM(AK2:AK55)</f>
        <v>183262</v>
      </c>
      <c r="AL56" s="40"/>
      <c r="AM56" s="27">
        <f>SUM(AM2:AM55)</f>
        <v>478587</v>
      </c>
      <c r="AN56" s="40"/>
      <c r="AO56" s="27">
        <f>SUM(AO2:AO55)</f>
        <v>285965</v>
      </c>
      <c r="AP56" s="40"/>
      <c r="AQ56" s="27">
        <f>SUM(AQ2:AQ55)</f>
        <v>178453</v>
      </c>
      <c r="AR56" s="40"/>
      <c r="AS56" s="27">
        <f>SUM(AS2:AS55)</f>
        <v>94018</v>
      </c>
      <c r="AT56" s="40"/>
      <c r="AU56" s="27">
        <f>SUM(AU2:AU55)</f>
        <v>110569</v>
      </c>
      <c r="AV56" s="40"/>
      <c r="AW56" s="27">
        <f>SUM(AW2:AW55)</f>
        <v>15479</v>
      </c>
      <c r="AX56" s="40"/>
      <c r="AY56" s="40">
        <f>SUM(AY2:AY55)</f>
        <v>172730</v>
      </c>
      <c r="AZ56" s="40"/>
    </row>
    <row r="57" spans="1:52" x14ac:dyDescent="0.2">
      <c r="M57" s="40"/>
      <c r="O57" s="40"/>
      <c r="P57" s="40"/>
      <c r="Q57" s="40"/>
      <c r="R57" s="40"/>
      <c r="S57" s="40"/>
      <c r="T57" s="40"/>
      <c r="U57" s="40"/>
      <c r="V57" s="40"/>
      <c r="W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</row>
  </sheetData>
  <printOptions horizontalCentered="1" gridLines="1"/>
  <pageMargins left="0.25" right="0.25" top="0.75" bottom="0.75" header="0" footer="0"/>
  <pageSetup fitToHeight="0" pageOrder="overThenDown" orientation="portrait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55"/>
  <sheetViews>
    <sheetView topLeftCell="A28" workbookViewId="0">
      <selection activeCell="A59" sqref="A59"/>
    </sheetView>
  </sheetViews>
  <sheetFormatPr baseColWidth="10" defaultColWidth="12.5703125" defaultRowHeight="15.75" customHeight="1" x14ac:dyDescent="0.2"/>
  <cols>
    <col min="1" max="1" width="31.5703125" customWidth="1"/>
  </cols>
  <sheetData>
    <row r="1" spans="1:2" x14ac:dyDescent="0.2">
      <c r="A1" s="5" t="s">
        <v>1</v>
      </c>
      <c r="B1" s="5" t="s">
        <v>204</v>
      </c>
    </row>
    <row r="2" spans="1:2" x14ac:dyDescent="0.2">
      <c r="A2" s="5" t="s">
        <v>77</v>
      </c>
      <c r="B2" s="15">
        <v>3000</v>
      </c>
    </row>
    <row r="3" spans="1:2" x14ac:dyDescent="0.2">
      <c r="A3" s="13" t="s">
        <v>78</v>
      </c>
      <c r="B3" s="15">
        <v>3500</v>
      </c>
    </row>
    <row r="4" spans="1:2" x14ac:dyDescent="0.2">
      <c r="A4" s="13" t="s">
        <v>79</v>
      </c>
      <c r="B4" s="26">
        <v>5000</v>
      </c>
    </row>
    <row r="5" spans="1:2" x14ac:dyDescent="0.2">
      <c r="A5" s="5" t="s">
        <v>80</v>
      </c>
      <c r="B5" s="15">
        <v>12000</v>
      </c>
    </row>
    <row r="6" spans="1:2" x14ac:dyDescent="0.2">
      <c r="A6" s="13" t="s">
        <v>81</v>
      </c>
      <c r="B6" s="26">
        <v>3000</v>
      </c>
    </row>
    <row r="7" spans="1:2" x14ac:dyDescent="0.2">
      <c r="A7" s="13" t="s">
        <v>82</v>
      </c>
      <c r="B7" s="26">
        <v>3000</v>
      </c>
    </row>
    <row r="8" spans="1:2" x14ac:dyDescent="0.2">
      <c r="A8" s="13" t="s">
        <v>83</v>
      </c>
      <c r="B8" s="26">
        <v>3000</v>
      </c>
    </row>
    <row r="9" spans="1:2" x14ac:dyDescent="0.2">
      <c r="A9" s="16" t="s">
        <v>84</v>
      </c>
      <c r="B9" s="15">
        <v>4000</v>
      </c>
    </row>
    <row r="10" spans="1:2" x14ac:dyDescent="0.2">
      <c r="A10" s="13" t="s">
        <v>85</v>
      </c>
      <c r="B10" s="26">
        <v>3500</v>
      </c>
    </row>
    <row r="11" spans="1:2" x14ac:dyDescent="0.2">
      <c r="A11" s="13" t="s">
        <v>86</v>
      </c>
      <c r="B11" s="26">
        <v>10000</v>
      </c>
    </row>
    <row r="12" spans="1:2" x14ac:dyDescent="0.2">
      <c r="A12" s="13" t="s">
        <v>87</v>
      </c>
      <c r="B12" s="26">
        <v>10000</v>
      </c>
    </row>
    <row r="13" spans="1:2" x14ac:dyDescent="0.2">
      <c r="A13" s="13" t="s">
        <v>88</v>
      </c>
      <c r="B13" s="26">
        <v>5000</v>
      </c>
    </row>
    <row r="14" spans="1:2" x14ac:dyDescent="0.2">
      <c r="A14" s="13" t="s">
        <v>89</v>
      </c>
      <c r="B14" s="26">
        <v>5000</v>
      </c>
    </row>
    <row r="15" spans="1:2" x14ac:dyDescent="0.2">
      <c r="A15" s="13" t="s">
        <v>90</v>
      </c>
      <c r="B15" s="26">
        <v>5000</v>
      </c>
    </row>
    <row r="16" spans="1:2" x14ac:dyDescent="0.2">
      <c r="A16" s="13" t="s">
        <v>91</v>
      </c>
      <c r="B16" s="26">
        <v>7000</v>
      </c>
    </row>
    <row r="17" spans="1:2" x14ac:dyDescent="0.2">
      <c r="A17" s="13" t="s">
        <v>252</v>
      </c>
      <c r="B17" s="26">
        <v>6000</v>
      </c>
    </row>
    <row r="18" spans="1:2" x14ac:dyDescent="0.2">
      <c r="A18" s="13" t="s">
        <v>253</v>
      </c>
      <c r="B18" s="26">
        <v>4000</v>
      </c>
    </row>
    <row r="19" spans="1:2" x14ac:dyDescent="0.2">
      <c r="A19" s="13" t="s">
        <v>254</v>
      </c>
      <c r="B19" s="26">
        <v>6000</v>
      </c>
    </row>
    <row r="20" spans="1:2" x14ac:dyDescent="0.2">
      <c r="A20" s="13" t="s">
        <v>255</v>
      </c>
      <c r="B20" s="26">
        <v>3000</v>
      </c>
    </row>
    <row r="21" spans="1:2" x14ac:dyDescent="0.2">
      <c r="A21" s="13" t="s">
        <v>256</v>
      </c>
      <c r="B21" s="26">
        <v>4000</v>
      </c>
    </row>
    <row r="22" spans="1:2" x14ac:dyDescent="0.2">
      <c r="A22" s="13" t="s">
        <v>257</v>
      </c>
      <c r="B22" s="26">
        <v>4000</v>
      </c>
    </row>
    <row r="23" spans="1:2" x14ac:dyDescent="0.2">
      <c r="A23" s="13" t="s">
        <v>258</v>
      </c>
      <c r="B23" s="26">
        <v>5000</v>
      </c>
    </row>
    <row r="24" spans="1:2" x14ac:dyDescent="0.2">
      <c r="A24" s="5" t="s">
        <v>99</v>
      </c>
      <c r="B24" s="26">
        <v>5000</v>
      </c>
    </row>
    <row r="25" spans="1:2" x14ac:dyDescent="0.2">
      <c r="A25" s="5" t="s">
        <v>100</v>
      </c>
      <c r="B25" s="26">
        <v>3400</v>
      </c>
    </row>
    <row r="26" spans="1:2" x14ac:dyDescent="0.2">
      <c r="A26" s="5" t="s">
        <v>101</v>
      </c>
      <c r="B26" s="26">
        <v>3400</v>
      </c>
    </row>
    <row r="27" spans="1:2" x14ac:dyDescent="0.2">
      <c r="A27" s="5" t="s">
        <v>102</v>
      </c>
      <c r="B27" s="26">
        <v>3400</v>
      </c>
    </row>
    <row r="28" spans="1:2" x14ac:dyDescent="0.2">
      <c r="A28" s="5" t="s">
        <v>103</v>
      </c>
      <c r="B28" s="26">
        <v>3400</v>
      </c>
    </row>
    <row r="29" spans="1:2" x14ac:dyDescent="0.2">
      <c r="A29" s="5" t="s">
        <v>104</v>
      </c>
      <c r="B29" s="26">
        <v>4000</v>
      </c>
    </row>
    <row r="30" spans="1:2" x14ac:dyDescent="0.2">
      <c r="A30" s="5" t="s">
        <v>105</v>
      </c>
      <c r="B30" s="26">
        <v>40000</v>
      </c>
    </row>
    <row r="31" spans="1:2" x14ac:dyDescent="0.2">
      <c r="A31" s="5" t="s">
        <v>106</v>
      </c>
      <c r="B31" s="26">
        <v>80000</v>
      </c>
    </row>
    <row r="32" spans="1:2" x14ac:dyDescent="0.2">
      <c r="A32" s="5" t="s">
        <v>107</v>
      </c>
      <c r="B32" s="26">
        <v>40000</v>
      </c>
    </row>
    <row r="33" spans="1:2" x14ac:dyDescent="0.2">
      <c r="A33" s="5" t="s">
        <v>108</v>
      </c>
      <c r="B33" s="26">
        <v>85000</v>
      </c>
    </row>
    <row r="34" spans="1:2" x14ac:dyDescent="0.2">
      <c r="A34" s="13" t="s">
        <v>109</v>
      </c>
      <c r="B34" s="26">
        <v>50000</v>
      </c>
    </row>
    <row r="35" spans="1:2" x14ac:dyDescent="0.2">
      <c r="A35" s="13" t="s">
        <v>110</v>
      </c>
      <c r="B35" s="26">
        <v>45000</v>
      </c>
    </row>
    <row r="36" spans="1:2" x14ac:dyDescent="0.2">
      <c r="A36" s="13" t="s">
        <v>111</v>
      </c>
      <c r="B36" s="26">
        <v>85000</v>
      </c>
    </row>
    <row r="37" spans="1:2" x14ac:dyDescent="0.2">
      <c r="A37" s="13" t="s">
        <v>112</v>
      </c>
      <c r="B37" s="15"/>
    </row>
    <row r="38" spans="1:2" x14ac:dyDescent="0.2">
      <c r="A38" s="13" t="s">
        <v>113</v>
      </c>
      <c r="B38" s="15"/>
    </row>
    <row r="39" spans="1:2" x14ac:dyDescent="0.2">
      <c r="A39" s="13" t="s">
        <v>114</v>
      </c>
      <c r="B39" s="15"/>
    </row>
    <row r="40" spans="1:2" x14ac:dyDescent="0.2">
      <c r="A40" s="5" t="s">
        <v>115</v>
      </c>
      <c r="B40" s="26">
        <v>10000</v>
      </c>
    </row>
    <row r="41" spans="1:2" x14ac:dyDescent="0.2">
      <c r="A41" s="5" t="s">
        <v>116</v>
      </c>
      <c r="B41" s="26">
        <v>1000</v>
      </c>
    </row>
    <row r="42" spans="1:2" x14ac:dyDescent="0.2">
      <c r="A42" s="5" t="s">
        <v>117</v>
      </c>
      <c r="B42" s="26">
        <v>10000</v>
      </c>
    </row>
    <row r="43" spans="1:2" x14ac:dyDescent="0.2">
      <c r="A43" s="5" t="s">
        <v>118</v>
      </c>
      <c r="B43" s="20">
        <v>1000</v>
      </c>
    </row>
    <row r="44" spans="1:2" x14ac:dyDescent="0.2">
      <c r="A44" s="13" t="s">
        <v>119</v>
      </c>
      <c r="B44" s="20">
        <v>10000</v>
      </c>
    </row>
    <row r="45" spans="1:2" x14ac:dyDescent="0.2">
      <c r="A45" s="13" t="s">
        <v>120</v>
      </c>
      <c r="B45" s="20">
        <v>1000</v>
      </c>
    </row>
    <row r="46" spans="1:2" x14ac:dyDescent="0.2">
      <c r="A46" s="13" t="s">
        <v>121</v>
      </c>
      <c r="B46" s="20">
        <v>10000</v>
      </c>
    </row>
    <row r="47" spans="1:2" x14ac:dyDescent="0.2">
      <c r="A47" s="13" t="s">
        <v>122</v>
      </c>
      <c r="B47" s="20">
        <v>1000</v>
      </c>
    </row>
    <row r="48" spans="1:2" x14ac:dyDescent="0.2">
      <c r="A48" s="5" t="s">
        <v>197</v>
      </c>
      <c r="B48" s="20">
        <v>4000</v>
      </c>
    </row>
    <row r="49" spans="1:2" x14ac:dyDescent="0.2">
      <c r="A49" s="5" t="s">
        <v>123</v>
      </c>
      <c r="B49" s="20">
        <v>4000</v>
      </c>
    </row>
    <row r="50" spans="1:2" x14ac:dyDescent="0.2">
      <c r="A50" s="5" t="s">
        <v>124</v>
      </c>
      <c r="B50" s="20">
        <v>4000</v>
      </c>
    </row>
    <row r="51" spans="1:2" x14ac:dyDescent="0.2">
      <c r="A51" s="5" t="s">
        <v>125</v>
      </c>
      <c r="B51" s="20">
        <v>4000</v>
      </c>
    </row>
    <row r="52" spans="1:2" x14ac:dyDescent="0.2">
      <c r="A52" s="21" t="s">
        <v>126</v>
      </c>
      <c r="B52" s="20">
        <v>2500</v>
      </c>
    </row>
    <row r="53" spans="1:2" x14ac:dyDescent="0.2">
      <c r="A53" s="21" t="s">
        <v>127</v>
      </c>
      <c r="B53" s="20">
        <v>200</v>
      </c>
    </row>
    <row r="54" spans="1:2" x14ac:dyDescent="0.2">
      <c r="A54" s="21" t="s">
        <v>128</v>
      </c>
      <c r="B54" s="20">
        <v>700</v>
      </c>
    </row>
    <row r="55" spans="1:2" x14ac:dyDescent="0.2">
      <c r="A55" s="21" t="s">
        <v>129</v>
      </c>
      <c r="B55" s="20">
        <v>100000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E59"/>
  <sheetViews>
    <sheetView workbookViewId="0"/>
  </sheetViews>
  <sheetFormatPr baseColWidth="10" defaultColWidth="12.5703125" defaultRowHeight="15.75" customHeight="1" x14ac:dyDescent="0.2"/>
  <cols>
    <col min="1" max="1" width="36" customWidth="1"/>
    <col min="6" max="6" width="13.42578125" hidden="1" customWidth="1"/>
    <col min="7" max="7" width="16.85546875" hidden="1" customWidth="1"/>
    <col min="8" max="8" width="13.42578125" hidden="1" customWidth="1"/>
    <col min="9" max="9" width="16.85546875" hidden="1" customWidth="1"/>
    <col min="10" max="10" width="13.42578125" hidden="1" customWidth="1"/>
    <col min="11" max="12" width="16.85546875" hidden="1" customWidth="1"/>
    <col min="13" max="53" width="12.5703125" hidden="1"/>
  </cols>
  <sheetData>
    <row r="1" spans="1:57" x14ac:dyDescent="0.2">
      <c r="A1" s="5" t="s">
        <v>1</v>
      </c>
      <c r="B1" s="5" t="s">
        <v>202</v>
      </c>
      <c r="C1" s="5" t="s">
        <v>203</v>
      </c>
      <c r="D1" s="5" t="s">
        <v>204</v>
      </c>
      <c r="E1" s="5" t="s">
        <v>205</v>
      </c>
      <c r="F1" s="13" t="s">
        <v>259</v>
      </c>
      <c r="G1" s="13" t="s">
        <v>260</v>
      </c>
      <c r="H1" s="13" t="s">
        <v>261</v>
      </c>
      <c r="I1" s="13" t="s">
        <v>262</v>
      </c>
      <c r="J1" s="13" t="s">
        <v>263</v>
      </c>
      <c r="K1" s="13" t="s">
        <v>264</v>
      </c>
      <c r="L1" s="13" t="s">
        <v>265</v>
      </c>
      <c r="M1" s="13" t="s">
        <v>266</v>
      </c>
      <c r="N1" s="13" t="s">
        <v>267</v>
      </c>
      <c r="O1" s="13" t="s">
        <v>268</v>
      </c>
      <c r="P1" s="13" t="s">
        <v>269</v>
      </c>
      <c r="Q1" s="13" t="s">
        <v>270</v>
      </c>
      <c r="R1" s="13" t="s">
        <v>271</v>
      </c>
      <c r="S1" s="13" t="s">
        <v>272</v>
      </c>
      <c r="T1" s="13" t="s">
        <v>273</v>
      </c>
      <c r="U1" s="13" t="s">
        <v>274</v>
      </c>
      <c r="V1" s="13" t="s">
        <v>275</v>
      </c>
      <c r="W1" s="13" t="s">
        <v>276</v>
      </c>
      <c r="X1" s="13" t="s">
        <v>277</v>
      </c>
      <c r="Y1" s="13" t="s">
        <v>278</v>
      </c>
      <c r="Z1" s="13" t="s">
        <v>279</v>
      </c>
      <c r="AA1" s="13" t="s">
        <v>280</v>
      </c>
      <c r="AB1" s="13" t="s">
        <v>281</v>
      </c>
      <c r="AC1" s="13" t="s">
        <v>282</v>
      </c>
      <c r="AD1" s="13" t="s">
        <v>283</v>
      </c>
      <c r="AE1" s="13" t="s">
        <v>284</v>
      </c>
      <c r="AF1" s="13" t="s">
        <v>285</v>
      </c>
      <c r="AG1" s="13" t="s">
        <v>286</v>
      </c>
      <c r="AH1" s="13" t="s">
        <v>287</v>
      </c>
      <c r="AI1" s="13" t="s">
        <v>288</v>
      </c>
      <c r="AJ1" s="13" t="s">
        <v>289</v>
      </c>
      <c r="AK1" s="13" t="s">
        <v>290</v>
      </c>
      <c r="AL1" s="13" t="s">
        <v>291</v>
      </c>
      <c r="AM1" s="13" t="s">
        <v>292</v>
      </c>
      <c r="AN1" s="13" t="s">
        <v>293</v>
      </c>
      <c r="AO1" s="13" t="s">
        <v>294</v>
      </c>
      <c r="AP1" s="13" t="s">
        <v>295</v>
      </c>
      <c r="AQ1" s="13" t="s">
        <v>296</v>
      </c>
      <c r="AR1" s="13" t="s">
        <v>297</v>
      </c>
      <c r="AS1" s="13" t="s">
        <v>298</v>
      </c>
      <c r="AT1" s="13" t="s">
        <v>299</v>
      </c>
      <c r="AU1" s="13" t="s">
        <v>300</v>
      </c>
      <c r="AV1" s="13" t="s">
        <v>301</v>
      </c>
      <c r="AW1" s="13" t="s">
        <v>302</v>
      </c>
      <c r="AX1" s="13" t="s">
        <v>303</v>
      </c>
      <c r="AY1" s="13" t="s">
        <v>304</v>
      </c>
      <c r="AZ1" s="13" t="s">
        <v>305</v>
      </c>
      <c r="BA1" s="13" t="s">
        <v>306</v>
      </c>
      <c r="BB1" s="13" t="s">
        <v>307</v>
      </c>
      <c r="BC1" s="13" t="s">
        <v>308</v>
      </c>
      <c r="BD1" s="13" t="s">
        <v>309</v>
      </c>
      <c r="BE1" s="13" t="s">
        <v>310</v>
      </c>
    </row>
    <row r="2" spans="1:57" x14ac:dyDescent="0.2">
      <c r="A2" s="5" t="s">
        <v>77</v>
      </c>
      <c r="B2" s="26">
        <v>24000</v>
      </c>
      <c r="C2" s="26">
        <v>1000</v>
      </c>
      <c r="D2" s="15">
        <v>3000</v>
      </c>
      <c r="E2" s="15">
        <f t="shared" ref="E2:E55" si="0">D2-C2</f>
        <v>2000</v>
      </c>
      <c r="F2" s="7">
        <v>3</v>
      </c>
      <c r="G2" s="27">
        <f t="shared" ref="G2:G55" si="1">F2*E2</f>
        <v>6000</v>
      </c>
      <c r="H2" s="7">
        <v>1</v>
      </c>
      <c r="I2" s="27">
        <f t="shared" ref="I2:I55" si="2">H2*E2</f>
        <v>2000</v>
      </c>
      <c r="J2" s="7">
        <v>0</v>
      </c>
      <c r="K2" s="27">
        <f t="shared" ref="K2:K55" si="3">J2*E2</f>
        <v>0</v>
      </c>
      <c r="L2" s="10">
        <v>1</v>
      </c>
      <c r="M2" s="15">
        <f t="shared" ref="M2:M55" si="4">L2*E2</f>
        <v>2000</v>
      </c>
      <c r="N2" s="9">
        <v>5</v>
      </c>
      <c r="O2" s="15">
        <f t="shared" ref="O2:O55" si="5">N2*E2</f>
        <v>10000</v>
      </c>
      <c r="P2" s="9">
        <v>0</v>
      </c>
      <c r="Q2" s="15">
        <f t="shared" ref="Q2:Q55" si="6">P2*E2</f>
        <v>0</v>
      </c>
      <c r="R2" s="9">
        <v>5</v>
      </c>
      <c r="S2" s="15">
        <f t="shared" ref="S2:S55" si="7">R2*E2</f>
        <v>10000</v>
      </c>
      <c r="T2" s="9">
        <v>0</v>
      </c>
      <c r="U2" s="15">
        <f t="shared" ref="U2:U55" si="8">T2*E2</f>
        <v>0</v>
      </c>
      <c r="V2" s="9">
        <v>0</v>
      </c>
      <c r="W2" s="15">
        <f t="shared" ref="W2:W55" si="9">V2*E2</f>
        <v>0</v>
      </c>
      <c r="X2" s="9">
        <v>0</v>
      </c>
      <c r="Y2" s="15">
        <f t="shared" ref="Y2:Y55" si="10">X2*E2</f>
        <v>0</v>
      </c>
      <c r="Z2" s="9">
        <v>0</v>
      </c>
      <c r="AA2" s="15">
        <f t="shared" ref="AA2:AA55" si="11">Z2*E2</f>
        <v>0</v>
      </c>
      <c r="AB2" s="9">
        <v>0</v>
      </c>
      <c r="AC2" s="15">
        <f t="shared" ref="AC2:AC55" si="12">AB2*E2</f>
        <v>0</v>
      </c>
      <c r="AD2" s="7">
        <v>1</v>
      </c>
      <c r="AE2" s="15">
        <f t="shared" ref="AE2:AE55" si="13">AD2*E2</f>
        <v>2000</v>
      </c>
      <c r="AF2" s="7">
        <v>5</v>
      </c>
      <c r="AG2" s="15">
        <f t="shared" ref="AG2:AG55" si="14">AF2*E2</f>
        <v>10000</v>
      </c>
      <c r="AH2" s="7">
        <v>0</v>
      </c>
      <c r="AI2" s="15">
        <f t="shared" ref="AI2:AI55" si="15">AH2*E2</f>
        <v>0</v>
      </c>
      <c r="AJ2" s="7">
        <v>0</v>
      </c>
      <c r="AK2" s="15">
        <f t="shared" ref="AK2:AK55" si="16">AJ2*E2</f>
        <v>0</v>
      </c>
      <c r="AL2" s="7">
        <v>1</v>
      </c>
      <c r="AM2" s="15">
        <f t="shared" ref="AM2:AM55" si="17">AL2*E2</f>
        <v>2000</v>
      </c>
      <c r="AN2" s="7">
        <v>2</v>
      </c>
      <c r="AO2" s="15">
        <f t="shared" ref="AO2:AO55" si="18">AN2*E2</f>
        <v>4000</v>
      </c>
      <c r="AP2" s="7">
        <v>1</v>
      </c>
      <c r="AQ2" s="15">
        <f t="shared" ref="AQ2:AQ55" si="19">AP2*E2</f>
        <v>2000</v>
      </c>
      <c r="AR2" s="7">
        <v>0</v>
      </c>
      <c r="AS2" s="15">
        <f t="shared" ref="AS2:AS55" si="20">AR2*E2</f>
        <v>0</v>
      </c>
      <c r="AT2" s="7">
        <v>0</v>
      </c>
      <c r="AU2" s="15">
        <f t="shared" ref="AU2:AU55" si="21">AT2*E2</f>
        <v>0</v>
      </c>
      <c r="AV2" s="7">
        <v>0</v>
      </c>
      <c r="AW2" s="15">
        <f t="shared" ref="AW2:AW55" si="22">AV2*E2</f>
        <v>0</v>
      </c>
      <c r="AX2" s="7">
        <v>1</v>
      </c>
      <c r="AY2" s="15">
        <f t="shared" ref="AY2:AY55" si="23">AX2*E2</f>
        <v>2000</v>
      </c>
      <c r="AZ2" s="7">
        <v>0</v>
      </c>
      <c r="BA2" s="15">
        <f t="shared" ref="BA2:BA55" si="24">AZ2*E2</f>
        <v>0</v>
      </c>
      <c r="BB2" s="7">
        <v>6</v>
      </c>
      <c r="BC2" s="15">
        <f t="shared" ref="BC2:BC55" si="25">BB2*E2</f>
        <v>12000</v>
      </c>
      <c r="BD2" s="12">
        <v>1</v>
      </c>
      <c r="BE2" s="15">
        <f t="shared" ref="BE2:BE55" si="26">BD2*E2</f>
        <v>2000</v>
      </c>
    </row>
    <row r="3" spans="1:57" x14ac:dyDescent="0.2">
      <c r="A3" s="5" t="s">
        <v>78</v>
      </c>
      <c r="B3" s="26">
        <v>30000</v>
      </c>
      <c r="C3" s="26">
        <v>2500</v>
      </c>
      <c r="D3" s="15">
        <v>3500</v>
      </c>
      <c r="E3" s="15">
        <f t="shared" si="0"/>
        <v>1000</v>
      </c>
      <c r="F3" s="7">
        <v>0</v>
      </c>
      <c r="G3" s="27">
        <f t="shared" si="1"/>
        <v>0</v>
      </c>
      <c r="H3" s="7">
        <v>2</v>
      </c>
      <c r="I3" s="27">
        <f t="shared" si="2"/>
        <v>2000</v>
      </c>
      <c r="J3" s="7">
        <v>1</v>
      </c>
      <c r="K3" s="27">
        <f t="shared" si="3"/>
        <v>1000</v>
      </c>
      <c r="L3" s="10">
        <v>0</v>
      </c>
      <c r="M3" s="15">
        <f t="shared" si="4"/>
        <v>0</v>
      </c>
      <c r="N3" s="9">
        <v>1</v>
      </c>
      <c r="O3" s="15">
        <f t="shared" si="5"/>
        <v>1000</v>
      </c>
      <c r="P3" s="9">
        <v>1</v>
      </c>
      <c r="Q3" s="15">
        <f t="shared" si="6"/>
        <v>1000</v>
      </c>
      <c r="R3" s="9">
        <v>1</v>
      </c>
      <c r="S3" s="15">
        <f t="shared" si="7"/>
        <v>1000</v>
      </c>
      <c r="T3" s="9">
        <v>0</v>
      </c>
      <c r="U3" s="15">
        <f t="shared" si="8"/>
        <v>0</v>
      </c>
      <c r="V3" s="9">
        <v>0</v>
      </c>
      <c r="W3" s="15">
        <f t="shared" si="9"/>
        <v>0</v>
      </c>
      <c r="X3" s="9">
        <v>0</v>
      </c>
      <c r="Y3" s="15">
        <f t="shared" si="10"/>
        <v>0</v>
      </c>
      <c r="Z3" s="9">
        <v>0</v>
      </c>
      <c r="AA3" s="15">
        <f t="shared" si="11"/>
        <v>0</v>
      </c>
      <c r="AB3" s="9">
        <v>0</v>
      </c>
      <c r="AC3" s="15">
        <f t="shared" si="12"/>
        <v>0</v>
      </c>
      <c r="AD3" s="7">
        <v>2</v>
      </c>
      <c r="AE3" s="15">
        <f t="shared" si="13"/>
        <v>2000</v>
      </c>
      <c r="AF3" s="7">
        <v>0</v>
      </c>
      <c r="AG3" s="15">
        <f t="shared" si="14"/>
        <v>0</v>
      </c>
      <c r="AH3" s="7">
        <v>2</v>
      </c>
      <c r="AI3" s="15">
        <f t="shared" si="15"/>
        <v>2000</v>
      </c>
      <c r="AJ3" s="7">
        <v>0</v>
      </c>
      <c r="AK3" s="15">
        <f t="shared" si="16"/>
        <v>0</v>
      </c>
      <c r="AL3" s="7">
        <v>2</v>
      </c>
      <c r="AM3" s="15">
        <f t="shared" si="17"/>
        <v>2000</v>
      </c>
      <c r="AN3" s="7">
        <v>2</v>
      </c>
      <c r="AO3" s="15">
        <f t="shared" si="18"/>
        <v>2000</v>
      </c>
      <c r="AP3" s="7">
        <v>1</v>
      </c>
      <c r="AQ3" s="15">
        <f t="shared" si="19"/>
        <v>1000</v>
      </c>
      <c r="AR3" s="7">
        <v>0</v>
      </c>
      <c r="AS3" s="15">
        <f t="shared" si="20"/>
        <v>0</v>
      </c>
      <c r="AT3" s="7">
        <v>2</v>
      </c>
      <c r="AU3" s="15">
        <f t="shared" si="21"/>
        <v>2000</v>
      </c>
      <c r="AV3" s="7">
        <v>0</v>
      </c>
      <c r="AW3" s="15">
        <f t="shared" si="22"/>
        <v>0</v>
      </c>
      <c r="AX3" s="7">
        <v>0</v>
      </c>
      <c r="AY3" s="15">
        <f t="shared" si="23"/>
        <v>0</v>
      </c>
      <c r="AZ3" s="7">
        <v>1</v>
      </c>
      <c r="BA3" s="15">
        <f t="shared" si="24"/>
        <v>1000</v>
      </c>
      <c r="BB3" s="7">
        <v>1</v>
      </c>
      <c r="BC3" s="15">
        <f t="shared" si="25"/>
        <v>1000</v>
      </c>
      <c r="BD3" s="12">
        <v>1</v>
      </c>
      <c r="BE3" s="15">
        <f t="shared" si="26"/>
        <v>1000</v>
      </c>
    </row>
    <row r="4" spans="1:57" x14ac:dyDescent="0.2">
      <c r="A4" s="5" t="s">
        <v>79</v>
      </c>
      <c r="B4" s="26">
        <v>37000</v>
      </c>
      <c r="C4" s="26">
        <v>3083</v>
      </c>
      <c r="D4" s="26">
        <v>5000</v>
      </c>
      <c r="E4" s="15">
        <f t="shared" si="0"/>
        <v>1917</v>
      </c>
      <c r="F4" s="7">
        <v>0</v>
      </c>
      <c r="G4" s="27">
        <f t="shared" si="1"/>
        <v>0</v>
      </c>
      <c r="H4" s="7">
        <v>2</v>
      </c>
      <c r="I4" s="27">
        <f t="shared" si="2"/>
        <v>3834</v>
      </c>
      <c r="J4" s="7">
        <v>0</v>
      </c>
      <c r="K4" s="27">
        <f t="shared" si="3"/>
        <v>0</v>
      </c>
      <c r="L4" s="10">
        <v>2</v>
      </c>
      <c r="M4" s="15">
        <f t="shared" si="4"/>
        <v>3834</v>
      </c>
      <c r="N4" s="9">
        <v>6</v>
      </c>
      <c r="O4" s="15">
        <f t="shared" si="5"/>
        <v>11502</v>
      </c>
      <c r="P4" s="9">
        <v>0</v>
      </c>
      <c r="Q4" s="15">
        <f t="shared" si="6"/>
        <v>0</v>
      </c>
      <c r="R4" s="9">
        <v>0</v>
      </c>
      <c r="S4" s="15">
        <f t="shared" si="7"/>
        <v>0</v>
      </c>
      <c r="T4" s="9">
        <v>0</v>
      </c>
      <c r="U4" s="15">
        <f t="shared" si="8"/>
        <v>0</v>
      </c>
      <c r="V4" s="9">
        <v>0</v>
      </c>
      <c r="W4" s="15">
        <f t="shared" si="9"/>
        <v>0</v>
      </c>
      <c r="X4" s="9">
        <v>1</v>
      </c>
      <c r="Y4" s="15">
        <f t="shared" si="10"/>
        <v>1917</v>
      </c>
      <c r="Z4" s="9">
        <v>0</v>
      </c>
      <c r="AA4" s="15">
        <f t="shared" si="11"/>
        <v>0</v>
      </c>
      <c r="AB4" s="9">
        <v>0</v>
      </c>
      <c r="AC4" s="15">
        <f t="shared" si="12"/>
        <v>0</v>
      </c>
      <c r="AD4" s="7">
        <v>1</v>
      </c>
      <c r="AE4" s="15">
        <f t="shared" si="13"/>
        <v>1917</v>
      </c>
      <c r="AF4" s="7">
        <v>1</v>
      </c>
      <c r="AG4" s="15">
        <f t="shared" si="14"/>
        <v>1917</v>
      </c>
      <c r="AH4" s="7">
        <v>2</v>
      </c>
      <c r="AI4" s="15">
        <f t="shared" si="15"/>
        <v>3834</v>
      </c>
      <c r="AJ4" s="7">
        <v>0</v>
      </c>
      <c r="AK4" s="15">
        <f t="shared" si="16"/>
        <v>0</v>
      </c>
      <c r="AL4" s="7">
        <v>0</v>
      </c>
      <c r="AM4" s="15">
        <f t="shared" si="17"/>
        <v>0</v>
      </c>
      <c r="AN4" s="7">
        <v>0</v>
      </c>
      <c r="AO4" s="15">
        <f t="shared" si="18"/>
        <v>0</v>
      </c>
      <c r="AP4" s="7">
        <v>1</v>
      </c>
      <c r="AQ4" s="15">
        <f t="shared" si="19"/>
        <v>1917</v>
      </c>
      <c r="AR4" s="7">
        <v>1</v>
      </c>
      <c r="AS4" s="15">
        <f t="shared" si="20"/>
        <v>1917</v>
      </c>
      <c r="AT4" s="7">
        <v>0</v>
      </c>
      <c r="AU4" s="15">
        <f t="shared" si="21"/>
        <v>0</v>
      </c>
      <c r="AV4" s="7">
        <v>0</v>
      </c>
      <c r="AW4" s="15">
        <f t="shared" si="22"/>
        <v>0</v>
      </c>
      <c r="AX4" s="7">
        <v>0</v>
      </c>
      <c r="AY4" s="15">
        <f t="shared" si="23"/>
        <v>0</v>
      </c>
      <c r="AZ4" s="7">
        <v>0</v>
      </c>
      <c r="BA4" s="15">
        <f t="shared" si="24"/>
        <v>0</v>
      </c>
      <c r="BB4" s="7">
        <v>2</v>
      </c>
      <c r="BC4" s="15">
        <f t="shared" si="25"/>
        <v>3834</v>
      </c>
      <c r="BD4" s="12">
        <v>1</v>
      </c>
      <c r="BE4" s="15">
        <f t="shared" si="26"/>
        <v>1917</v>
      </c>
    </row>
    <row r="5" spans="1:57" x14ac:dyDescent="0.2">
      <c r="A5" s="5" t="s">
        <v>80</v>
      </c>
      <c r="B5" s="15">
        <v>8000</v>
      </c>
      <c r="C5" s="15">
        <v>8000</v>
      </c>
      <c r="D5" s="15">
        <v>12000</v>
      </c>
      <c r="E5" s="15">
        <f t="shared" si="0"/>
        <v>4000</v>
      </c>
      <c r="F5" s="7">
        <v>3</v>
      </c>
      <c r="G5" s="27">
        <f t="shared" si="1"/>
        <v>12000</v>
      </c>
      <c r="H5" s="7">
        <v>0</v>
      </c>
      <c r="I5" s="27">
        <f t="shared" si="2"/>
        <v>0</v>
      </c>
      <c r="J5" s="7">
        <v>0</v>
      </c>
      <c r="K5" s="27">
        <f t="shared" si="3"/>
        <v>0</v>
      </c>
      <c r="L5" s="10">
        <v>0</v>
      </c>
      <c r="M5" s="15">
        <f t="shared" si="4"/>
        <v>0</v>
      </c>
      <c r="N5" s="9">
        <v>0</v>
      </c>
      <c r="O5" s="15">
        <f t="shared" si="5"/>
        <v>0</v>
      </c>
      <c r="P5" s="9">
        <v>0</v>
      </c>
      <c r="Q5" s="15">
        <f t="shared" si="6"/>
        <v>0</v>
      </c>
      <c r="R5" s="9">
        <v>0</v>
      </c>
      <c r="S5" s="15">
        <f t="shared" si="7"/>
        <v>0</v>
      </c>
      <c r="T5" s="9">
        <v>0</v>
      </c>
      <c r="U5" s="15">
        <f t="shared" si="8"/>
        <v>0</v>
      </c>
      <c r="V5" s="9">
        <v>0</v>
      </c>
      <c r="W5" s="15">
        <f t="shared" si="9"/>
        <v>0</v>
      </c>
      <c r="X5" s="9">
        <v>0</v>
      </c>
      <c r="Y5" s="15">
        <f t="shared" si="10"/>
        <v>0</v>
      </c>
      <c r="Z5" s="9">
        <v>0</v>
      </c>
      <c r="AA5" s="15">
        <f t="shared" si="11"/>
        <v>0</v>
      </c>
      <c r="AB5" s="9">
        <v>0</v>
      </c>
      <c r="AC5" s="15">
        <f t="shared" si="12"/>
        <v>0</v>
      </c>
      <c r="AD5" s="7">
        <v>0</v>
      </c>
      <c r="AE5" s="15">
        <f t="shared" si="13"/>
        <v>0</v>
      </c>
      <c r="AF5" s="7">
        <v>1</v>
      </c>
      <c r="AG5" s="15">
        <f t="shared" si="14"/>
        <v>4000</v>
      </c>
      <c r="AH5" s="7">
        <v>0</v>
      </c>
      <c r="AI5" s="15">
        <f t="shared" si="15"/>
        <v>0</v>
      </c>
      <c r="AJ5" s="7">
        <v>0</v>
      </c>
      <c r="AK5" s="15">
        <f t="shared" si="16"/>
        <v>0</v>
      </c>
      <c r="AL5" s="7">
        <v>0</v>
      </c>
      <c r="AM5" s="15">
        <f t="shared" si="17"/>
        <v>0</v>
      </c>
      <c r="AN5" s="7">
        <v>0</v>
      </c>
      <c r="AO5" s="15">
        <f t="shared" si="18"/>
        <v>0</v>
      </c>
      <c r="AP5" s="7">
        <v>0</v>
      </c>
      <c r="AQ5" s="15">
        <f t="shared" si="19"/>
        <v>0</v>
      </c>
      <c r="AR5" s="7">
        <v>0</v>
      </c>
      <c r="AS5" s="15">
        <f t="shared" si="20"/>
        <v>0</v>
      </c>
      <c r="AT5" s="7">
        <v>0</v>
      </c>
      <c r="AU5" s="15">
        <f t="shared" si="21"/>
        <v>0</v>
      </c>
      <c r="AV5" s="7">
        <v>0</v>
      </c>
      <c r="AW5" s="15">
        <f t="shared" si="22"/>
        <v>0</v>
      </c>
      <c r="AX5" s="7">
        <v>0</v>
      </c>
      <c r="AY5" s="15">
        <f t="shared" si="23"/>
        <v>0</v>
      </c>
      <c r="AZ5" s="7">
        <v>0</v>
      </c>
      <c r="BA5" s="15">
        <f t="shared" si="24"/>
        <v>0</v>
      </c>
      <c r="BB5" s="7">
        <v>0</v>
      </c>
      <c r="BC5" s="15">
        <f t="shared" si="25"/>
        <v>0</v>
      </c>
      <c r="BD5" s="11">
        <v>0</v>
      </c>
      <c r="BE5" s="15">
        <f t="shared" si="26"/>
        <v>0</v>
      </c>
    </row>
    <row r="6" spans="1:57" x14ac:dyDescent="0.2">
      <c r="A6" s="5" t="s">
        <v>81</v>
      </c>
      <c r="B6" s="15">
        <v>2000</v>
      </c>
      <c r="C6" s="15">
        <v>2000</v>
      </c>
      <c r="D6" s="15">
        <v>3000</v>
      </c>
      <c r="E6" s="15">
        <f t="shared" si="0"/>
        <v>1000</v>
      </c>
      <c r="F6" s="7">
        <v>0</v>
      </c>
      <c r="G6" s="27">
        <f t="shared" si="1"/>
        <v>0</v>
      </c>
      <c r="H6" s="7">
        <v>1</v>
      </c>
      <c r="I6" s="27">
        <f t="shared" si="2"/>
        <v>1000</v>
      </c>
      <c r="J6" s="7">
        <v>0</v>
      </c>
      <c r="K6" s="27">
        <f t="shared" si="3"/>
        <v>0</v>
      </c>
      <c r="L6" s="10">
        <v>0</v>
      </c>
      <c r="M6" s="15">
        <f t="shared" si="4"/>
        <v>0</v>
      </c>
      <c r="N6" s="9">
        <v>0</v>
      </c>
      <c r="O6" s="15">
        <f t="shared" si="5"/>
        <v>0</v>
      </c>
      <c r="P6" s="9">
        <v>0</v>
      </c>
      <c r="Q6" s="15">
        <f t="shared" si="6"/>
        <v>0</v>
      </c>
      <c r="R6" s="9">
        <v>0</v>
      </c>
      <c r="S6" s="15">
        <f t="shared" si="7"/>
        <v>0</v>
      </c>
      <c r="T6" s="9">
        <v>0</v>
      </c>
      <c r="U6" s="15">
        <f t="shared" si="8"/>
        <v>0</v>
      </c>
      <c r="V6" s="9">
        <v>0</v>
      </c>
      <c r="W6" s="15">
        <f t="shared" si="9"/>
        <v>0</v>
      </c>
      <c r="X6" s="9">
        <v>0</v>
      </c>
      <c r="Y6" s="15">
        <f t="shared" si="10"/>
        <v>0</v>
      </c>
      <c r="Z6" s="9">
        <v>0</v>
      </c>
      <c r="AA6" s="15">
        <f t="shared" si="11"/>
        <v>0</v>
      </c>
      <c r="AB6" s="9">
        <v>0</v>
      </c>
      <c r="AC6" s="15">
        <f t="shared" si="12"/>
        <v>0</v>
      </c>
      <c r="AD6" s="7">
        <v>0</v>
      </c>
      <c r="AE6" s="15">
        <f t="shared" si="13"/>
        <v>0</v>
      </c>
      <c r="AF6" s="7">
        <v>0</v>
      </c>
      <c r="AG6" s="15">
        <f t="shared" si="14"/>
        <v>0</v>
      </c>
      <c r="AH6" s="7">
        <v>0</v>
      </c>
      <c r="AI6" s="15">
        <f t="shared" si="15"/>
        <v>0</v>
      </c>
      <c r="AJ6" s="7">
        <v>0</v>
      </c>
      <c r="AK6" s="15">
        <f t="shared" si="16"/>
        <v>0</v>
      </c>
      <c r="AL6" s="7">
        <v>0</v>
      </c>
      <c r="AM6" s="15">
        <f t="shared" si="17"/>
        <v>0</v>
      </c>
      <c r="AN6" s="7">
        <v>0</v>
      </c>
      <c r="AO6" s="15">
        <f t="shared" si="18"/>
        <v>0</v>
      </c>
      <c r="AP6" s="7">
        <v>0</v>
      </c>
      <c r="AQ6" s="15">
        <f t="shared" si="19"/>
        <v>0</v>
      </c>
      <c r="AR6" s="7">
        <v>0</v>
      </c>
      <c r="AS6" s="15">
        <f t="shared" si="20"/>
        <v>0</v>
      </c>
      <c r="AT6" s="7">
        <v>0</v>
      </c>
      <c r="AU6" s="15">
        <f t="shared" si="21"/>
        <v>0</v>
      </c>
      <c r="AV6" s="7">
        <v>0</v>
      </c>
      <c r="AW6" s="15">
        <f t="shared" si="22"/>
        <v>0</v>
      </c>
      <c r="AX6" s="7">
        <v>0</v>
      </c>
      <c r="AY6" s="15">
        <f t="shared" si="23"/>
        <v>0</v>
      </c>
      <c r="AZ6" s="7">
        <v>0</v>
      </c>
      <c r="BA6" s="15">
        <f t="shared" si="24"/>
        <v>0</v>
      </c>
      <c r="BB6" s="7">
        <v>0</v>
      </c>
      <c r="BC6" s="15">
        <f t="shared" si="25"/>
        <v>0</v>
      </c>
      <c r="BD6" s="12">
        <v>3</v>
      </c>
      <c r="BE6" s="15">
        <f t="shared" si="26"/>
        <v>3000</v>
      </c>
    </row>
    <row r="7" spans="1:57" x14ac:dyDescent="0.2">
      <c r="A7" s="5" t="s">
        <v>82</v>
      </c>
      <c r="B7" s="15">
        <v>2000</v>
      </c>
      <c r="C7" s="15">
        <v>2000</v>
      </c>
      <c r="D7" s="15">
        <v>3000</v>
      </c>
      <c r="E7" s="15">
        <f t="shared" si="0"/>
        <v>1000</v>
      </c>
      <c r="F7" s="7">
        <v>0</v>
      </c>
      <c r="G7" s="27">
        <f t="shared" si="1"/>
        <v>0</v>
      </c>
      <c r="H7" s="7">
        <v>0</v>
      </c>
      <c r="I7" s="27">
        <f t="shared" si="2"/>
        <v>0</v>
      </c>
      <c r="J7" s="7">
        <v>0</v>
      </c>
      <c r="K7" s="27">
        <f t="shared" si="3"/>
        <v>0</v>
      </c>
      <c r="L7" s="10">
        <v>0</v>
      </c>
      <c r="M7" s="15">
        <f t="shared" si="4"/>
        <v>0</v>
      </c>
      <c r="N7" s="9">
        <v>0</v>
      </c>
      <c r="O7" s="15">
        <f t="shared" si="5"/>
        <v>0</v>
      </c>
      <c r="P7" s="9">
        <v>0</v>
      </c>
      <c r="Q7" s="15">
        <f t="shared" si="6"/>
        <v>0</v>
      </c>
      <c r="R7" s="9">
        <v>0</v>
      </c>
      <c r="S7" s="15">
        <f t="shared" si="7"/>
        <v>0</v>
      </c>
      <c r="T7" s="9">
        <v>0</v>
      </c>
      <c r="U7" s="15">
        <f t="shared" si="8"/>
        <v>0</v>
      </c>
      <c r="V7" s="9">
        <v>0</v>
      </c>
      <c r="W7" s="15">
        <f t="shared" si="9"/>
        <v>0</v>
      </c>
      <c r="X7" s="9">
        <v>0</v>
      </c>
      <c r="Y7" s="15">
        <f t="shared" si="10"/>
        <v>0</v>
      </c>
      <c r="Z7" s="9">
        <v>0</v>
      </c>
      <c r="AA7" s="15">
        <f t="shared" si="11"/>
        <v>0</v>
      </c>
      <c r="AB7" s="9">
        <v>0</v>
      </c>
      <c r="AC7" s="15">
        <f t="shared" si="12"/>
        <v>0</v>
      </c>
      <c r="AD7" s="7">
        <v>0</v>
      </c>
      <c r="AE7" s="15">
        <f t="shared" si="13"/>
        <v>0</v>
      </c>
      <c r="AF7" s="7">
        <v>0</v>
      </c>
      <c r="AG7" s="15">
        <f t="shared" si="14"/>
        <v>0</v>
      </c>
      <c r="AH7" s="7">
        <v>0</v>
      </c>
      <c r="AI7" s="15">
        <f t="shared" si="15"/>
        <v>0</v>
      </c>
      <c r="AJ7" s="7">
        <v>0</v>
      </c>
      <c r="AK7" s="15">
        <f t="shared" si="16"/>
        <v>0</v>
      </c>
      <c r="AL7" s="7">
        <v>0</v>
      </c>
      <c r="AM7" s="15">
        <f t="shared" si="17"/>
        <v>0</v>
      </c>
      <c r="AN7" s="7">
        <v>0</v>
      </c>
      <c r="AO7" s="15">
        <f t="shared" si="18"/>
        <v>0</v>
      </c>
      <c r="AP7" s="7">
        <v>0</v>
      </c>
      <c r="AQ7" s="15">
        <f t="shared" si="19"/>
        <v>0</v>
      </c>
      <c r="AR7" s="7">
        <v>0</v>
      </c>
      <c r="AS7" s="15">
        <f t="shared" si="20"/>
        <v>0</v>
      </c>
      <c r="AT7" s="7">
        <v>0</v>
      </c>
      <c r="AU7" s="15">
        <f t="shared" si="21"/>
        <v>0</v>
      </c>
      <c r="AV7" s="7">
        <v>0</v>
      </c>
      <c r="AW7" s="15">
        <f t="shared" si="22"/>
        <v>0</v>
      </c>
      <c r="AX7" s="7">
        <v>0</v>
      </c>
      <c r="AY7" s="15">
        <f t="shared" si="23"/>
        <v>0</v>
      </c>
      <c r="AZ7" s="7">
        <v>0</v>
      </c>
      <c r="BA7" s="15">
        <f t="shared" si="24"/>
        <v>0</v>
      </c>
      <c r="BB7" s="7">
        <v>1</v>
      </c>
      <c r="BC7" s="15">
        <f t="shared" si="25"/>
        <v>1000</v>
      </c>
      <c r="BD7" s="11">
        <v>0</v>
      </c>
      <c r="BE7" s="15">
        <f t="shared" si="26"/>
        <v>0</v>
      </c>
    </row>
    <row r="8" spans="1:57" x14ac:dyDescent="0.2">
      <c r="A8" s="5" t="s">
        <v>83</v>
      </c>
      <c r="B8" s="15">
        <v>2000</v>
      </c>
      <c r="C8" s="15">
        <v>2000</v>
      </c>
      <c r="D8" s="15">
        <v>3000</v>
      </c>
      <c r="E8" s="15">
        <f t="shared" si="0"/>
        <v>1000</v>
      </c>
      <c r="F8" s="7">
        <v>0</v>
      </c>
      <c r="G8" s="27">
        <f t="shared" si="1"/>
        <v>0</v>
      </c>
      <c r="H8" s="7">
        <v>0</v>
      </c>
      <c r="I8" s="27">
        <f t="shared" si="2"/>
        <v>0</v>
      </c>
      <c r="J8" s="7">
        <v>0</v>
      </c>
      <c r="K8" s="27">
        <f t="shared" si="3"/>
        <v>0</v>
      </c>
      <c r="L8" s="10">
        <v>0</v>
      </c>
      <c r="M8" s="15">
        <f t="shared" si="4"/>
        <v>0</v>
      </c>
      <c r="N8" s="9">
        <v>0</v>
      </c>
      <c r="O8" s="15">
        <f t="shared" si="5"/>
        <v>0</v>
      </c>
      <c r="P8" s="9">
        <v>0</v>
      </c>
      <c r="Q8" s="15">
        <f t="shared" si="6"/>
        <v>0</v>
      </c>
      <c r="R8" s="9">
        <v>0</v>
      </c>
      <c r="S8" s="15">
        <f t="shared" si="7"/>
        <v>0</v>
      </c>
      <c r="T8" s="9">
        <v>0</v>
      </c>
      <c r="U8" s="15">
        <f t="shared" si="8"/>
        <v>0</v>
      </c>
      <c r="V8" s="9">
        <v>0</v>
      </c>
      <c r="W8" s="15">
        <f t="shared" si="9"/>
        <v>0</v>
      </c>
      <c r="X8" s="9">
        <v>0</v>
      </c>
      <c r="Y8" s="15">
        <f t="shared" si="10"/>
        <v>0</v>
      </c>
      <c r="Z8" s="9">
        <v>0</v>
      </c>
      <c r="AA8" s="15">
        <f t="shared" si="11"/>
        <v>0</v>
      </c>
      <c r="AB8" s="9">
        <v>0</v>
      </c>
      <c r="AC8" s="15">
        <f t="shared" si="12"/>
        <v>0</v>
      </c>
      <c r="AD8" s="7">
        <v>0</v>
      </c>
      <c r="AE8" s="15">
        <f t="shared" si="13"/>
        <v>0</v>
      </c>
      <c r="AF8" s="7">
        <v>0</v>
      </c>
      <c r="AG8" s="15">
        <f t="shared" si="14"/>
        <v>0</v>
      </c>
      <c r="AH8" s="7">
        <v>0</v>
      </c>
      <c r="AI8" s="15">
        <f t="shared" si="15"/>
        <v>0</v>
      </c>
      <c r="AJ8" s="7">
        <v>0</v>
      </c>
      <c r="AK8" s="15">
        <f t="shared" si="16"/>
        <v>0</v>
      </c>
      <c r="AL8" s="7">
        <v>0</v>
      </c>
      <c r="AM8" s="15">
        <f t="shared" si="17"/>
        <v>0</v>
      </c>
      <c r="AN8" s="7">
        <v>0</v>
      </c>
      <c r="AO8" s="15">
        <f t="shared" si="18"/>
        <v>0</v>
      </c>
      <c r="AP8" s="7">
        <v>0</v>
      </c>
      <c r="AQ8" s="15">
        <f t="shared" si="19"/>
        <v>0</v>
      </c>
      <c r="AR8" s="7">
        <v>0</v>
      </c>
      <c r="AS8" s="15">
        <f t="shared" si="20"/>
        <v>0</v>
      </c>
      <c r="AT8" s="7">
        <v>0</v>
      </c>
      <c r="AU8" s="15">
        <f t="shared" si="21"/>
        <v>0</v>
      </c>
      <c r="AV8" s="7">
        <v>0</v>
      </c>
      <c r="AW8" s="15">
        <f t="shared" si="22"/>
        <v>0</v>
      </c>
      <c r="AX8" s="7">
        <v>0</v>
      </c>
      <c r="AY8" s="15">
        <f t="shared" si="23"/>
        <v>0</v>
      </c>
      <c r="AZ8" s="7">
        <v>0</v>
      </c>
      <c r="BA8" s="15">
        <f t="shared" si="24"/>
        <v>0</v>
      </c>
      <c r="BB8" s="7">
        <v>0</v>
      </c>
      <c r="BC8" s="15">
        <f t="shared" si="25"/>
        <v>0</v>
      </c>
      <c r="BD8" s="11">
        <v>0</v>
      </c>
      <c r="BE8" s="15">
        <f t="shared" si="26"/>
        <v>0</v>
      </c>
    </row>
    <row r="9" spans="1:57" x14ac:dyDescent="0.2">
      <c r="A9" s="5" t="s">
        <v>84</v>
      </c>
      <c r="B9" s="15">
        <v>46800</v>
      </c>
      <c r="C9" s="15">
        <v>1950</v>
      </c>
      <c r="D9" s="15">
        <v>4000</v>
      </c>
      <c r="E9" s="15">
        <f t="shared" si="0"/>
        <v>2050</v>
      </c>
      <c r="F9" s="7">
        <v>0</v>
      </c>
      <c r="G9" s="27">
        <f t="shared" si="1"/>
        <v>0</v>
      </c>
      <c r="H9" s="7">
        <v>0</v>
      </c>
      <c r="I9" s="27">
        <f t="shared" si="2"/>
        <v>0</v>
      </c>
      <c r="J9" s="7">
        <v>0</v>
      </c>
      <c r="K9" s="27">
        <f t="shared" si="3"/>
        <v>0</v>
      </c>
      <c r="L9" s="10">
        <v>0</v>
      </c>
      <c r="M9" s="15">
        <f t="shared" si="4"/>
        <v>0</v>
      </c>
      <c r="N9" s="9">
        <v>0</v>
      </c>
      <c r="O9" s="15">
        <f t="shared" si="5"/>
        <v>0</v>
      </c>
      <c r="P9" s="9">
        <v>0</v>
      </c>
      <c r="Q9" s="15">
        <f t="shared" si="6"/>
        <v>0</v>
      </c>
      <c r="R9" s="9">
        <v>0</v>
      </c>
      <c r="S9" s="15">
        <f t="shared" si="7"/>
        <v>0</v>
      </c>
      <c r="T9" s="9">
        <v>0</v>
      </c>
      <c r="U9" s="15">
        <f t="shared" si="8"/>
        <v>0</v>
      </c>
      <c r="V9" s="9">
        <v>0</v>
      </c>
      <c r="W9" s="15">
        <f t="shared" si="9"/>
        <v>0</v>
      </c>
      <c r="X9" s="9">
        <v>0</v>
      </c>
      <c r="Y9" s="15">
        <f t="shared" si="10"/>
        <v>0</v>
      </c>
      <c r="Z9" s="9">
        <v>0</v>
      </c>
      <c r="AA9" s="15">
        <f t="shared" si="11"/>
        <v>0</v>
      </c>
      <c r="AB9" s="9">
        <v>0</v>
      </c>
      <c r="AC9" s="15">
        <f t="shared" si="12"/>
        <v>0</v>
      </c>
      <c r="AD9" s="7">
        <v>0</v>
      </c>
      <c r="AE9" s="15">
        <f t="shared" si="13"/>
        <v>0</v>
      </c>
      <c r="AF9" s="7">
        <v>0</v>
      </c>
      <c r="AG9" s="15">
        <f t="shared" si="14"/>
        <v>0</v>
      </c>
      <c r="AH9" s="7">
        <v>0</v>
      </c>
      <c r="AI9" s="15">
        <f t="shared" si="15"/>
        <v>0</v>
      </c>
      <c r="AJ9" s="7">
        <v>0</v>
      </c>
      <c r="AK9" s="15">
        <f t="shared" si="16"/>
        <v>0</v>
      </c>
      <c r="AL9" s="7">
        <v>0</v>
      </c>
      <c r="AM9" s="15">
        <f t="shared" si="17"/>
        <v>0</v>
      </c>
      <c r="AN9" s="7">
        <v>0</v>
      </c>
      <c r="AO9" s="15">
        <f t="shared" si="18"/>
        <v>0</v>
      </c>
      <c r="AP9" s="7">
        <v>1</v>
      </c>
      <c r="AQ9" s="15">
        <f t="shared" si="19"/>
        <v>2050</v>
      </c>
      <c r="AR9" s="7">
        <v>0</v>
      </c>
      <c r="AS9" s="15">
        <f t="shared" si="20"/>
        <v>0</v>
      </c>
      <c r="AT9" s="7">
        <v>0</v>
      </c>
      <c r="AU9" s="15">
        <f t="shared" si="21"/>
        <v>0</v>
      </c>
      <c r="AV9" s="7">
        <v>0</v>
      </c>
      <c r="AW9" s="15">
        <f t="shared" si="22"/>
        <v>0</v>
      </c>
      <c r="AX9" s="7">
        <v>0</v>
      </c>
      <c r="AY9" s="15">
        <f t="shared" si="23"/>
        <v>0</v>
      </c>
      <c r="AZ9" s="7">
        <v>0</v>
      </c>
      <c r="BA9" s="15">
        <f t="shared" si="24"/>
        <v>0</v>
      </c>
      <c r="BB9" s="7">
        <v>0</v>
      </c>
      <c r="BC9" s="15">
        <f t="shared" si="25"/>
        <v>0</v>
      </c>
      <c r="BD9" s="11">
        <v>0</v>
      </c>
      <c r="BE9" s="15">
        <f t="shared" si="26"/>
        <v>0</v>
      </c>
    </row>
    <row r="10" spans="1:57" x14ac:dyDescent="0.2">
      <c r="A10" s="5" t="s">
        <v>85</v>
      </c>
      <c r="B10" s="15">
        <v>2500</v>
      </c>
      <c r="C10" s="15">
        <v>2500</v>
      </c>
      <c r="D10" s="15">
        <v>3500</v>
      </c>
      <c r="E10" s="15">
        <f t="shared" si="0"/>
        <v>1000</v>
      </c>
      <c r="F10" s="7">
        <v>0</v>
      </c>
      <c r="G10" s="27">
        <f t="shared" si="1"/>
        <v>0</v>
      </c>
      <c r="H10" s="7">
        <v>0</v>
      </c>
      <c r="I10" s="27">
        <f t="shared" si="2"/>
        <v>0</v>
      </c>
      <c r="J10" s="7">
        <v>0</v>
      </c>
      <c r="K10" s="27">
        <f t="shared" si="3"/>
        <v>0</v>
      </c>
      <c r="L10" s="10">
        <v>0</v>
      </c>
      <c r="M10" s="15">
        <f t="shared" si="4"/>
        <v>0</v>
      </c>
      <c r="N10" s="9">
        <v>0</v>
      </c>
      <c r="O10" s="15">
        <f t="shared" si="5"/>
        <v>0</v>
      </c>
      <c r="P10" s="9">
        <v>0</v>
      </c>
      <c r="Q10" s="15">
        <f t="shared" si="6"/>
        <v>0</v>
      </c>
      <c r="R10" s="9">
        <v>0</v>
      </c>
      <c r="S10" s="15">
        <f t="shared" si="7"/>
        <v>0</v>
      </c>
      <c r="T10" s="9">
        <v>0</v>
      </c>
      <c r="U10" s="15">
        <f t="shared" si="8"/>
        <v>0</v>
      </c>
      <c r="V10" s="9">
        <v>0</v>
      </c>
      <c r="W10" s="15">
        <f t="shared" si="9"/>
        <v>0</v>
      </c>
      <c r="X10" s="9">
        <v>0</v>
      </c>
      <c r="Y10" s="15">
        <f t="shared" si="10"/>
        <v>0</v>
      </c>
      <c r="Z10" s="9">
        <v>0</v>
      </c>
      <c r="AA10" s="15">
        <f t="shared" si="11"/>
        <v>0</v>
      </c>
      <c r="AB10" s="9">
        <v>0</v>
      </c>
      <c r="AC10" s="15">
        <f t="shared" si="12"/>
        <v>0</v>
      </c>
      <c r="AD10" s="7">
        <v>0</v>
      </c>
      <c r="AE10" s="15">
        <f t="shared" si="13"/>
        <v>0</v>
      </c>
      <c r="AF10" s="7">
        <v>0</v>
      </c>
      <c r="AG10" s="15">
        <f t="shared" si="14"/>
        <v>0</v>
      </c>
      <c r="AH10" s="7">
        <v>2</v>
      </c>
      <c r="AI10" s="15">
        <f t="shared" si="15"/>
        <v>2000</v>
      </c>
      <c r="AJ10" s="7">
        <v>0</v>
      </c>
      <c r="AK10" s="15">
        <f t="shared" si="16"/>
        <v>0</v>
      </c>
      <c r="AL10" s="7">
        <v>0</v>
      </c>
      <c r="AM10" s="15">
        <f t="shared" si="17"/>
        <v>0</v>
      </c>
      <c r="AN10" s="7">
        <v>0</v>
      </c>
      <c r="AO10" s="15">
        <f t="shared" si="18"/>
        <v>0</v>
      </c>
      <c r="AP10" s="7">
        <v>0</v>
      </c>
      <c r="AQ10" s="15">
        <f t="shared" si="19"/>
        <v>0</v>
      </c>
      <c r="AR10" s="7">
        <v>0</v>
      </c>
      <c r="AS10" s="15">
        <f t="shared" si="20"/>
        <v>0</v>
      </c>
      <c r="AT10" s="7">
        <v>0</v>
      </c>
      <c r="AU10" s="15">
        <f t="shared" si="21"/>
        <v>0</v>
      </c>
      <c r="AV10" s="7">
        <v>0</v>
      </c>
      <c r="AW10" s="15">
        <f t="shared" si="22"/>
        <v>0</v>
      </c>
      <c r="AX10" s="7">
        <v>0</v>
      </c>
      <c r="AY10" s="15">
        <f t="shared" si="23"/>
        <v>0</v>
      </c>
      <c r="AZ10" s="7">
        <v>0</v>
      </c>
      <c r="BA10" s="15">
        <f t="shared" si="24"/>
        <v>0</v>
      </c>
      <c r="BB10" s="7">
        <v>0</v>
      </c>
      <c r="BC10" s="15">
        <f t="shared" si="25"/>
        <v>0</v>
      </c>
      <c r="BD10" s="11">
        <v>0</v>
      </c>
      <c r="BE10" s="15">
        <f t="shared" si="26"/>
        <v>0</v>
      </c>
    </row>
    <row r="11" spans="1:57" x14ac:dyDescent="0.2">
      <c r="A11" s="5" t="s">
        <v>86</v>
      </c>
      <c r="B11" s="26">
        <v>5000</v>
      </c>
      <c r="C11" s="15">
        <v>6150</v>
      </c>
      <c r="D11" s="15">
        <v>10000</v>
      </c>
      <c r="E11" s="15">
        <f t="shared" si="0"/>
        <v>3850</v>
      </c>
      <c r="F11" s="7">
        <v>0</v>
      </c>
      <c r="G11" s="27">
        <f t="shared" si="1"/>
        <v>0</v>
      </c>
      <c r="H11" s="7">
        <v>0</v>
      </c>
      <c r="I11" s="27">
        <f t="shared" si="2"/>
        <v>0</v>
      </c>
      <c r="J11" s="7">
        <v>0</v>
      </c>
      <c r="K11" s="27">
        <f t="shared" si="3"/>
        <v>0</v>
      </c>
      <c r="L11" s="10">
        <v>0</v>
      </c>
      <c r="M11" s="15">
        <f t="shared" si="4"/>
        <v>0</v>
      </c>
      <c r="N11" s="9">
        <v>0</v>
      </c>
      <c r="O11" s="15">
        <f t="shared" si="5"/>
        <v>0</v>
      </c>
      <c r="P11" s="9">
        <v>0</v>
      </c>
      <c r="Q11" s="15">
        <f t="shared" si="6"/>
        <v>0</v>
      </c>
      <c r="R11" s="9">
        <v>0</v>
      </c>
      <c r="S11" s="15">
        <f t="shared" si="7"/>
        <v>0</v>
      </c>
      <c r="T11" s="9">
        <v>0</v>
      </c>
      <c r="U11" s="15">
        <f t="shared" si="8"/>
        <v>0</v>
      </c>
      <c r="V11" s="9">
        <v>0</v>
      </c>
      <c r="W11" s="15">
        <f t="shared" si="9"/>
        <v>0</v>
      </c>
      <c r="X11" s="9">
        <v>0</v>
      </c>
      <c r="Y11" s="15">
        <f t="shared" si="10"/>
        <v>0</v>
      </c>
      <c r="Z11" s="9">
        <v>0</v>
      </c>
      <c r="AA11" s="15">
        <f t="shared" si="11"/>
        <v>0</v>
      </c>
      <c r="AB11" s="9">
        <v>0</v>
      </c>
      <c r="AC11" s="15">
        <f t="shared" si="12"/>
        <v>0</v>
      </c>
      <c r="AD11" s="7">
        <v>0</v>
      </c>
      <c r="AE11" s="15">
        <f t="shared" si="13"/>
        <v>0</v>
      </c>
      <c r="AF11" s="7">
        <v>0</v>
      </c>
      <c r="AG11" s="15">
        <f t="shared" si="14"/>
        <v>0</v>
      </c>
      <c r="AH11" s="7">
        <v>0</v>
      </c>
      <c r="AI11" s="15">
        <f t="shared" si="15"/>
        <v>0</v>
      </c>
      <c r="AJ11" s="7">
        <v>0</v>
      </c>
      <c r="AK11" s="15">
        <f t="shared" si="16"/>
        <v>0</v>
      </c>
      <c r="AL11" s="7">
        <v>0</v>
      </c>
      <c r="AM11" s="15">
        <f t="shared" si="17"/>
        <v>0</v>
      </c>
      <c r="AN11" s="7">
        <v>0</v>
      </c>
      <c r="AO11" s="15">
        <f t="shared" si="18"/>
        <v>0</v>
      </c>
      <c r="AP11" s="7">
        <v>0</v>
      </c>
      <c r="AQ11" s="15">
        <f t="shared" si="19"/>
        <v>0</v>
      </c>
      <c r="AR11" s="7">
        <v>0</v>
      </c>
      <c r="AS11" s="15">
        <f t="shared" si="20"/>
        <v>0</v>
      </c>
      <c r="AT11" s="7">
        <v>0</v>
      </c>
      <c r="AU11" s="15">
        <f t="shared" si="21"/>
        <v>0</v>
      </c>
      <c r="AV11" s="7">
        <v>0</v>
      </c>
      <c r="AW11" s="15">
        <f t="shared" si="22"/>
        <v>0</v>
      </c>
      <c r="AX11" s="7">
        <v>0</v>
      </c>
      <c r="AY11" s="15">
        <f t="shared" si="23"/>
        <v>0</v>
      </c>
      <c r="AZ11" s="7">
        <v>0</v>
      </c>
      <c r="BA11" s="15">
        <f t="shared" si="24"/>
        <v>0</v>
      </c>
      <c r="BB11" s="7">
        <v>0</v>
      </c>
      <c r="BC11" s="15">
        <f t="shared" si="25"/>
        <v>0</v>
      </c>
      <c r="BD11" s="11">
        <v>0</v>
      </c>
      <c r="BE11" s="15">
        <f t="shared" si="26"/>
        <v>0</v>
      </c>
    </row>
    <row r="12" spans="1:57" x14ac:dyDescent="0.2">
      <c r="A12" s="5" t="s">
        <v>87</v>
      </c>
      <c r="B12" s="15">
        <v>6800</v>
      </c>
      <c r="C12" s="15">
        <v>6800</v>
      </c>
      <c r="D12" s="15">
        <v>10000</v>
      </c>
      <c r="E12" s="15">
        <f t="shared" si="0"/>
        <v>3200</v>
      </c>
      <c r="F12" s="7">
        <v>0</v>
      </c>
      <c r="G12" s="27">
        <f t="shared" si="1"/>
        <v>0</v>
      </c>
      <c r="H12" s="7">
        <v>0</v>
      </c>
      <c r="I12" s="27">
        <f t="shared" si="2"/>
        <v>0</v>
      </c>
      <c r="J12" s="7">
        <v>0</v>
      </c>
      <c r="K12" s="27">
        <f t="shared" si="3"/>
        <v>0</v>
      </c>
      <c r="L12" s="10">
        <v>0</v>
      </c>
      <c r="M12" s="15">
        <f t="shared" si="4"/>
        <v>0</v>
      </c>
      <c r="N12" s="9">
        <v>0</v>
      </c>
      <c r="O12" s="15">
        <f t="shared" si="5"/>
        <v>0</v>
      </c>
      <c r="P12" s="9">
        <v>0</v>
      </c>
      <c r="Q12" s="15">
        <f t="shared" si="6"/>
        <v>0</v>
      </c>
      <c r="R12" s="9">
        <v>0</v>
      </c>
      <c r="S12" s="15">
        <f t="shared" si="7"/>
        <v>0</v>
      </c>
      <c r="T12" s="9">
        <v>0</v>
      </c>
      <c r="U12" s="15">
        <f t="shared" si="8"/>
        <v>0</v>
      </c>
      <c r="V12" s="9">
        <v>0</v>
      </c>
      <c r="W12" s="15">
        <f t="shared" si="9"/>
        <v>0</v>
      </c>
      <c r="X12" s="9">
        <v>0</v>
      </c>
      <c r="Y12" s="15">
        <f t="shared" si="10"/>
        <v>0</v>
      </c>
      <c r="Z12" s="9">
        <v>0</v>
      </c>
      <c r="AA12" s="15">
        <f t="shared" si="11"/>
        <v>0</v>
      </c>
      <c r="AB12" s="9">
        <v>0</v>
      </c>
      <c r="AC12" s="15">
        <f t="shared" si="12"/>
        <v>0</v>
      </c>
      <c r="AD12" s="7">
        <v>0</v>
      </c>
      <c r="AE12" s="15">
        <f t="shared" si="13"/>
        <v>0</v>
      </c>
      <c r="AF12" s="7">
        <v>1</v>
      </c>
      <c r="AG12" s="15">
        <f t="shared" si="14"/>
        <v>3200</v>
      </c>
      <c r="AH12" s="7">
        <v>1</v>
      </c>
      <c r="AI12" s="15">
        <f t="shared" si="15"/>
        <v>3200</v>
      </c>
      <c r="AJ12" s="7">
        <v>0</v>
      </c>
      <c r="AK12" s="15">
        <f t="shared" si="16"/>
        <v>0</v>
      </c>
      <c r="AL12" s="7">
        <v>0</v>
      </c>
      <c r="AM12" s="15">
        <f t="shared" si="17"/>
        <v>0</v>
      </c>
      <c r="AN12" s="7">
        <v>0</v>
      </c>
      <c r="AO12" s="15">
        <f t="shared" si="18"/>
        <v>0</v>
      </c>
      <c r="AP12" s="7">
        <v>0</v>
      </c>
      <c r="AQ12" s="15">
        <f t="shared" si="19"/>
        <v>0</v>
      </c>
      <c r="AR12" s="7">
        <v>1</v>
      </c>
      <c r="AS12" s="15">
        <f t="shared" si="20"/>
        <v>3200</v>
      </c>
      <c r="AT12" s="7">
        <v>0</v>
      </c>
      <c r="AU12" s="15">
        <f t="shared" si="21"/>
        <v>0</v>
      </c>
      <c r="AV12" s="7">
        <v>0</v>
      </c>
      <c r="AW12" s="15">
        <f t="shared" si="22"/>
        <v>0</v>
      </c>
      <c r="AX12" s="7">
        <v>0</v>
      </c>
      <c r="AY12" s="15">
        <f t="shared" si="23"/>
        <v>0</v>
      </c>
      <c r="AZ12" s="7">
        <v>0</v>
      </c>
      <c r="BA12" s="15">
        <f t="shared" si="24"/>
        <v>0</v>
      </c>
      <c r="BB12" s="7">
        <v>0</v>
      </c>
      <c r="BC12" s="15">
        <f t="shared" si="25"/>
        <v>0</v>
      </c>
      <c r="BD12" s="11">
        <v>0</v>
      </c>
      <c r="BE12" s="15">
        <f t="shared" si="26"/>
        <v>0</v>
      </c>
    </row>
    <row r="13" spans="1:57" x14ac:dyDescent="0.2">
      <c r="A13" s="5" t="s">
        <v>88</v>
      </c>
      <c r="B13" s="15">
        <v>60000</v>
      </c>
      <c r="C13" s="15">
        <v>2500</v>
      </c>
      <c r="D13" s="15">
        <v>5000</v>
      </c>
      <c r="E13" s="15">
        <f t="shared" si="0"/>
        <v>2500</v>
      </c>
      <c r="F13" s="7">
        <v>0</v>
      </c>
      <c r="G13" s="27">
        <f t="shared" si="1"/>
        <v>0</v>
      </c>
      <c r="H13" s="7">
        <v>0</v>
      </c>
      <c r="I13" s="27">
        <f t="shared" si="2"/>
        <v>0</v>
      </c>
      <c r="J13" s="7">
        <v>0</v>
      </c>
      <c r="K13" s="27">
        <f t="shared" si="3"/>
        <v>0</v>
      </c>
      <c r="L13" s="10">
        <v>0</v>
      </c>
      <c r="M13" s="15">
        <f t="shared" si="4"/>
        <v>0</v>
      </c>
      <c r="N13" s="9">
        <v>0</v>
      </c>
      <c r="O13" s="15">
        <f t="shared" si="5"/>
        <v>0</v>
      </c>
      <c r="P13" s="9">
        <v>0</v>
      </c>
      <c r="Q13" s="15">
        <f t="shared" si="6"/>
        <v>0</v>
      </c>
      <c r="R13" s="9">
        <v>1</v>
      </c>
      <c r="S13" s="15">
        <f t="shared" si="7"/>
        <v>2500</v>
      </c>
      <c r="T13" s="9">
        <v>0</v>
      </c>
      <c r="U13" s="15">
        <f t="shared" si="8"/>
        <v>0</v>
      </c>
      <c r="V13" s="9">
        <v>0</v>
      </c>
      <c r="W13" s="15">
        <f t="shared" si="9"/>
        <v>0</v>
      </c>
      <c r="X13" s="9">
        <v>0</v>
      </c>
      <c r="Y13" s="15">
        <f t="shared" si="10"/>
        <v>0</v>
      </c>
      <c r="Z13" s="9">
        <v>0</v>
      </c>
      <c r="AA13" s="15">
        <f t="shared" si="11"/>
        <v>0</v>
      </c>
      <c r="AB13" s="9">
        <v>0</v>
      </c>
      <c r="AC13" s="15">
        <f t="shared" si="12"/>
        <v>0</v>
      </c>
      <c r="AD13" s="7">
        <v>0</v>
      </c>
      <c r="AE13" s="15">
        <f t="shared" si="13"/>
        <v>0</v>
      </c>
      <c r="AF13" s="7">
        <v>0</v>
      </c>
      <c r="AG13" s="15">
        <f t="shared" si="14"/>
        <v>0</v>
      </c>
      <c r="AH13" s="7">
        <v>0</v>
      </c>
      <c r="AI13" s="15">
        <f t="shared" si="15"/>
        <v>0</v>
      </c>
      <c r="AJ13" s="7">
        <v>0</v>
      </c>
      <c r="AK13" s="15">
        <f t="shared" si="16"/>
        <v>0</v>
      </c>
      <c r="AL13" s="7">
        <v>0</v>
      </c>
      <c r="AM13" s="15">
        <f t="shared" si="17"/>
        <v>0</v>
      </c>
      <c r="AN13" s="7">
        <v>0</v>
      </c>
      <c r="AO13" s="15">
        <f t="shared" si="18"/>
        <v>0</v>
      </c>
      <c r="AP13" s="7">
        <v>0</v>
      </c>
      <c r="AQ13" s="15">
        <f t="shared" si="19"/>
        <v>0</v>
      </c>
      <c r="AR13" s="7">
        <v>0</v>
      </c>
      <c r="AS13" s="15">
        <f t="shared" si="20"/>
        <v>0</v>
      </c>
      <c r="AT13" s="7">
        <v>0</v>
      </c>
      <c r="AU13" s="15">
        <f t="shared" si="21"/>
        <v>0</v>
      </c>
      <c r="AV13" s="7">
        <v>0</v>
      </c>
      <c r="AW13" s="15">
        <f t="shared" si="22"/>
        <v>0</v>
      </c>
      <c r="AX13" s="7">
        <v>0</v>
      </c>
      <c r="AY13" s="15">
        <f t="shared" si="23"/>
        <v>0</v>
      </c>
      <c r="AZ13" s="7">
        <v>0</v>
      </c>
      <c r="BA13" s="15">
        <f t="shared" si="24"/>
        <v>0</v>
      </c>
      <c r="BB13" s="7">
        <v>0</v>
      </c>
      <c r="BC13" s="15">
        <f t="shared" si="25"/>
        <v>0</v>
      </c>
      <c r="BD13" s="11">
        <v>0</v>
      </c>
      <c r="BE13" s="15">
        <f t="shared" si="26"/>
        <v>0</v>
      </c>
    </row>
    <row r="14" spans="1:57" x14ac:dyDescent="0.2">
      <c r="A14" s="5" t="s">
        <v>89</v>
      </c>
      <c r="B14" s="15">
        <v>60000</v>
      </c>
      <c r="C14" s="15">
        <v>2500</v>
      </c>
      <c r="D14" s="15">
        <v>5000</v>
      </c>
      <c r="E14" s="15">
        <f t="shared" si="0"/>
        <v>2500</v>
      </c>
      <c r="F14" s="7">
        <v>0</v>
      </c>
      <c r="G14" s="27">
        <f t="shared" si="1"/>
        <v>0</v>
      </c>
      <c r="H14" s="7">
        <v>0</v>
      </c>
      <c r="I14" s="27">
        <f t="shared" si="2"/>
        <v>0</v>
      </c>
      <c r="J14" s="7">
        <v>0</v>
      </c>
      <c r="K14" s="27">
        <f t="shared" si="3"/>
        <v>0</v>
      </c>
      <c r="L14" s="10">
        <v>0</v>
      </c>
      <c r="M14" s="15">
        <f t="shared" si="4"/>
        <v>0</v>
      </c>
      <c r="N14" s="9">
        <v>0</v>
      </c>
      <c r="O14" s="15">
        <f t="shared" si="5"/>
        <v>0</v>
      </c>
      <c r="P14" s="9">
        <v>0</v>
      </c>
      <c r="Q14" s="15">
        <f t="shared" si="6"/>
        <v>0</v>
      </c>
      <c r="R14" s="9">
        <v>0</v>
      </c>
      <c r="S14" s="15">
        <f t="shared" si="7"/>
        <v>0</v>
      </c>
      <c r="T14" s="9">
        <v>0</v>
      </c>
      <c r="U14" s="15">
        <f t="shared" si="8"/>
        <v>0</v>
      </c>
      <c r="V14" s="9">
        <v>0</v>
      </c>
      <c r="W14" s="15">
        <f t="shared" si="9"/>
        <v>0</v>
      </c>
      <c r="X14" s="9">
        <v>0</v>
      </c>
      <c r="Y14" s="15">
        <f t="shared" si="10"/>
        <v>0</v>
      </c>
      <c r="Z14" s="9">
        <v>0</v>
      </c>
      <c r="AA14" s="15">
        <f t="shared" si="11"/>
        <v>0</v>
      </c>
      <c r="AB14" s="9">
        <v>0</v>
      </c>
      <c r="AC14" s="15">
        <f t="shared" si="12"/>
        <v>0</v>
      </c>
      <c r="AD14" s="7">
        <v>0</v>
      </c>
      <c r="AE14" s="15">
        <f t="shared" si="13"/>
        <v>0</v>
      </c>
      <c r="AF14" s="7">
        <v>0</v>
      </c>
      <c r="AG14" s="15">
        <f t="shared" si="14"/>
        <v>0</v>
      </c>
      <c r="AH14" s="7">
        <v>0</v>
      </c>
      <c r="AI14" s="15">
        <f t="shared" si="15"/>
        <v>0</v>
      </c>
      <c r="AJ14" s="7">
        <v>0</v>
      </c>
      <c r="AK14" s="15">
        <f t="shared" si="16"/>
        <v>0</v>
      </c>
      <c r="AL14" s="7">
        <v>0</v>
      </c>
      <c r="AM14" s="15">
        <f t="shared" si="17"/>
        <v>0</v>
      </c>
      <c r="AN14" s="7">
        <v>0</v>
      </c>
      <c r="AO14" s="15">
        <f t="shared" si="18"/>
        <v>0</v>
      </c>
      <c r="AP14" s="7">
        <v>0</v>
      </c>
      <c r="AQ14" s="15">
        <f t="shared" si="19"/>
        <v>0</v>
      </c>
      <c r="AR14" s="7">
        <v>0</v>
      </c>
      <c r="AS14" s="15">
        <f t="shared" si="20"/>
        <v>0</v>
      </c>
      <c r="AT14" s="7">
        <v>0</v>
      </c>
      <c r="AU14" s="15">
        <f t="shared" si="21"/>
        <v>0</v>
      </c>
      <c r="AV14" s="7">
        <v>0</v>
      </c>
      <c r="AW14" s="15">
        <f t="shared" si="22"/>
        <v>0</v>
      </c>
      <c r="AX14" s="7">
        <v>0</v>
      </c>
      <c r="AY14" s="15">
        <f t="shared" si="23"/>
        <v>0</v>
      </c>
      <c r="AZ14" s="7">
        <v>0</v>
      </c>
      <c r="BA14" s="15">
        <f t="shared" si="24"/>
        <v>0</v>
      </c>
      <c r="BB14" s="7">
        <v>0</v>
      </c>
      <c r="BC14" s="15">
        <f t="shared" si="25"/>
        <v>0</v>
      </c>
      <c r="BD14" s="11">
        <v>0</v>
      </c>
      <c r="BE14" s="15">
        <f t="shared" si="26"/>
        <v>0</v>
      </c>
    </row>
    <row r="15" spans="1:57" x14ac:dyDescent="0.2">
      <c r="A15" s="5" t="s">
        <v>90</v>
      </c>
      <c r="B15" s="15">
        <v>56000</v>
      </c>
      <c r="C15" s="15">
        <v>2333</v>
      </c>
      <c r="D15" s="15">
        <v>5000</v>
      </c>
      <c r="E15" s="15">
        <f t="shared" si="0"/>
        <v>2667</v>
      </c>
      <c r="F15" s="7">
        <v>0</v>
      </c>
      <c r="G15" s="27">
        <f t="shared" si="1"/>
        <v>0</v>
      </c>
      <c r="H15" s="7">
        <v>0</v>
      </c>
      <c r="I15" s="27">
        <f t="shared" si="2"/>
        <v>0</v>
      </c>
      <c r="J15" s="7">
        <v>0</v>
      </c>
      <c r="K15" s="27">
        <f t="shared" si="3"/>
        <v>0</v>
      </c>
      <c r="L15" s="10">
        <v>0</v>
      </c>
      <c r="M15" s="15">
        <f t="shared" si="4"/>
        <v>0</v>
      </c>
      <c r="N15" s="9">
        <v>0</v>
      </c>
      <c r="O15" s="15">
        <f t="shared" si="5"/>
        <v>0</v>
      </c>
      <c r="P15" s="9">
        <v>0</v>
      </c>
      <c r="Q15" s="15">
        <f t="shared" si="6"/>
        <v>0</v>
      </c>
      <c r="R15" s="9">
        <v>0</v>
      </c>
      <c r="S15" s="15">
        <f t="shared" si="7"/>
        <v>0</v>
      </c>
      <c r="T15" s="9">
        <v>0</v>
      </c>
      <c r="U15" s="15">
        <f t="shared" si="8"/>
        <v>0</v>
      </c>
      <c r="V15" s="9">
        <v>0</v>
      </c>
      <c r="W15" s="15">
        <f t="shared" si="9"/>
        <v>0</v>
      </c>
      <c r="X15" s="9">
        <v>0</v>
      </c>
      <c r="Y15" s="15">
        <f t="shared" si="10"/>
        <v>0</v>
      </c>
      <c r="Z15" s="9">
        <v>0</v>
      </c>
      <c r="AA15" s="15">
        <f t="shared" si="11"/>
        <v>0</v>
      </c>
      <c r="AB15" s="9">
        <v>0</v>
      </c>
      <c r="AC15" s="15">
        <f t="shared" si="12"/>
        <v>0</v>
      </c>
      <c r="AD15" s="7">
        <v>0</v>
      </c>
      <c r="AE15" s="15">
        <f t="shared" si="13"/>
        <v>0</v>
      </c>
      <c r="AF15" s="7">
        <v>0</v>
      </c>
      <c r="AG15" s="15">
        <f t="shared" si="14"/>
        <v>0</v>
      </c>
      <c r="AH15" s="7">
        <v>0</v>
      </c>
      <c r="AI15" s="15">
        <f t="shared" si="15"/>
        <v>0</v>
      </c>
      <c r="AJ15" s="7">
        <v>0</v>
      </c>
      <c r="AK15" s="15">
        <f t="shared" si="16"/>
        <v>0</v>
      </c>
      <c r="AL15" s="7">
        <v>0</v>
      </c>
      <c r="AM15" s="15">
        <f t="shared" si="17"/>
        <v>0</v>
      </c>
      <c r="AN15" s="7">
        <v>0</v>
      </c>
      <c r="AO15" s="15">
        <f t="shared" si="18"/>
        <v>0</v>
      </c>
      <c r="AP15" s="7">
        <v>0</v>
      </c>
      <c r="AQ15" s="15">
        <f t="shared" si="19"/>
        <v>0</v>
      </c>
      <c r="AR15" s="7">
        <v>0</v>
      </c>
      <c r="AS15" s="15">
        <f t="shared" si="20"/>
        <v>0</v>
      </c>
      <c r="AT15" s="7">
        <v>0</v>
      </c>
      <c r="AU15" s="15">
        <f t="shared" si="21"/>
        <v>0</v>
      </c>
      <c r="AV15" s="7">
        <v>0</v>
      </c>
      <c r="AW15" s="15">
        <f t="shared" si="22"/>
        <v>0</v>
      </c>
      <c r="AX15" s="7">
        <v>0</v>
      </c>
      <c r="AY15" s="15">
        <f t="shared" si="23"/>
        <v>0</v>
      </c>
      <c r="AZ15" s="7">
        <v>0</v>
      </c>
      <c r="BA15" s="15">
        <f t="shared" si="24"/>
        <v>0</v>
      </c>
      <c r="BB15" s="7">
        <v>0</v>
      </c>
      <c r="BC15" s="15">
        <f t="shared" si="25"/>
        <v>0</v>
      </c>
      <c r="BD15" s="11">
        <v>0</v>
      </c>
      <c r="BE15" s="15">
        <f t="shared" si="26"/>
        <v>0</v>
      </c>
    </row>
    <row r="16" spans="1:57" x14ac:dyDescent="0.2">
      <c r="A16" s="5" t="s">
        <v>91</v>
      </c>
      <c r="B16" s="14"/>
      <c r="C16" s="14"/>
      <c r="D16" s="15">
        <v>7000</v>
      </c>
      <c r="E16" s="15">
        <f t="shared" si="0"/>
        <v>7000</v>
      </c>
      <c r="F16" s="7">
        <v>0</v>
      </c>
      <c r="G16" s="27">
        <f t="shared" si="1"/>
        <v>0</v>
      </c>
      <c r="H16" s="7">
        <v>0</v>
      </c>
      <c r="I16" s="27">
        <f t="shared" si="2"/>
        <v>0</v>
      </c>
      <c r="J16" s="7">
        <v>0</v>
      </c>
      <c r="K16" s="27">
        <f t="shared" si="3"/>
        <v>0</v>
      </c>
      <c r="L16" s="10">
        <v>0</v>
      </c>
      <c r="M16" s="15">
        <f t="shared" si="4"/>
        <v>0</v>
      </c>
      <c r="N16" s="9">
        <v>0</v>
      </c>
      <c r="O16" s="15">
        <f t="shared" si="5"/>
        <v>0</v>
      </c>
      <c r="P16" s="9">
        <v>0</v>
      </c>
      <c r="Q16" s="15">
        <f t="shared" si="6"/>
        <v>0</v>
      </c>
      <c r="R16" s="9">
        <v>0</v>
      </c>
      <c r="S16" s="15">
        <f t="shared" si="7"/>
        <v>0</v>
      </c>
      <c r="T16" s="9">
        <v>0</v>
      </c>
      <c r="U16" s="15">
        <f t="shared" si="8"/>
        <v>0</v>
      </c>
      <c r="V16" s="9">
        <v>0</v>
      </c>
      <c r="W16" s="15">
        <f t="shared" si="9"/>
        <v>0</v>
      </c>
      <c r="X16" s="9">
        <v>0</v>
      </c>
      <c r="Y16" s="15">
        <f t="shared" si="10"/>
        <v>0</v>
      </c>
      <c r="Z16" s="9">
        <v>0</v>
      </c>
      <c r="AA16" s="15">
        <f t="shared" si="11"/>
        <v>0</v>
      </c>
      <c r="AB16" s="9">
        <v>0</v>
      </c>
      <c r="AC16" s="15">
        <f t="shared" si="12"/>
        <v>0</v>
      </c>
      <c r="AD16" s="7">
        <v>0</v>
      </c>
      <c r="AE16" s="15">
        <f t="shared" si="13"/>
        <v>0</v>
      </c>
      <c r="AF16" s="7">
        <v>0</v>
      </c>
      <c r="AG16" s="15">
        <f t="shared" si="14"/>
        <v>0</v>
      </c>
      <c r="AH16" s="7">
        <v>0</v>
      </c>
      <c r="AI16" s="15">
        <f t="shared" si="15"/>
        <v>0</v>
      </c>
      <c r="AJ16" s="7">
        <v>0</v>
      </c>
      <c r="AK16" s="15">
        <f t="shared" si="16"/>
        <v>0</v>
      </c>
      <c r="AL16" s="7">
        <v>0</v>
      </c>
      <c r="AM16" s="15">
        <f t="shared" si="17"/>
        <v>0</v>
      </c>
      <c r="AN16" s="7">
        <v>0</v>
      </c>
      <c r="AO16" s="15">
        <f t="shared" si="18"/>
        <v>0</v>
      </c>
      <c r="AP16" s="7">
        <v>0</v>
      </c>
      <c r="AQ16" s="15">
        <f t="shared" si="19"/>
        <v>0</v>
      </c>
      <c r="AR16" s="7">
        <v>0</v>
      </c>
      <c r="AS16" s="15">
        <f t="shared" si="20"/>
        <v>0</v>
      </c>
      <c r="AT16" s="7">
        <v>0</v>
      </c>
      <c r="AU16" s="15">
        <f t="shared" si="21"/>
        <v>0</v>
      </c>
      <c r="AV16" s="7">
        <v>0</v>
      </c>
      <c r="AW16" s="15">
        <f t="shared" si="22"/>
        <v>0</v>
      </c>
      <c r="AX16" s="7">
        <v>0</v>
      </c>
      <c r="AY16" s="15">
        <f t="shared" si="23"/>
        <v>0</v>
      </c>
      <c r="AZ16" s="7">
        <v>0</v>
      </c>
      <c r="BA16" s="15">
        <f t="shared" si="24"/>
        <v>0</v>
      </c>
      <c r="BB16" s="7">
        <v>0</v>
      </c>
      <c r="BC16" s="15">
        <f t="shared" si="25"/>
        <v>0</v>
      </c>
      <c r="BD16" s="11">
        <v>0</v>
      </c>
      <c r="BE16" s="15">
        <f t="shared" si="26"/>
        <v>0</v>
      </c>
    </row>
    <row r="17" spans="1:57" x14ac:dyDescent="0.2">
      <c r="A17" s="5" t="s">
        <v>252</v>
      </c>
      <c r="B17" s="15">
        <v>46000</v>
      </c>
      <c r="C17" s="15">
        <v>1916</v>
      </c>
      <c r="D17" s="15">
        <v>6000</v>
      </c>
      <c r="E17" s="15">
        <f t="shared" si="0"/>
        <v>4084</v>
      </c>
      <c r="F17" s="7">
        <v>0</v>
      </c>
      <c r="G17" s="27">
        <f t="shared" si="1"/>
        <v>0</v>
      </c>
      <c r="H17" s="7">
        <v>0</v>
      </c>
      <c r="I17" s="27">
        <f t="shared" si="2"/>
        <v>0</v>
      </c>
      <c r="J17" s="7">
        <v>0</v>
      </c>
      <c r="K17" s="27">
        <f t="shared" si="3"/>
        <v>0</v>
      </c>
      <c r="L17" s="10">
        <v>0</v>
      </c>
      <c r="M17" s="15">
        <f t="shared" si="4"/>
        <v>0</v>
      </c>
      <c r="N17" s="9">
        <v>0</v>
      </c>
      <c r="O17" s="15">
        <f t="shared" si="5"/>
        <v>0</v>
      </c>
      <c r="P17" s="9">
        <v>0</v>
      </c>
      <c r="Q17" s="15">
        <f t="shared" si="6"/>
        <v>0</v>
      </c>
      <c r="R17" s="9">
        <v>0</v>
      </c>
      <c r="S17" s="15">
        <f t="shared" si="7"/>
        <v>0</v>
      </c>
      <c r="T17" s="9">
        <v>0</v>
      </c>
      <c r="U17" s="15">
        <f t="shared" si="8"/>
        <v>0</v>
      </c>
      <c r="V17" s="9">
        <v>0</v>
      </c>
      <c r="W17" s="15">
        <f t="shared" si="9"/>
        <v>0</v>
      </c>
      <c r="X17" s="9">
        <v>0</v>
      </c>
      <c r="Y17" s="15">
        <f t="shared" si="10"/>
        <v>0</v>
      </c>
      <c r="Z17" s="9">
        <v>0</v>
      </c>
      <c r="AA17" s="15">
        <f t="shared" si="11"/>
        <v>0</v>
      </c>
      <c r="AB17" s="9">
        <v>0</v>
      </c>
      <c r="AC17" s="15">
        <f t="shared" si="12"/>
        <v>0</v>
      </c>
      <c r="AD17" s="7">
        <v>0</v>
      </c>
      <c r="AE17" s="15">
        <f t="shared" si="13"/>
        <v>0</v>
      </c>
      <c r="AF17" s="7">
        <v>0</v>
      </c>
      <c r="AG17" s="15">
        <f t="shared" si="14"/>
        <v>0</v>
      </c>
      <c r="AH17" s="7">
        <v>0</v>
      </c>
      <c r="AI17" s="15">
        <f t="shared" si="15"/>
        <v>0</v>
      </c>
      <c r="AJ17" s="7">
        <v>0</v>
      </c>
      <c r="AK17" s="15">
        <f t="shared" si="16"/>
        <v>0</v>
      </c>
      <c r="AL17" s="7">
        <v>0</v>
      </c>
      <c r="AM17" s="15">
        <f t="shared" si="17"/>
        <v>0</v>
      </c>
      <c r="AN17" s="7">
        <v>0</v>
      </c>
      <c r="AO17" s="15">
        <f t="shared" si="18"/>
        <v>0</v>
      </c>
      <c r="AP17" s="7">
        <v>0</v>
      </c>
      <c r="AQ17" s="15">
        <f t="shared" si="19"/>
        <v>0</v>
      </c>
      <c r="AR17" s="7">
        <v>0</v>
      </c>
      <c r="AS17" s="15">
        <f t="shared" si="20"/>
        <v>0</v>
      </c>
      <c r="AT17" s="7">
        <v>0</v>
      </c>
      <c r="AU17" s="15">
        <f t="shared" si="21"/>
        <v>0</v>
      </c>
      <c r="AV17" s="7">
        <v>0</v>
      </c>
      <c r="AW17" s="15">
        <f t="shared" si="22"/>
        <v>0</v>
      </c>
      <c r="AX17" s="7">
        <v>0</v>
      </c>
      <c r="AY17" s="15">
        <f t="shared" si="23"/>
        <v>0</v>
      </c>
      <c r="AZ17" s="7">
        <v>0</v>
      </c>
      <c r="BA17" s="15">
        <f t="shared" si="24"/>
        <v>0</v>
      </c>
      <c r="BB17" s="7">
        <v>0</v>
      </c>
      <c r="BC17" s="15">
        <f t="shared" si="25"/>
        <v>0</v>
      </c>
      <c r="BD17" s="11">
        <v>0</v>
      </c>
      <c r="BE17" s="15">
        <f t="shared" si="26"/>
        <v>0</v>
      </c>
    </row>
    <row r="18" spans="1:57" x14ac:dyDescent="0.2">
      <c r="A18" s="5" t="s">
        <v>253</v>
      </c>
      <c r="B18" s="15">
        <v>55000</v>
      </c>
      <c r="C18" s="15">
        <v>2291</v>
      </c>
      <c r="D18" s="15">
        <v>4000</v>
      </c>
      <c r="E18" s="15">
        <f t="shared" si="0"/>
        <v>1709</v>
      </c>
      <c r="F18" s="7">
        <v>0</v>
      </c>
      <c r="G18" s="27">
        <f t="shared" si="1"/>
        <v>0</v>
      </c>
      <c r="H18" s="7">
        <v>0</v>
      </c>
      <c r="I18" s="27">
        <f t="shared" si="2"/>
        <v>0</v>
      </c>
      <c r="J18" s="7">
        <v>0</v>
      </c>
      <c r="K18" s="27">
        <f t="shared" si="3"/>
        <v>0</v>
      </c>
      <c r="L18" s="10">
        <v>0</v>
      </c>
      <c r="M18" s="15">
        <f t="shared" si="4"/>
        <v>0</v>
      </c>
      <c r="N18" s="9">
        <v>0</v>
      </c>
      <c r="O18" s="15">
        <f t="shared" si="5"/>
        <v>0</v>
      </c>
      <c r="P18" s="9">
        <v>0</v>
      </c>
      <c r="Q18" s="15">
        <f t="shared" si="6"/>
        <v>0</v>
      </c>
      <c r="R18" s="9">
        <v>0</v>
      </c>
      <c r="S18" s="15">
        <f t="shared" si="7"/>
        <v>0</v>
      </c>
      <c r="T18" s="9">
        <v>0</v>
      </c>
      <c r="U18" s="15">
        <f t="shared" si="8"/>
        <v>0</v>
      </c>
      <c r="V18" s="9">
        <v>0</v>
      </c>
      <c r="W18" s="15">
        <f t="shared" si="9"/>
        <v>0</v>
      </c>
      <c r="X18" s="9">
        <v>0</v>
      </c>
      <c r="Y18" s="15">
        <f t="shared" si="10"/>
        <v>0</v>
      </c>
      <c r="Z18" s="9">
        <v>0</v>
      </c>
      <c r="AA18" s="15">
        <f t="shared" si="11"/>
        <v>0</v>
      </c>
      <c r="AB18" s="9">
        <v>0</v>
      </c>
      <c r="AC18" s="15">
        <f t="shared" si="12"/>
        <v>0</v>
      </c>
      <c r="AD18" s="7">
        <v>0</v>
      </c>
      <c r="AE18" s="15">
        <f t="shared" si="13"/>
        <v>0</v>
      </c>
      <c r="AF18" s="7">
        <v>0</v>
      </c>
      <c r="AG18" s="15">
        <f t="shared" si="14"/>
        <v>0</v>
      </c>
      <c r="AH18" s="7">
        <v>0</v>
      </c>
      <c r="AI18" s="15">
        <f t="shared" si="15"/>
        <v>0</v>
      </c>
      <c r="AJ18" s="7">
        <v>0</v>
      </c>
      <c r="AK18" s="15">
        <f t="shared" si="16"/>
        <v>0</v>
      </c>
      <c r="AL18" s="7">
        <v>0</v>
      </c>
      <c r="AM18" s="15">
        <f t="shared" si="17"/>
        <v>0</v>
      </c>
      <c r="AN18" s="7">
        <v>0</v>
      </c>
      <c r="AO18" s="15">
        <f t="shared" si="18"/>
        <v>0</v>
      </c>
      <c r="AP18" s="7">
        <v>0</v>
      </c>
      <c r="AQ18" s="15">
        <f t="shared" si="19"/>
        <v>0</v>
      </c>
      <c r="AR18" s="7">
        <v>0</v>
      </c>
      <c r="AS18" s="15">
        <f t="shared" si="20"/>
        <v>0</v>
      </c>
      <c r="AT18" s="7">
        <v>0</v>
      </c>
      <c r="AU18" s="15">
        <f t="shared" si="21"/>
        <v>0</v>
      </c>
      <c r="AV18" s="7">
        <v>0</v>
      </c>
      <c r="AW18" s="15">
        <f t="shared" si="22"/>
        <v>0</v>
      </c>
      <c r="AX18" s="7">
        <v>0</v>
      </c>
      <c r="AY18" s="15">
        <f t="shared" si="23"/>
        <v>0</v>
      </c>
      <c r="AZ18" s="7">
        <v>0</v>
      </c>
      <c r="BA18" s="15">
        <f t="shared" si="24"/>
        <v>0</v>
      </c>
      <c r="BB18" s="7">
        <v>0</v>
      </c>
      <c r="BC18" s="15">
        <f t="shared" si="25"/>
        <v>0</v>
      </c>
      <c r="BD18" s="11">
        <v>0</v>
      </c>
      <c r="BE18" s="15">
        <f t="shared" si="26"/>
        <v>0</v>
      </c>
    </row>
    <row r="19" spans="1:57" x14ac:dyDescent="0.2">
      <c r="A19" s="5" t="s">
        <v>254</v>
      </c>
      <c r="B19" s="15">
        <v>72000</v>
      </c>
      <c r="C19" s="15">
        <v>3000</v>
      </c>
      <c r="D19" s="15">
        <v>6000</v>
      </c>
      <c r="E19" s="15">
        <f t="shared" si="0"/>
        <v>3000</v>
      </c>
      <c r="F19" s="7">
        <v>6</v>
      </c>
      <c r="G19" s="27">
        <f t="shared" si="1"/>
        <v>18000</v>
      </c>
      <c r="H19" s="7">
        <v>0</v>
      </c>
      <c r="I19" s="27">
        <f t="shared" si="2"/>
        <v>0</v>
      </c>
      <c r="J19" s="7">
        <v>0</v>
      </c>
      <c r="K19" s="27">
        <f t="shared" si="3"/>
        <v>0</v>
      </c>
      <c r="L19" s="10">
        <v>0</v>
      </c>
      <c r="M19" s="15">
        <f t="shared" si="4"/>
        <v>0</v>
      </c>
      <c r="N19" s="9">
        <v>0</v>
      </c>
      <c r="O19" s="15">
        <f t="shared" si="5"/>
        <v>0</v>
      </c>
      <c r="P19" s="9">
        <v>0</v>
      </c>
      <c r="Q19" s="15">
        <f t="shared" si="6"/>
        <v>0</v>
      </c>
      <c r="R19" s="9">
        <v>0</v>
      </c>
      <c r="S19" s="15">
        <f t="shared" si="7"/>
        <v>0</v>
      </c>
      <c r="T19" s="9">
        <v>0</v>
      </c>
      <c r="U19" s="15">
        <f t="shared" si="8"/>
        <v>0</v>
      </c>
      <c r="V19" s="9">
        <v>0</v>
      </c>
      <c r="W19" s="15">
        <f t="shared" si="9"/>
        <v>0</v>
      </c>
      <c r="X19" s="9">
        <v>0</v>
      </c>
      <c r="Y19" s="15">
        <f t="shared" si="10"/>
        <v>0</v>
      </c>
      <c r="Z19" s="9">
        <v>0</v>
      </c>
      <c r="AA19" s="15">
        <f t="shared" si="11"/>
        <v>0</v>
      </c>
      <c r="AB19" s="9">
        <v>0</v>
      </c>
      <c r="AC19" s="15">
        <f t="shared" si="12"/>
        <v>0</v>
      </c>
      <c r="AD19" s="7">
        <v>0</v>
      </c>
      <c r="AE19" s="15">
        <f t="shared" si="13"/>
        <v>0</v>
      </c>
      <c r="AF19" s="7">
        <v>0</v>
      </c>
      <c r="AG19" s="15">
        <f t="shared" si="14"/>
        <v>0</v>
      </c>
      <c r="AH19" s="7">
        <v>0</v>
      </c>
      <c r="AI19" s="15">
        <f t="shared" si="15"/>
        <v>0</v>
      </c>
      <c r="AJ19" s="7">
        <v>0</v>
      </c>
      <c r="AK19" s="15">
        <f t="shared" si="16"/>
        <v>0</v>
      </c>
      <c r="AL19" s="7">
        <v>0</v>
      </c>
      <c r="AM19" s="15">
        <f t="shared" si="17"/>
        <v>0</v>
      </c>
      <c r="AN19" s="7">
        <v>0</v>
      </c>
      <c r="AO19" s="15">
        <f t="shared" si="18"/>
        <v>0</v>
      </c>
      <c r="AP19" s="7">
        <v>0</v>
      </c>
      <c r="AQ19" s="15">
        <f t="shared" si="19"/>
        <v>0</v>
      </c>
      <c r="AR19" s="7">
        <v>0</v>
      </c>
      <c r="AS19" s="15">
        <f t="shared" si="20"/>
        <v>0</v>
      </c>
      <c r="AT19" s="7">
        <v>0</v>
      </c>
      <c r="AU19" s="15">
        <f t="shared" si="21"/>
        <v>0</v>
      </c>
      <c r="AV19" s="7">
        <v>0</v>
      </c>
      <c r="AW19" s="15">
        <f t="shared" si="22"/>
        <v>0</v>
      </c>
      <c r="AX19" s="7">
        <v>0</v>
      </c>
      <c r="AY19" s="15">
        <f t="shared" si="23"/>
        <v>0</v>
      </c>
      <c r="AZ19" s="7">
        <v>0</v>
      </c>
      <c r="BA19" s="15">
        <f t="shared" si="24"/>
        <v>0</v>
      </c>
      <c r="BB19" s="7">
        <v>0</v>
      </c>
      <c r="BC19" s="15">
        <f t="shared" si="25"/>
        <v>0</v>
      </c>
      <c r="BD19" s="11">
        <v>0</v>
      </c>
      <c r="BE19" s="15">
        <f t="shared" si="26"/>
        <v>0</v>
      </c>
    </row>
    <row r="20" spans="1:57" x14ac:dyDescent="0.2">
      <c r="A20" s="5" t="s">
        <v>255</v>
      </c>
      <c r="B20" s="15">
        <v>7560</v>
      </c>
      <c r="C20" s="15">
        <v>1260</v>
      </c>
      <c r="D20" s="15">
        <v>3000</v>
      </c>
      <c r="E20" s="15">
        <f t="shared" si="0"/>
        <v>1740</v>
      </c>
      <c r="F20" s="7">
        <v>0</v>
      </c>
      <c r="G20" s="27">
        <f t="shared" si="1"/>
        <v>0</v>
      </c>
      <c r="H20" s="7">
        <v>0</v>
      </c>
      <c r="I20" s="27">
        <f t="shared" si="2"/>
        <v>0</v>
      </c>
      <c r="J20" s="7">
        <v>0</v>
      </c>
      <c r="K20" s="27">
        <f t="shared" si="3"/>
        <v>0</v>
      </c>
      <c r="L20" s="10">
        <v>0</v>
      </c>
      <c r="M20" s="15">
        <f t="shared" si="4"/>
        <v>0</v>
      </c>
      <c r="N20" s="9">
        <v>0</v>
      </c>
      <c r="O20" s="15">
        <f t="shared" si="5"/>
        <v>0</v>
      </c>
      <c r="P20" s="9">
        <v>0</v>
      </c>
      <c r="Q20" s="15">
        <f t="shared" si="6"/>
        <v>0</v>
      </c>
      <c r="R20" s="9">
        <v>0</v>
      </c>
      <c r="S20" s="15">
        <f t="shared" si="7"/>
        <v>0</v>
      </c>
      <c r="T20" s="9">
        <v>0</v>
      </c>
      <c r="U20" s="15">
        <f t="shared" si="8"/>
        <v>0</v>
      </c>
      <c r="V20" s="9">
        <v>0</v>
      </c>
      <c r="W20" s="15">
        <f t="shared" si="9"/>
        <v>0</v>
      </c>
      <c r="X20" s="9">
        <v>0</v>
      </c>
      <c r="Y20" s="15">
        <f t="shared" si="10"/>
        <v>0</v>
      </c>
      <c r="Z20" s="9">
        <v>0</v>
      </c>
      <c r="AA20" s="15">
        <f t="shared" si="11"/>
        <v>0</v>
      </c>
      <c r="AB20" s="9">
        <v>0</v>
      </c>
      <c r="AC20" s="15">
        <f t="shared" si="12"/>
        <v>0</v>
      </c>
      <c r="AD20" s="7">
        <v>0</v>
      </c>
      <c r="AE20" s="15">
        <f t="shared" si="13"/>
        <v>0</v>
      </c>
      <c r="AF20" s="7">
        <v>0</v>
      </c>
      <c r="AG20" s="15">
        <f t="shared" si="14"/>
        <v>0</v>
      </c>
      <c r="AH20" s="7">
        <v>0</v>
      </c>
      <c r="AI20" s="15">
        <f t="shared" si="15"/>
        <v>0</v>
      </c>
      <c r="AJ20" s="7">
        <v>0</v>
      </c>
      <c r="AK20" s="15">
        <f t="shared" si="16"/>
        <v>0</v>
      </c>
      <c r="AL20" s="7">
        <v>0</v>
      </c>
      <c r="AM20" s="15">
        <f t="shared" si="17"/>
        <v>0</v>
      </c>
      <c r="AN20" s="7">
        <v>0</v>
      </c>
      <c r="AO20" s="15">
        <f t="shared" si="18"/>
        <v>0</v>
      </c>
      <c r="AP20" s="7">
        <v>0</v>
      </c>
      <c r="AQ20" s="15">
        <f t="shared" si="19"/>
        <v>0</v>
      </c>
      <c r="AR20" s="7">
        <v>0</v>
      </c>
      <c r="AS20" s="15">
        <f t="shared" si="20"/>
        <v>0</v>
      </c>
      <c r="AT20" s="7">
        <v>0</v>
      </c>
      <c r="AU20" s="15">
        <f t="shared" si="21"/>
        <v>0</v>
      </c>
      <c r="AV20" s="7">
        <v>0</v>
      </c>
      <c r="AW20" s="15">
        <f t="shared" si="22"/>
        <v>0</v>
      </c>
      <c r="AX20" s="7">
        <v>0</v>
      </c>
      <c r="AY20" s="15">
        <f t="shared" si="23"/>
        <v>0</v>
      </c>
      <c r="AZ20" s="7">
        <v>0</v>
      </c>
      <c r="BA20" s="15">
        <f t="shared" si="24"/>
        <v>0</v>
      </c>
      <c r="BB20" s="7">
        <v>0</v>
      </c>
      <c r="BC20" s="15">
        <f t="shared" si="25"/>
        <v>0</v>
      </c>
      <c r="BD20" s="11">
        <v>0</v>
      </c>
      <c r="BE20" s="15">
        <f t="shared" si="26"/>
        <v>0</v>
      </c>
    </row>
    <row r="21" spans="1:57" x14ac:dyDescent="0.2">
      <c r="A21" s="5" t="s">
        <v>256</v>
      </c>
      <c r="B21" s="15">
        <v>54700</v>
      </c>
      <c r="C21" s="15">
        <v>1823</v>
      </c>
      <c r="D21" s="15">
        <v>4000</v>
      </c>
      <c r="E21" s="15">
        <f t="shared" si="0"/>
        <v>2177</v>
      </c>
      <c r="F21" s="7">
        <v>0</v>
      </c>
      <c r="G21" s="27">
        <f t="shared" si="1"/>
        <v>0</v>
      </c>
      <c r="H21" s="7">
        <v>0</v>
      </c>
      <c r="I21" s="27">
        <f t="shared" si="2"/>
        <v>0</v>
      </c>
      <c r="J21" s="7">
        <v>0</v>
      </c>
      <c r="K21" s="27">
        <f t="shared" si="3"/>
        <v>0</v>
      </c>
      <c r="L21" s="10">
        <v>0</v>
      </c>
      <c r="M21" s="15">
        <f t="shared" si="4"/>
        <v>0</v>
      </c>
      <c r="N21" s="9">
        <v>0</v>
      </c>
      <c r="O21" s="15">
        <f t="shared" si="5"/>
        <v>0</v>
      </c>
      <c r="P21" s="9">
        <v>0</v>
      </c>
      <c r="Q21" s="15">
        <f t="shared" si="6"/>
        <v>0</v>
      </c>
      <c r="R21" s="9">
        <v>0</v>
      </c>
      <c r="S21" s="15">
        <f t="shared" si="7"/>
        <v>0</v>
      </c>
      <c r="T21" s="9">
        <v>0</v>
      </c>
      <c r="U21" s="15">
        <f t="shared" si="8"/>
        <v>0</v>
      </c>
      <c r="V21" s="9">
        <v>0</v>
      </c>
      <c r="W21" s="15">
        <f t="shared" si="9"/>
        <v>0</v>
      </c>
      <c r="X21" s="9">
        <v>0</v>
      </c>
      <c r="Y21" s="15">
        <f t="shared" si="10"/>
        <v>0</v>
      </c>
      <c r="Z21" s="9">
        <v>0</v>
      </c>
      <c r="AA21" s="15">
        <f t="shared" si="11"/>
        <v>0</v>
      </c>
      <c r="AB21" s="9">
        <v>0</v>
      </c>
      <c r="AC21" s="15">
        <f t="shared" si="12"/>
        <v>0</v>
      </c>
      <c r="AD21" s="7">
        <v>0</v>
      </c>
      <c r="AE21" s="15">
        <f t="shared" si="13"/>
        <v>0</v>
      </c>
      <c r="AF21" s="7">
        <v>0</v>
      </c>
      <c r="AG21" s="15">
        <f t="shared" si="14"/>
        <v>0</v>
      </c>
      <c r="AH21" s="7">
        <v>0</v>
      </c>
      <c r="AI21" s="15">
        <f t="shared" si="15"/>
        <v>0</v>
      </c>
      <c r="AJ21" s="7">
        <v>0</v>
      </c>
      <c r="AK21" s="15">
        <f t="shared" si="16"/>
        <v>0</v>
      </c>
      <c r="AL21" s="7">
        <v>0</v>
      </c>
      <c r="AM21" s="15">
        <f t="shared" si="17"/>
        <v>0</v>
      </c>
      <c r="AN21" s="7">
        <v>0</v>
      </c>
      <c r="AO21" s="15">
        <f t="shared" si="18"/>
        <v>0</v>
      </c>
      <c r="AP21" s="7">
        <v>0</v>
      </c>
      <c r="AQ21" s="15">
        <f t="shared" si="19"/>
        <v>0</v>
      </c>
      <c r="AR21" s="7">
        <v>0</v>
      </c>
      <c r="AS21" s="15">
        <f t="shared" si="20"/>
        <v>0</v>
      </c>
      <c r="AT21" s="7">
        <v>8</v>
      </c>
      <c r="AU21" s="15">
        <f t="shared" si="21"/>
        <v>17416</v>
      </c>
      <c r="AV21" s="7">
        <v>0</v>
      </c>
      <c r="AW21" s="15">
        <f t="shared" si="22"/>
        <v>0</v>
      </c>
      <c r="AX21" s="7">
        <v>0</v>
      </c>
      <c r="AY21" s="15">
        <f t="shared" si="23"/>
        <v>0</v>
      </c>
      <c r="AZ21" s="7">
        <v>0</v>
      </c>
      <c r="BA21" s="15">
        <f t="shared" si="24"/>
        <v>0</v>
      </c>
      <c r="BB21" s="7">
        <v>0</v>
      </c>
      <c r="BC21" s="15">
        <f t="shared" si="25"/>
        <v>0</v>
      </c>
      <c r="BD21" s="11">
        <v>0</v>
      </c>
      <c r="BE21" s="15">
        <f t="shared" si="26"/>
        <v>0</v>
      </c>
    </row>
    <row r="22" spans="1:57" x14ac:dyDescent="0.2">
      <c r="A22" s="5" t="s">
        <v>257</v>
      </c>
      <c r="B22" s="15">
        <v>56000</v>
      </c>
      <c r="C22" s="15">
        <v>1866</v>
      </c>
      <c r="D22" s="15">
        <v>4000</v>
      </c>
      <c r="E22" s="15">
        <f t="shared" si="0"/>
        <v>2134</v>
      </c>
      <c r="F22" s="7">
        <v>0</v>
      </c>
      <c r="G22" s="27">
        <f t="shared" si="1"/>
        <v>0</v>
      </c>
      <c r="H22" s="7">
        <v>0</v>
      </c>
      <c r="I22" s="27">
        <f t="shared" si="2"/>
        <v>0</v>
      </c>
      <c r="J22" s="7">
        <v>0</v>
      </c>
      <c r="K22" s="27">
        <f t="shared" si="3"/>
        <v>0</v>
      </c>
      <c r="L22" s="10">
        <v>0</v>
      </c>
      <c r="M22" s="15">
        <f t="shared" si="4"/>
        <v>0</v>
      </c>
      <c r="N22" s="9">
        <v>0</v>
      </c>
      <c r="O22" s="15">
        <f t="shared" si="5"/>
        <v>0</v>
      </c>
      <c r="P22" s="9">
        <v>0</v>
      </c>
      <c r="Q22" s="15">
        <f t="shared" si="6"/>
        <v>0</v>
      </c>
      <c r="R22" s="9">
        <v>0</v>
      </c>
      <c r="S22" s="15">
        <f t="shared" si="7"/>
        <v>0</v>
      </c>
      <c r="T22" s="9">
        <v>0</v>
      </c>
      <c r="U22" s="15">
        <f t="shared" si="8"/>
        <v>0</v>
      </c>
      <c r="V22" s="9">
        <v>0</v>
      </c>
      <c r="W22" s="15">
        <f t="shared" si="9"/>
        <v>0</v>
      </c>
      <c r="X22" s="9">
        <v>0</v>
      </c>
      <c r="Y22" s="15">
        <f t="shared" si="10"/>
        <v>0</v>
      </c>
      <c r="Z22" s="9">
        <v>0</v>
      </c>
      <c r="AA22" s="15">
        <f t="shared" si="11"/>
        <v>0</v>
      </c>
      <c r="AB22" s="9">
        <v>0</v>
      </c>
      <c r="AC22" s="15">
        <f t="shared" si="12"/>
        <v>0</v>
      </c>
      <c r="AD22" s="7">
        <v>0</v>
      </c>
      <c r="AE22" s="15">
        <f t="shared" si="13"/>
        <v>0</v>
      </c>
      <c r="AF22" s="7">
        <v>0</v>
      </c>
      <c r="AG22" s="15">
        <f t="shared" si="14"/>
        <v>0</v>
      </c>
      <c r="AH22" s="7">
        <v>0</v>
      </c>
      <c r="AI22" s="15">
        <f t="shared" si="15"/>
        <v>0</v>
      </c>
      <c r="AJ22" s="7">
        <v>0</v>
      </c>
      <c r="AK22" s="15">
        <f t="shared" si="16"/>
        <v>0</v>
      </c>
      <c r="AL22" s="7">
        <v>0</v>
      </c>
      <c r="AM22" s="15">
        <f t="shared" si="17"/>
        <v>0</v>
      </c>
      <c r="AN22" s="7">
        <v>0</v>
      </c>
      <c r="AO22" s="15">
        <f t="shared" si="18"/>
        <v>0</v>
      </c>
      <c r="AP22" s="7">
        <v>0</v>
      </c>
      <c r="AQ22" s="15">
        <f t="shared" si="19"/>
        <v>0</v>
      </c>
      <c r="AR22" s="7">
        <v>0</v>
      </c>
      <c r="AS22" s="15">
        <f t="shared" si="20"/>
        <v>0</v>
      </c>
      <c r="AT22" s="7">
        <v>0</v>
      </c>
      <c r="AU22" s="15">
        <f t="shared" si="21"/>
        <v>0</v>
      </c>
      <c r="AV22" s="7">
        <v>0</v>
      </c>
      <c r="AW22" s="15">
        <f t="shared" si="22"/>
        <v>0</v>
      </c>
      <c r="AX22" s="7">
        <v>0</v>
      </c>
      <c r="AY22" s="15">
        <f t="shared" si="23"/>
        <v>0</v>
      </c>
      <c r="AZ22" s="7">
        <v>0</v>
      </c>
      <c r="BA22" s="15">
        <f t="shared" si="24"/>
        <v>0</v>
      </c>
      <c r="BB22" s="7">
        <v>0</v>
      </c>
      <c r="BC22" s="15">
        <f t="shared" si="25"/>
        <v>0</v>
      </c>
      <c r="BD22" s="11">
        <v>0</v>
      </c>
      <c r="BE22" s="15">
        <f t="shared" si="26"/>
        <v>0</v>
      </c>
    </row>
    <row r="23" spans="1:57" x14ac:dyDescent="0.2">
      <c r="A23" s="5" t="s">
        <v>258</v>
      </c>
      <c r="B23" s="15">
        <v>55000</v>
      </c>
      <c r="C23" s="15">
        <v>2291</v>
      </c>
      <c r="D23" s="15">
        <v>5000</v>
      </c>
      <c r="E23" s="15">
        <f t="shared" si="0"/>
        <v>2709</v>
      </c>
      <c r="F23" s="7">
        <v>1</v>
      </c>
      <c r="G23" s="27">
        <f t="shared" si="1"/>
        <v>2709</v>
      </c>
      <c r="H23" s="7">
        <v>0</v>
      </c>
      <c r="I23" s="27">
        <f t="shared" si="2"/>
        <v>0</v>
      </c>
      <c r="J23" s="7">
        <v>0</v>
      </c>
      <c r="K23" s="27">
        <f t="shared" si="3"/>
        <v>0</v>
      </c>
      <c r="L23" s="10">
        <v>0</v>
      </c>
      <c r="M23" s="15">
        <f t="shared" si="4"/>
        <v>0</v>
      </c>
      <c r="N23" s="9">
        <v>0</v>
      </c>
      <c r="O23" s="15">
        <f t="shared" si="5"/>
        <v>0</v>
      </c>
      <c r="P23" s="9">
        <v>0</v>
      </c>
      <c r="Q23" s="15">
        <f t="shared" si="6"/>
        <v>0</v>
      </c>
      <c r="R23" s="9">
        <v>0</v>
      </c>
      <c r="S23" s="15">
        <f t="shared" si="7"/>
        <v>0</v>
      </c>
      <c r="T23" s="9">
        <v>0</v>
      </c>
      <c r="U23" s="15">
        <f t="shared" si="8"/>
        <v>0</v>
      </c>
      <c r="V23" s="9">
        <v>0</v>
      </c>
      <c r="W23" s="15">
        <f t="shared" si="9"/>
        <v>0</v>
      </c>
      <c r="X23" s="9">
        <v>0</v>
      </c>
      <c r="Y23" s="15">
        <f t="shared" si="10"/>
        <v>0</v>
      </c>
      <c r="Z23" s="9">
        <v>0</v>
      </c>
      <c r="AA23" s="15">
        <f t="shared" si="11"/>
        <v>0</v>
      </c>
      <c r="AB23" s="9">
        <v>0</v>
      </c>
      <c r="AC23" s="15">
        <f t="shared" si="12"/>
        <v>0</v>
      </c>
      <c r="AD23" s="7">
        <v>0</v>
      </c>
      <c r="AE23" s="15">
        <f t="shared" si="13"/>
        <v>0</v>
      </c>
      <c r="AF23" s="7">
        <v>0</v>
      </c>
      <c r="AG23" s="15">
        <f t="shared" si="14"/>
        <v>0</v>
      </c>
      <c r="AH23" s="7">
        <v>0</v>
      </c>
      <c r="AI23" s="15">
        <f t="shared" si="15"/>
        <v>0</v>
      </c>
      <c r="AJ23" s="7">
        <v>0</v>
      </c>
      <c r="AK23" s="15">
        <f t="shared" si="16"/>
        <v>0</v>
      </c>
      <c r="AL23" s="7">
        <v>0</v>
      </c>
      <c r="AM23" s="15">
        <f t="shared" si="17"/>
        <v>0</v>
      </c>
      <c r="AN23" s="7">
        <v>0</v>
      </c>
      <c r="AO23" s="15">
        <f t="shared" si="18"/>
        <v>0</v>
      </c>
      <c r="AP23" s="7">
        <v>0</v>
      </c>
      <c r="AQ23" s="15">
        <f t="shared" si="19"/>
        <v>0</v>
      </c>
      <c r="AR23" s="7">
        <v>0</v>
      </c>
      <c r="AS23" s="15">
        <f t="shared" si="20"/>
        <v>0</v>
      </c>
      <c r="AT23" s="7">
        <v>0</v>
      </c>
      <c r="AU23" s="15">
        <f t="shared" si="21"/>
        <v>0</v>
      </c>
      <c r="AV23" s="7">
        <v>0</v>
      </c>
      <c r="AW23" s="15">
        <f t="shared" si="22"/>
        <v>0</v>
      </c>
      <c r="AX23" s="7">
        <v>0</v>
      </c>
      <c r="AY23" s="15">
        <f t="shared" si="23"/>
        <v>0</v>
      </c>
      <c r="AZ23" s="7">
        <v>0</v>
      </c>
      <c r="BA23" s="15">
        <f t="shared" si="24"/>
        <v>0</v>
      </c>
      <c r="BB23" s="7">
        <v>0</v>
      </c>
      <c r="BC23" s="15">
        <f t="shared" si="25"/>
        <v>0</v>
      </c>
      <c r="BD23" s="11">
        <v>0</v>
      </c>
      <c r="BE23" s="15">
        <f t="shared" si="26"/>
        <v>0</v>
      </c>
    </row>
    <row r="24" spans="1:57" x14ac:dyDescent="0.2">
      <c r="A24" s="5" t="s">
        <v>99</v>
      </c>
      <c r="B24" s="26">
        <v>6000</v>
      </c>
      <c r="C24" s="15">
        <v>2500</v>
      </c>
      <c r="D24" s="15">
        <v>5000</v>
      </c>
      <c r="E24" s="15">
        <f t="shared" si="0"/>
        <v>2500</v>
      </c>
      <c r="F24" s="7">
        <v>6</v>
      </c>
      <c r="G24" s="27">
        <f t="shared" si="1"/>
        <v>15000</v>
      </c>
      <c r="H24" s="7">
        <v>49</v>
      </c>
      <c r="I24" s="27">
        <f t="shared" si="2"/>
        <v>122500</v>
      </c>
      <c r="J24" s="7">
        <v>0</v>
      </c>
      <c r="K24" s="27">
        <f t="shared" si="3"/>
        <v>0</v>
      </c>
      <c r="L24" s="10">
        <v>2</v>
      </c>
      <c r="M24" s="15">
        <f t="shared" si="4"/>
        <v>5000</v>
      </c>
      <c r="N24" s="9">
        <v>16</v>
      </c>
      <c r="O24" s="15">
        <f t="shared" si="5"/>
        <v>40000</v>
      </c>
      <c r="P24" s="9">
        <v>0</v>
      </c>
      <c r="Q24" s="15">
        <f t="shared" si="6"/>
        <v>0</v>
      </c>
      <c r="R24" s="9">
        <v>0</v>
      </c>
      <c r="S24" s="15">
        <f t="shared" si="7"/>
        <v>0</v>
      </c>
      <c r="T24" s="9">
        <v>1</v>
      </c>
      <c r="U24" s="15">
        <f t="shared" si="8"/>
        <v>2500</v>
      </c>
      <c r="V24" s="9">
        <v>0</v>
      </c>
      <c r="W24" s="15">
        <f t="shared" si="9"/>
        <v>0</v>
      </c>
      <c r="X24" s="9">
        <v>0</v>
      </c>
      <c r="Y24" s="15">
        <f t="shared" si="10"/>
        <v>0</v>
      </c>
      <c r="Z24" s="9">
        <v>0</v>
      </c>
      <c r="AA24" s="15">
        <f t="shared" si="11"/>
        <v>0</v>
      </c>
      <c r="AB24" s="9">
        <v>0</v>
      </c>
      <c r="AC24" s="15">
        <f t="shared" si="12"/>
        <v>0</v>
      </c>
      <c r="AD24" s="7">
        <v>3</v>
      </c>
      <c r="AE24" s="15">
        <f t="shared" si="13"/>
        <v>7500</v>
      </c>
      <c r="AF24" s="7">
        <v>12</v>
      </c>
      <c r="AG24" s="15">
        <f t="shared" si="14"/>
        <v>30000</v>
      </c>
      <c r="AH24" s="7">
        <v>0</v>
      </c>
      <c r="AI24" s="15">
        <f t="shared" si="15"/>
        <v>0</v>
      </c>
      <c r="AJ24" s="7">
        <v>0</v>
      </c>
      <c r="AK24" s="15">
        <f t="shared" si="16"/>
        <v>0</v>
      </c>
      <c r="AL24" s="7">
        <v>0</v>
      </c>
      <c r="AM24" s="15">
        <f t="shared" si="17"/>
        <v>0</v>
      </c>
      <c r="AN24" s="7">
        <v>14</v>
      </c>
      <c r="AO24" s="15">
        <f t="shared" si="18"/>
        <v>35000</v>
      </c>
      <c r="AP24" s="7">
        <v>0</v>
      </c>
      <c r="AQ24" s="15">
        <f t="shared" si="19"/>
        <v>0</v>
      </c>
      <c r="AR24" s="7">
        <v>17</v>
      </c>
      <c r="AS24" s="15">
        <f t="shared" si="20"/>
        <v>42500</v>
      </c>
      <c r="AT24" s="7">
        <v>1</v>
      </c>
      <c r="AU24" s="15">
        <f t="shared" si="21"/>
        <v>2500</v>
      </c>
      <c r="AV24" s="7">
        <v>0</v>
      </c>
      <c r="AW24" s="15">
        <f t="shared" si="22"/>
        <v>0</v>
      </c>
      <c r="AX24" s="7">
        <v>0</v>
      </c>
      <c r="AY24" s="15">
        <f t="shared" si="23"/>
        <v>0</v>
      </c>
      <c r="AZ24" s="7">
        <v>8</v>
      </c>
      <c r="BA24" s="15">
        <f t="shared" si="24"/>
        <v>20000</v>
      </c>
      <c r="BB24" s="7">
        <v>0</v>
      </c>
      <c r="BC24" s="15">
        <f t="shared" si="25"/>
        <v>0</v>
      </c>
      <c r="BD24" s="12">
        <v>2</v>
      </c>
      <c r="BE24" s="15">
        <f t="shared" si="26"/>
        <v>5000</v>
      </c>
    </row>
    <row r="25" spans="1:57" x14ac:dyDescent="0.2">
      <c r="A25" s="5" t="s">
        <v>100</v>
      </c>
      <c r="B25" s="26">
        <v>64000</v>
      </c>
      <c r="C25" s="26">
        <v>2133</v>
      </c>
      <c r="D25" s="15">
        <v>3400</v>
      </c>
      <c r="E25" s="15">
        <f t="shared" si="0"/>
        <v>1267</v>
      </c>
      <c r="F25" s="7">
        <v>70</v>
      </c>
      <c r="G25" s="27">
        <f t="shared" si="1"/>
        <v>88690</v>
      </c>
      <c r="H25" s="7">
        <v>80</v>
      </c>
      <c r="I25" s="27">
        <f t="shared" si="2"/>
        <v>101360</v>
      </c>
      <c r="J25" s="7">
        <v>4</v>
      </c>
      <c r="K25" s="27">
        <f t="shared" si="3"/>
        <v>5068</v>
      </c>
      <c r="L25" s="10">
        <v>70</v>
      </c>
      <c r="M25" s="15">
        <f t="shared" si="4"/>
        <v>88690</v>
      </c>
      <c r="N25" s="9">
        <v>58</v>
      </c>
      <c r="O25" s="15">
        <f t="shared" si="5"/>
        <v>73486</v>
      </c>
      <c r="P25" s="9">
        <v>23</v>
      </c>
      <c r="Q25" s="15">
        <f t="shared" si="6"/>
        <v>29141</v>
      </c>
      <c r="R25" s="9">
        <v>50</v>
      </c>
      <c r="S25" s="15">
        <f t="shared" si="7"/>
        <v>63350</v>
      </c>
      <c r="T25" s="9">
        <v>42</v>
      </c>
      <c r="U25" s="15">
        <f t="shared" si="8"/>
        <v>53214</v>
      </c>
      <c r="V25" s="9">
        <v>5</v>
      </c>
      <c r="W25" s="15">
        <f t="shared" si="9"/>
        <v>6335</v>
      </c>
      <c r="X25" s="9">
        <v>63</v>
      </c>
      <c r="Y25" s="15">
        <f t="shared" si="10"/>
        <v>79821</v>
      </c>
      <c r="Z25" s="9">
        <v>12</v>
      </c>
      <c r="AA25" s="15">
        <f t="shared" si="11"/>
        <v>15204</v>
      </c>
      <c r="AB25" s="9">
        <v>0</v>
      </c>
      <c r="AC25" s="15">
        <f t="shared" si="12"/>
        <v>0</v>
      </c>
      <c r="AD25" s="7">
        <v>68</v>
      </c>
      <c r="AE25" s="15">
        <f t="shared" si="13"/>
        <v>86156</v>
      </c>
      <c r="AF25" s="7">
        <v>92</v>
      </c>
      <c r="AG25" s="15">
        <f t="shared" si="14"/>
        <v>116564</v>
      </c>
      <c r="AH25" s="7">
        <v>25</v>
      </c>
      <c r="AI25" s="15">
        <f t="shared" si="15"/>
        <v>31675</v>
      </c>
      <c r="AJ25" s="7">
        <v>7</v>
      </c>
      <c r="AK25" s="15">
        <f t="shared" si="16"/>
        <v>8869</v>
      </c>
      <c r="AL25" s="7">
        <v>17</v>
      </c>
      <c r="AM25" s="15">
        <f t="shared" si="17"/>
        <v>21539</v>
      </c>
      <c r="AN25" s="7">
        <v>23</v>
      </c>
      <c r="AO25" s="15">
        <f t="shared" si="18"/>
        <v>29141</v>
      </c>
      <c r="AP25" s="7">
        <v>40</v>
      </c>
      <c r="AQ25" s="15">
        <f t="shared" si="19"/>
        <v>50680</v>
      </c>
      <c r="AR25" s="7">
        <v>27</v>
      </c>
      <c r="AS25" s="15">
        <f t="shared" si="20"/>
        <v>34209</v>
      </c>
      <c r="AT25" s="7">
        <v>11</v>
      </c>
      <c r="AU25" s="15">
        <f t="shared" si="21"/>
        <v>13937</v>
      </c>
      <c r="AV25" s="7">
        <v>12</v>
      </c>
      <c r="AW25" s="15">
        <f t="shared" si="22"/>
        <v>15204</v>
      </c>
      <c r="AX25" s="7">
        <v>26</v>
      </c>
      <c r="AY25" s="15">
        <f t="shared" si="23"/>
        <v>32942</v>
      </c>
      <c r="AZ25" s="7">
        <v>25</v>
      </c>
      <c r="BA25" s="15">
        <f t="shared" si="24"/>
        <v>31675</v>
      </c>
      <c r="BB25" s="7">
        <v>30</v>
      </c>
      <c r="BC25" s="15">
        <f t="shared" si="25"/>
        <v>38010</v>
      </c>
      <c r="BD25" s="12">
        <v>15</v>
      </c>
      <c r="BE25" s="15">
        <f t="shared" si="26"/>
        <v>19005</v>
      </c>
    </row>
    <row r="26" spans="1:57" x14ac:dyDescent="0.2">
      <c r="A26" s="5" t="s">
        <v>101</v>
      </c>
      <c r="B26" s="15">
        <v>63500</v>
      </c>
      <c r="C26" s="15">
        <v>2116</v>
      </c>
      <c r="D26" s="15">
        <v>3400</v>
      </c>
      <c r="E26" s="15">
        <f t="shared" si="0"/>
        <v>1284</v>
      </c>
      <c r="F26" s="7">
        <v>72</v>
      </c>
      <c r="G26" s="27">
        <f t="shared" si="1"/>
        <v>92448</v>
      </c>
      <c r="H26" s="7">
        <v>9</v>
      </c>
      <c r="I26" s="27">
        <f t="shared" si="2"/>
        <v>11556</v>
      </c>
      <c r="J26" s="7">
        <v>0</v>
      </c>
      <c r="K26" s="27">
        <f t="shared" si="3"/>
        <v>0</v>
      </c>
      <c r="L26" s="10">
        <v>57</v>
      </c>
      <c r="M26" s="15">
        <f t="shared" si="4"/>
        <v>73188</v>
      </c>
      <c r="N26" s="9">
        <v>5</v>
      </c>
      <c r="O26" s="15">
        <f t="shared" si="5"/>
        <v>6420</v>
      </c>
      <c r="P26" s="9">
        <v>8</v>
      </c>
      <c r="Q26" s="15">
        <f t="shared" si="6"/>
        <v>10272</v>
      </c>
      <c r="R26" s="9">
        <v>27</v>
      </c>
      <c r="S26" s="15">
        <f t="shared" si="7"/>
        <v>34668</v>
      </c>
      <c r="T26" s="9">
        <v>4</v>
      </c>
      <c r="U26" s="15">
        <f t="shared" si="8"/>
        <v>5136</v>
      </c>
      <c r="V26" s="9">
        <v>6</v>
      </c>
      <c r="W26" s="15">
        <f t="shared" si="9"/>
        <v>7704</v>
      </c>
      <c r="X26" s="9">
        <v>6</v>
      </c>
      <c r="Y26" s="15">
        <f t="shared" si="10"/>
        <v>7704</v>
      </c>
      <c r="Z26" s="9">
        <v>0</v>
      </c>
      <c r="AA26" s="15">
        <f t="shared" si="11"/>
        <v>0</v>
      </c>
      <c r="AB26" s="9">
        <v>4</v>
      </c>
      <c r="AC26" s="15">
        <f t="shared" si="12"/>
        <v>5136</v>
      </c>
      <c r="AD26" s="7">
        <v>12</v>
      </c>
      <c r="AE26" s="15">
        <f t="shared" si="13"/>
        <v>15408</v>
      </c>
      <c r="AF26" s="7">
        <v>34</v>
      </c>
      <c r="AG26" s="15">
        <f t="shared" si="14"/>
        <v>43656</v>
      </c>
      <c r="AH26" s="7">
        <v>19</v>
      </c>
      <c r="AI26" s="15">
        <f t="shared" si="15"/>
        <v>24396</v>
      </c>
      <c r="AJ26" s="7">
        <v>18</v>
      </c>
      <c r="AK26" s="15">
        <f t="shared" si="16"/>
        <v>23112</v>
      </c>
      <c r="AL26" s="7">
        <v>0</v>
      </c>
      <c r="AM26" s="15">
        <f t="shared" si="17"/>
        <v>0</v>
      </c>
      <c r="AN26" s="7">
        <v>49</v>
      </c>
      <c r="AO26" s="15">
        <f t="shared" si="18"/>
        <v>62916</v>
      </c>
      <c r="AP26" s="7">
        <v>32</v>
      </c>
      <c r="AQ26" s="15">
        <f t="shared" si="19"/>
        <v>41088</v>
      </c>
      <c r="AR26" s="7">
        <v>30</v>
      </c>
      <c r="AS26" s="15">
        <f t="shared" si="20"/>
        <v>38520</v>
      </c>
      <c r="AT26" s="7">
        <v>31</v>
      </c>
      <c r="AU26" s="15">
        <f t="shared" si="21"/>
        <v>39804</v>
      </c>
      <c r="AV26" s="7">
        <v>36</v>
      </c>
      <c r="AW26" s="15">
        <f t="shared" si="22"/>
        <v>46224</v>
      </c>
      <c r="AX26" s="7">
        <v>0</v>
      </c>
      <c r="AY26" s="15">
        <f t="shared" si="23"/>
        <v>0</v>
      </c>
      <c r="AZ26" s="7">
        <v>96</v>
      </c>
      <c r="BA26" s="15">
        <f t="shared" si="24"/>
        <v>123264</v>
      </c>
      <c r="BB26" s="7">
        <v>90</v>
      </c>
      <c r="BC26" s="15">
        <f t="shared" si="25"/>
        <v>115560</v>
      </c>
      <c r="BD26" s="12">
        <v>39</v>
      </c>
      <c r="BE26" s="15">
        <f t="shared" si="26"/>
        <v>50076</v>
      </c>
    </row>
    <row r="27" spans="1:57" x14ac:dyDescent="0.2">
      <c r="A27" s="5" t="s">
        <v>102</v>
      </c>
      <c r="B27" s="15">
        <v>63500</v>
      </c>
      <c r="C27" s="15">
        <v>2116</v>
      </c>
      <c r="D27" s="15">
        <v>3400</v>
      </c>
      <c r="E27" s="15">
        <f t="shared" si="0"/>
        <v>1284</v>
      </c>
      <c r="F27" s="7">
        <v>13</v>
      </c>
      <c r="G27" s="27">
        <f t="shared" si="1"/>
        <v>16692</v>
      </c>
      <c r="H27" s="7">
        <v>20</v>
      </c>
      <c r="I27" s="27">
        <f t="shared" si="2"/>
        <v>25680</v>
      </c>
      <c r="J27" s="7">
        <v>0</v>
      </c>
      <c r="K27" s="27">
        <f t="shared" si="3"/>
        <v>0</v>
      </c>
      <c r="L27" s="10">
        <v>7</v>
      </c>
      <c r="M27" s="15">
        <f t="shared" si="4"/>
        <v>8988</v>
      </c>
      <c r="N27" s="9">
        <v>5</v>
      </c>
      <c r="O27" s="15">
        <f t="shared" si="5"/>
        <v>6420</v>
      </c>
      <c r="P27" s="9">
        <v>0</v>
      </c>
      <c r="Q27" s="15">
        <f t="shared" si="6"/>
        <v>0</v>
      </c>
      <c r="R27" s="9">
        <v>5</v>
      </c>
      <c r="S27" s="15">
        <f t="shared" si="7"/>
        <v>6420</v>
      </c>
      <c r="T27" s="9">
        <v>4</v>
      </c>
      <c r="U27" s="15">
        <f t="shared" si="8"/>
        <v>5136</v>
      </c>
      <c r="V27" s="9">
        <v>0</v>
      </c>
      <c r="W27" s="15">
        <f t="shared" si="9"/>
        <v>0</v>
      </c>
      <c r="X27" s="9">
        <v>0</v>
      </c>
      <c r="Y27" s="15">
        <f t="shared" si="10"/>
        <v>0</v>
      </c>
      <c r="Z27" s="9">
        <v>0</v>
      </c>
      <c r="AA27" s="15">
        <f t="shared" si="11"/>
        <v>0</v>
      </c>
      <c r="AB27" s="9">
        <v>0</v>
      </c>
      <c r="AC27" s="15">
        <f t="shared" si="12"/>
        <v>0</v>
      </c>
      <c r="AD27" s="7">
        <v>0</v>
      </c>
      <c r="AE27" s="15">
        <f t="shared" si="13"/>
        <v>0</v>
      </c>
      <c r="AF27" s="7">
        <v>21</v>
      </c>
      <c r="AG27" s="15">
        <f t="shared" si="14"/>
        <v>26964</v>
      </c>
      <c r="AH27" s="7">
        <v>5</v>
      </c>
      <c r="AI27" s="15">
        <f t="shared" si="15"/>
        <v>6420</v>
      </c>
      <c r="AJ27" s="7">
        <v>0</v>
      </c>
      <c r="AK27" s="15">
        <f t="shared" si="16"/>
        <v>0</v>
      </c>
      <c r="AL27" s="7">
        <v>4</v>
      </c>
      <c r="AM27" s="15">
        <f t="shared" si="17"/>
        <v>5136</v>
      </c>
      <c r="AN27" s="7">
        <v>1</v>
      </c>
      <c r="AO27" s="15">
        <f t="shared" si="18"/>
        <v>1284</v>
      </c>
      <c r="AP27" s="7">
        <v>2</v>
      </c>
      <c r="AQ27" s="15">
        <f t="shared" si="19"/>
        <v>2568</v>
      </c>
      <c r="AR27" s="7">
        <v>8</v>
      </c>
      <c r="AS27" s="15">
        <f t="shared" si="20"/>
        <v>10272</v>
      </c>
      <c r="AT27" s="7">
        <v>4</v>
      </c>
      <c r="AU27" s="15">
        <f t="shared" si="21"/>
        <v>5136</v>
      </c>
      <c r="AV27" s="7">
        <v>4</v>
      </c>
      <c r="AW27" s="15">
        <f t="shared" si="22"/>
        <v>5136</v>
      </c>
      <c r="AX27" s="7">
        <v>0</v>
      </c>
      <c r="AY27" s="15">
        <f t="shared" si="23"/>
        <v>0</v>
      </c>
      <c r="AZ27" s="7">
        <v>0</v>
      </c>
      <c r="BA27" s="15">
        <f t="shared" si="24"/>
        <v>0</v>
      </c>
      <c r="BB27" s="7">
        <v>18</v>
      </c>
      <c r="BC27" s="15">
        <f t="shared" si="25"/>
        <v>23112</v>
      </c>
      <c r="BD27" s="12">
        <v>2</v>
      </c>
      <c r="BE27" s="15">
        <f t="shared" si="26"/>
        <v>2568</v>
      </c>
    </row>
    <row r="28" spans="1:57" x14ac:dyDescent="0.2">
      <c r="A28" s="5" t="s">
        <v>103</v>
      </c>
      <c r="B28" s="26">
        <v>52500</v>
      </c>
      <c r="C28" s="15">
        <v>1733</v>
      </c>
      <c r="D28" s="15">
        <v>3400</v>
      </c>
      <c r="E28" s="15">
        <f t="shared" si="0"/>
        <v>1667</v>
      </c>
      <c r="F28" s="7">
        <v>3</v>
      </c>
      <c r="G28" s="27">
        <f t="shared" si="1"/>
        <v>5001</v>
      </c>
      <c r="H28" s="7">
        <v>8</v>
      </c>
      <c r="I28" s="27">
        <f t="shared" si="2"/>
        <v>13336</v>
      </c>
      <c r="J28" s="7">
        <v>20</v>
      </c>
      <c r="K28" s="27">
        <f t="shared" si="3"/>
        <v>33340</v>
      </c>
      <c r="L28" s="10">
        <v>23</v>
      </c>
      <c r="M28" s="15">
        <f t="shared" si="4"/>
        <v>38341</v>
      </c>
      <c r="N28" s="9">
        <v>6</v>
      </c>
      <c r="O28" s="15">
        <f t="shared" si="5"/>
        <v>10002</v>
      </c>
      <c r="P28" s="9">
        <v>0</v>
      </c>
      <c r="Q28" s="15">
        <f t="shared" si="6"/>
        <v>0</v>
      </c>
      <c r="R28" s="9">
        <v>10</v>
      </c>
      <c r="S28" s="15">
        <f t="shared" si="7"/>
        <v>16670</v>
      </c>
      <c r="T28" s="9">
        <v>6</v>
      </c>
      <c r="U28" s="15">
        <f t="shared" si="8"/>
        <v>10002</v>
      </c>
      <c r="V28" s="9">
        <v>0</v>
      </c>
      <c r="W28" s="15">
        <f t="shared" si="9"/>
        <v>0</v>
      </c>
      <c r="X28" s="9">
        <v>0</v>
      </c>
      <c r="Y28" s="15">
        <f t="shared" si="10"/>
        <v>0</v>
      </c>
      <c r="Z28" s="9">
        <v>2</v>
      </c>
      <c r="AA28" s="15">
        <f t="shared" si="11"/>
        <v>3334</v>
      </c>
      <c r="AB28" s="9">
        <v>12</v>
      </c>
      <c r="AC28" s="15">
        <f t="shared" si="12"/>
        <v>20004</v>
      </c>
      <c r="AD28" s="7">
        <v>18</v>
      </c>
      <c r="AE28" s="15">
        <f t="shared" si="13"/>
        <v>30006</v>
      </c>
      <c r="AF28" s="7">
        <v>0</v>
      </c>
      <c r="AG28" s="15">
        <f t="shared" si="14"/>
        <v>0</v>
      </c>
      <c r="AH28" s="7">
        <v>5</v>
      </c>
      <c r="AI28" s="15">
        <f t="shared" si="15"/>
        <v>8335</v>
      </c>
      <c r="AJ28" s="7">
        <v>0</v>
      </c>
      <c r="AK28" s="15">
        <f t="shared" si="16"/>
        <v>0</v>
      </c>
      <c r="AL28" s="7">
        <v>5</v>
      </c>
      <c r="AM28" s="15">
        <f t="shared" si="17"/>
        <v>8335</v>
      </c>
      <c r="AN28" s="7">
        <v>0</v>
      </c>
      <c r="AO28" s="15">
        <f t="shared" si="18"/>
        <v>0</v>
      </c>
      <c r="AP28" s="7">
        <v>26</v>
      </c>
      <c r="AQ28" s="15">
        <f t="shared" si="19"/>
        <v>43342</v>
      </c>
      <c r="AR28" s="7">
        <v>26</v>
      </c>
      <c r="AS28" s="15">
        <f t="shared" si="20"/>
        <v>43342</v>
      </c>
      <c r="AT28" s="7">
        <v>5</v>
      </c>
      <c r="AU28" s="15">
        <f t="shared" si="21"/>
        <v>8335</v>
      </c>
      <c r="AV28" s="7">
        <v>0</v>
      </c>
      <c r="AW28" s="15">
        <f t="shared" si="22"/>
        <v>0</v>
      </c>
      <c r="AX28" s="7">
        <v>0</v>
      </c>
      <c r="AY28" s="15">
        <f t="shared" si="23"/>
        <v>0</v>
      </c>
      <c r="AZ28" s="7">
        <v>9</v>
      </c>
      <c r="BA28" s="15">
        <f t="shared" si="24"/>
        <v>15003</v>
      </c>
      <c r="BB28" s="7">
        <v>20</v>
      </c>
      <c r="BC28" s="15">
        <f t="shared" si="25"/>
        <v>33340</v>
      </c>
      <c r="BD28" s="12">
        <v>7</v>
      </c>
      <c r="BE28" s="15">
        <f t="shared" si="26"/>
        <v>11669</v>
      </c>
    </row>
    <row r="29" spans="1:57" x14ac:dyDescent="0.2">
      <c r="A29" s="5" t="s">
        <v>104</v>
      </c>
      <c r="B29" s="26">
        <v>79000</v>
      </c>
      <c r="C29" s="26">
        <v>2633</v>
      </c>
      <c r="D29" s="15">
        <v>4000</v>
      </c>
      <c r="E29" s="15">
        <f t="shared" si="0"/>
        <v>1367</v>
      </c>
      <c r="F29" s="7">
        <v>0</v>
      </c>
      <c r="G29" s="27">
        <f t="shared" si="1"/>
        <v>0</v>
      </c>
      <c r="H29" s="7">
        <v>0</v>
      </c>
      <c r="I29" s="27">
        <f t="shared" si="2"/>
        <v>0</v>
      </c>
      <c r="J29" s="7">
        <v>0</v>
      </c>
      <c r="K29" s="27">
        <f t="shared" si="3"/>
        <v>0</v>
      </c>
      <c r="L29" s="10">
        <v>0</v>
      </c>
      <c r="M29" s="15">
        <f t="shared" si="4"/>
        <v>0</v>
      </c>
      <c r="N29" s="9">
        <v>14</v>
      </c>
      <c r="O29" s="15">
        <f t="shared" si="5"/>
        <v>19138</v>
      </c>
      <c r="P29" s="9">
        <v>0</v>
      </c>
      <c r="Q29" s="15">
        <f t="shared" si="6"/>
        <v>0</v>
      </c>
      <c r="R29" s="9">
        <v>0</v>
      </c>
      <c r="S29" s="15">
        <f t="shared" si="7"/>
        <v>0</v>
      </c>
      <c r="T29" s="9">
        <v>1</v>
      </c>
      <c r="U29" s="15">
        <f t="shared" si="8"/>
        <v>1367</v>
      </c>
      <c r="V29" s="9">
        <v>0</v>
      </c>
      <c r="W29" s="15">
        <f t="shared" si="9"/>
        <v>0</v>
      </c>
      <c r="X29" s="9">
        <v>0</v>
      </c>
      <c r="Y29" s="15">
        <f t="shared" si="10"/>
        <v>0</v>
      </c>
      <c r="Z29" s="9">
        <v>0</v>
      </c>
      <c r="AA29" s="15">
        <f t="shared" si="11"/>
        <v>0</v>
      </c>
      <c r="AB29" s="9">
        <v>2</v>
      </c>
      <c r="AC29" s="15">
        <f t="shared" si="12"/>
        <v>2734</v>
      </c>
      <c r="AD29" s="7">
        <v>0</v>
      </c>
      <c r="AE29" s="15">
        <f t="shared" si="13"/>
        <v>0</v>
      </c>
      <c r="AF29" s="7">
        <v>3</v>
      </c>
      <c r="AG29" s="15">
        <f t="shared" si="14"/>
        <v>4101</v>
      </c>
      <c r="AH29" s="7">
        <v>0</v>
      </c>
      <c r="AI29" s="15">
        <f t="shared" si="15"/>
        <v>0</v>
      </c>
      <c r="AJ29" s="7">
        <v>0</v>
      </c>
      <c r="AK29" s="15">
        <f t="shared" si="16"/>
        <v>0</v>
      </c>
      <c r="AL29" s="7">
        <v>0</v>
      </c>
      <c r="AM29" s="15">
        <f t="shared" si="17"/>
        <v>0</v>
      </c>
      <c r="AN29" s="7">
        <v>1</v>
      </c>
      <c r="AO29" s="15">
        <f t="shared" si="18"/>
        <v>1367</v>
      </c>
      <c r="AP29" s="7">
        <v>0</v>
      </c>
      <c r="AQ29" s="15">
        <f t="shared" si="19"/>
        <v>0</v>
      </c>
      <c r="AR29" s="7">
        <v>9</v>
      </c>
      <c r="AS29" s="15">
        <f t="shared" si="20"/>
        <v>12303</v>
      </c>
      <c r="AT29" s="7">
        <v>4</v>
      </c>
      <c r="AU29" s="15">
        <f t="shared" si="21"/>
        <v>5468</v>
      </c>
      <c r="AV29" s="7">
        <v>0</v>
      </c>
      <c r="AW29" s="15">
        <f t="shared" si="22"/>
        <v>0</v>
      </c>
      <c r="AX29" s="7">
        <v>0</v>
      </c>
      <c r="AY29" s="15">
        <f t="shared" si="23"/>
        <v>0</v>
      </c>
      <c r="AZ29" s="7">
        <v>0</v>
      </c>
      <c r="BA29" s="15">
        <f t="shared" si="24"/>
        <v>0</v>
      </c>
      <c r="BB29" s="7">
        <v>0</v>
      </c>
      <c r="BC29" s="15">
        <f t="shared" si="25"/>
        <v>0</v>
      </c>
      <c r="BD29" s="11">
        <v>0</v>
      </c>
      <c r="BE29" s="15">
        <f t="shared" si="26"/>
        <v>0</v>
      </c>
    </row>
    <row r="30" spans="1:57" x14ac:dyDescent="0.2">
      <c r="A30" s="5" t="s">
        <v>105</v>
      </c>
      <c r="B30" s="26">
        <v>21550</v>
      </c>
      <c r="C30" s="26">
        <v>21550</v>
      </c>
      <c r="D30" s="15">
        <v>40000</v>
      </c>
      <c r="E30" s="15">
        <f t="shared" si="0"/>
        <v>18450</v>
      </c>
      <c r="F30" s="7">
        <v>0</v>
      </c>
      <c r="G30" s="27">
        <f t="shared" si="1"/>
        <v>0</v>
      </c>
      <c r="H30" s="7">
        <v>0</v>
      </c>
      <c r="I30" s="27">
        <f t="shared" si="2"/>
        <v>0</v>
      </c>
      <c r="J30" s="7">
        <v>0</v>
      </c>
      <c r="K30" s="27">
        <f t="shared" si="3"/>
        <v>0</v>
      </c>
      <c r="L30" s="10">
        <v>4</v>
      </c>
      <c r="M30" s="15">
        <f t="shared" si="4"/>
        <v>73800</v>
      </c>
      <c r="N30" s="9">
        <v>0</v>
      </c>
      <c r="O30" s="15">
        <f t="shared" si="5"/>
        <v>0</v>
      </c>
      <c r="P30" s="9">
        <v>0</v>
      </c>
      <c r="Q30" s="15">
        <f t="shared" si="6"/>
        <v>0</v>
      </c>
      <c r="R30" s="9">
        <v>2</v>
      </c>
      <c r="S30" s="15">
        <f t="shared" si="7"/>
        <v>36900</v>
      </c>
      <c r="T30" s="9">
        <v>0</v>
      </c>
      <c r="U30" s="15">
        <f t="shared" si="8"/>
        <v>0</v>
      </c>
      <c r="V30" s="9">
        <v>0</v>
      </c>
      <c r="W30" s="15">
        <f t="shared" si="9"/>
        <v>0</v>
      </c>
      <c r="X30" s="9">
        <v>0</v>
      </c>
      <c r="Y30" s="15">
        <f t="shared" si="10"/>
        <v>0</v>
      </c>
      <c r="Z30" s="9">
        <v>0</v>
      </c>
      <c r="AA30" s="15">
        <f t="shared" si="11"/>
        <v>0</v>
      </c>
      <c r="AB30" s="9">
        <v>0</v>
      </c>
      <c r="AC30" s="15">
        <f t="shared" si="12"/>
        <v>0</v>
      </c>
      <c r="AD30" s="7">
        <v>0</v>
      </c>
      <c r="AE30" s="15">
        <f t="shared" si="13"/>
        <v>0</v>
      </c>
      <c r="AF30" s="7">
        <v>6</v>
      </c>
      <c r="AG30" s="15">
        <f t="shared" si="14"/>
        <v>110700</v>
      </c>
      <c r="AH30" s="7">
        <v>1</v>
      </c>
      <c r="AI30" s="15">
        <f t="shared" si="15"/>
        <v>18450</v>
      </c>
      <c r="AJ30" s="7">
        <v>0</v>
      </c>
      <c r="AK30" s="15">
        <f t="shared" si="16"/>
        <v>0</v>
      </c>
      <c r="AL30" s="7">
        <v>0</v>
      </c>
      <c r="AM30" s="15">
        <f t="shared" si="17"/>
        <v>0</v>
      </c>
      <c r="AN30" s="7">
        <v>2</v>
      </c>
      <c r="AO30" s="15">
        <f t="shared" si="18"/>
        <v>36900</v>
      </c>
      <c r="AP30" s="7">
        <v>1</v>
      </c>
      <c r="AQ30" s="15">
        <f t="shared" si="19"/>
        <v>18450</v>
      </c>
      <c r="AR30" s="7">
        <v>1</v>
      </c>
      <c r="AS30" s="15">
        <f t="shared" si="20"/>
        <v>18450</v>
      </c>
      <c r="AT30" s="7">
        <v>0</v>
      </c>
      <c r="AU30" s="15">
        <f t="shared" si="21"/>
        <v>0</v>
      </c>
      <c r="AV30" s="7">
        <v>0</v>
      </c>
      <c r="AW30" s="15">
        <f t="shared" si="22"/>
        <v>0</v>
      </c>
      <c r="AX30" s="7">
        <v>0</v>
      </c>
      <c r="AY30" s="15">
        <f t="shared" si="23"/>
        <v>0</v>
      </c>
      <c r="AZ30" s="7">
        <v>0</v>
      </c>
      <c r="BA30" s="15">
        <f t="shared" si="24"/>
        <v>0</v>
      </c>
      <c r="BB30" s="7">
        <v>3</v>
      </c>
      <c r="BC30" s="15">
        <f t="shared" si="25"/>
        <v>55350</v>
      </c>
      <c r="BD30" s="11">
        <v>0</v>
      </c>
      <c r="BE30" s="15">
        <f t="shared" si="26"/>
        <v>0</v>
      </c>
    </row>
    <row r="31" spans="1:57" x14ac:dyDescent="0.2">
      <c r="A31" s="5" t="s">
        <v>106</v>
      </c>
      <c r="B31" s="15">
        <v>38400</v>
      </c>
      <c r="C31" s="15">
        <v>38400</v>
      </c>
      <c r="D31" s="15">
        <v>80000</v>
      </c>
      <c r="E31" s="15">
        <f t="shared" si="0"/>
        <v>41600</v>
      </c>
      <c r="F31" s="7">
        <v>0</v>
      </c>
      <c r="G31" s="27">
        <f t="shared" si="1"/>
        <v>0</v>
      </c>
      <c r="H31" s="7">
        <v>0</v>
      </c>
      <c r="I31" s="27">
        <f t="shared" si="2"/>
        <v>0</v>
      </c>
      <c r="J31" s="7">
        <v>0</v>
      </c>
      <c r="K31" s="27">
        <f t="shared" si="3"/>
        <v>0</v>
      </c>
      <c r="L31" s="10">
        <v>0</v>
      </c>
      <c r="M31" s="15">
        <f t="shared" si="4"/>
        <v>0</v>
      </c>
      <c r="N31" s="9">
        <v>1</v>
      </c>
      <c r="O31" s="15">
        <f t="shared" si="5"/>
        <v>41600</v>
      </c>
      <c r="P31" s="9">
        <v>0</v>
      </c>
      <c r="Q31" s="15">
        <f t="shared" si="6"/>
        <v>0</v>
      </c>
      <c r="R31" s="9">
        <v>0</v>
      </c>
      <c r="S31" s="15">
        <f t="shared" si="7"/>
        <v>0</v>
      </c>
      <c r="T31" s="9">
        <v>0</v>
      </c>
      <c r="U31" s="15">
        <f t="shared" si="8"/>
        <v>0</v>
      </c>
      <c r="V31" s="9">
        <v>0</v>
      </c>
      <c r="W31" s="15">
        <f t="shared" si="9"/>
        <v>0</v>
      </c>
      <c r="X31" s="9">
        <v>0</v>
      </c>
      <c r="Y31" s="15">
        <f t="shared" si="10"/>
        <v>0</v>
      </c>
      <c r="Z31" s="9">
        <v>0</v>
      </c>
      <c r="AA31" s="15">
        <f t="shared" si="11"/>
        <v>0</v>
      </c>
      <c r="AB31" s="9">
        <v>0</v>
      </c>
      <c r="AC31" s="15">
        <f t="shared" si="12"/>
        <v>0</v>
      </c>
      <c r="AD31" s="7">
        <v>0</v>
      </c>
      <c r="AE31" s="15">
        <f t="shared" si="13"/>
        <v>0</v>
      </c>
      <c r="AF31" s="7">
        <v>1</v>
      </c>
      <c r="AG31" s="15">
        <f t="shared" si="14"/>
        <v>41600</v>
      </c>
      <c r="AH31" s="7">
        <v>2</v>
      </c>
      <c r="AI31" s="15">
        <f t="shared" si="15"/>
        <v>83200</v>
      </c>
      <c r="AJ31" s="7">
        <v>0</v>
      </c>
      <c r="AK31" s="15">
        <f t="shared" si="16"/>
        <v>0</v>
      </c>
      <c r="AL31" s="7">
        <v>0</v>
      </c>
      <c r="AM31" s="15">
        <f t="shared" si="17"/>
        <v>0</v>
      </c>
      <c r="AN31" s="7">
        <v>0</v>
      </c>
      <c r="AO31" s="15">
        <f t="shared" si="18"/>
        <v>0</v>
      </c>
      <c r="AP31" s="7">
        <v>0</v>
      </c>
      <c r="AQ31" s="15">
        <f t="shared" si="19"/>
        <v>0</v>
      </c>
      <c r="AR31" s="7">
        <v>0</v>
      </c>
      <c r="AS31" s="15">
        <f t="shared" si="20"/>
        <v>0</v>
      </c>
      <c r="AT31" s="7">
        <v>0</v>
      </c>
      <c r="AU31" s="15">
        <f t="shared" si="21"/>
        <v>0</v>
      </c>
      <c r="AV31" s="7">
        <v>0</v>
      </c>
      <c r="AW31" s="15">
        <f t="shared" si="22"/>
        <v>0</v>
      </c>
      <c r="AX31" s="7">
        <v>0</v>
      </c>
      <c r="AY31" s="15">
        <f t="shared" si="23"/>
        <v>0</v>
      </c>
      <c r="AZ31" s="7">
        <v>0</v>
      </c>
      <c r="BA31" s="15">
        <f t="shared" si="24"/>
        <v>0</v>
      </c>
      <c r="BB31" s="7">
        <v>0</v>
      </c>
      <c r="BC31" s="15">
        <f t="shared" si="25"/>
        <v>0</v>
      </c>
      <c r="BD31" s="11">
        <v>0</v>
      </c>
      <c r="BE31" s="15">
        <f t="shared" si="26"/>
        <v>0</v>
      </c>
    </row>
    <row r="32" spans="1:57" x14ac:dyDescent="0.2">
      <c r="A32" s="5" t="s">
        <v>107</v>
      </c>
      <c r="B32" s="26">
        <v>25000</v>
      </c>
      <c r="C32" s="26">
        <v>25000</v>
      </c>
      <c r="D32" s="15">
        <v>40000</v>
      </c>
      <c r="E32" s="15">
        <f t="shared" si="0"/>
        <v>15000</v>
      </c>
      <c r="F32" s="7">
        <v>0</v>
      </c>
      <c r="G32" s="27">
        <f t="shared" si="1"/>
        <v>0</v>
      </c>
      <c r="H32" s="7">
        <v>0</v>
      </c>
      <c r="I32" s="27">
        <f t="shared" si="2"/>
        <v>0</v>
      </c>
      <c r="J32" s="7">
        <v>0</v>
      </c>
      <c r="K32" s="27">
        <f t="shared" si="3"/>
        <v>0</v>
      </c>
      <c r="L32" s="10">
        <v>0</v>
      </c>
      <c r="M32" s="15">
        <f t="shared" si="4"/>
        <v>0</v>
      </c>
      <c r="N32" s="9">
        <v>0</v>
      </c>
      <c r="O32" s="15">
        <f t="shared" si="5"/>
        <v>0</v>
      </c>
      <c r="P32" s="9">
        <v>0</v>
      </c>
      <c r="Q32" s="15">
        <f t="shared" si="6"/>
        <v>0</v>
      </c>
      <c r="R32" s="9">
        <v>0</v>
      </c>
      <c r="S32" s="15">
        <f t="shared" si="7"/>
        <v>0</v>
      </c>
      <c r="T32" s="9">
        <v>0</v>
      </c>
      <c r="U32" s="15">
        <f t="shared" si="8"/>
        <v>0</v>
      </c>
      <c r="V32" s="9">
        <v>0</v>
      </c>
      <c r="W32" s="15">
        <f t="shared" si="9"/>
        <v>0</v>
      </c>
      <c r="X32" s="9">
        <v>0</v>
      </c>
      <c r="Y32" s="15">
        <f t="shared" si="10"/>
        <v>0</v>
      </c>
      <c r="Z32" s="9">
        <v>0</v>
      </c>
      <c r="AA32" s="15">
        <f t="shared" si="11"/>
        <v>0</v>
      </c>
      <c r="AB32" s="9">
        <v>0</v>
      </c>
      <c r="AC32" s="15">
        <f t="shared" si="12"/>
        <v>0</v>
      </c>
      <c r="AD32" s="7">
        <v>0</v>
      </c>
      <c r="AE32" s="15">
        <f t="shared" si="13"/>
        <v>0</v>
      </c>
      <c r="AF32" s="7">
        <v>0</v>
      </c>
      <c r="AG32" s="15">
        <f t="shared" si="14"/>
        <v>0</v>
      </c>
      <c r="AH32" s="7">
        <v>0</v>
      </c>
      <c r="AI32" s="15">
        <f t="shared" si="15"/>
        <v>0</v>
      </c>
      <c r="AJ32" s="7">
        <v>0</v>
      </c>
      <c r="AK32" s="15">
        <f t="shared" si="16"/>
        <v>0</v>
      </c>
      <c r="AL32" s="7">
        <v>0</v>
      </c>
      <c r="AM32" s="15">
        <f t="shared" si="17"/>
        <v>0</v>
      </c>
      <c r="AN32" s="7">
        <v>0</v>
      </c>
      <c r="AO32" s="15">
        <f t="shared" si="18"/>
        <v>0</v>
      </c>
      <c r="AP32" s="7">
        <v>0</v>
      </c>
      <c r="AQ32" s="15">
        <f t="shared" si="19"/>
        <v>0</v>
      </c>
      <c r="AR32" s="7">
        <v>0</v>
      </c>
      <c r="AS32" s="15">
        <f t="shared" si="20"/>
        <v>0</v>
      </c>
      <c r="AT32" s="7">
        <v>0</v>
      </c>
      <c r="AU32" s="15">
        <f t="shared" si="21"/>
        <v>0</v>
      </c>
      <c r="AV32" s="7">
        <v>0</v>
      </c>
      <c r="AW32" s="15">
        <f t="shared" si="22"/>
        <v>0</v>
      </c>
      <c r="AX32" s="7">
        <v>0</v>
      </c>
      <c r="AY32" s="15">
        <f t="shared" si="23"/>
        <v>0</v>
      </c>
      <c r="AZ32" s="7">
        <v>0</v>
      </c>
      <c r="BA32" s="15">
        <f t="shared" si="24"/>
        <v>0</v>
      </c>
      <c r="BB32" s="7">
        <v>0</v>
      </c>
      <c r="BC32" s="15">
        <f t="shared" si="25"/>
        <v>0</v>
      </c>
      <c r="BD32" s="11">
        <v>0</v>
      </c>
      <c r="BE32" s="15">
        <f t="shared" si="26"/>
        <v>0</v>
      </c>
    </row>
    <row r="33" spans="1:57" x14ac:dyDescent="0.2">
      <c r="A33" s="5" t="s">
        <v>108</v>
      </c>
      <c r="B33" s="15">
        <v>43150</v>
      </c>
      <c r="C33" s="15">
        <v>43150</v>
      </c>
      <c r="D33" s="15">
        <v>85000</v>
      </c>
      <c r="E33" s="15">
        <f t="shared" si="0"/>
        <v>41850</v>
      </c>
      <c r="F33" s="7">
        <v>0</v>
      </c>
      <c r="G33" s="27">
        <f t="shared" si="1"/>
        <v>0</v>
      </c>
      <c r="H33" s="7">
        <v>0</v>
      </c>
      <c r="I33" s="27">
        <f t="shared" si="2"/>
        <v>0</v>
      </c>
      <c r="J33" s="7">
        <v>0</v>
      </c>
      <c r="K33" s="27">
        <f t="shared" si="3"/>
        <v>0</v>
      </c>
      <c r="L33" s="10">
        <v>0</v>
      </c>
      <c r="M33" s="15">
        <f t="shared" si="4"/>
        <v>0</v>
      </c>
      <c r="N33" s="9">
        <v>0</v>
      </c>
      <c r="O33" s="15">
        <f t="shared" si="5"/>
        <v>0</v>
      </c>
      <c r="P33" s="9">
        <v>0</v>
      </c>
      <c r="Q33" s="15">
        <f t="shared" si="6"/>
        <v>0</v>
      </c>
      <c r="R33" s="9">
        <v>0</v>
      </c>
      <c r="S33" s="15">
        <f t="shared" si="7"/>
        <v>0</v>
      </c>
      <c r="T33" s="9">
        <v>0</v>
      </c>
      <c r="U33" s="15">
        <f t="shared" si="8"/>
        <v>0</v>
      </c>
      <c r="V33" s="9">
        <v>0</v>
      </c>
      <c r="W33" s="15">
        <f t="shared" si="9"/>
        <v>0</v>
      </c>
      <c r="X33" s="9">
        <v>0</v>
      </c>
      <c r="Y33" s="15">
        <f t="shared" si="10"/>
        <v>0</v>
      </c>
      <c r="Z33" s="9">
        <v>0</v>
      </c>
      <c r="AA33" s="15">
        <f t="shared" si="11"/>
        <v>0</v>
      </c>
      <c r="AB33" s="9">
        <v>0</v>
      </c>
      <c r="AC33" s="15">
        <f t="shared" si="12"/>
        <v>0</v>
      </c>
      <c r="AD33" s="7">
        <v>0</v>
      </c>
      <c r="AE33" s="15">
        <f t="shared" si="13"/>
        <v>0</v>
      </c>
      <c r="AF33" s="7">
        <v>0</v>
      </c>
      <c r="AG33" s="15">
        <f t="shared" si="14"/>
        <v>0</v>
      </c>
      <c r="AH33" s="7">
        <v>0</v>
      </c>
      <c r="AI33" s="15">
        <f t="shared" si="15"/>
        <v>0</v>
      </c>
      <c r="AJ33" s="7">
        <v>0</v>
      </c>
      <c r="AK33" s="15">
        <f t="shared" si="16"/>
        <v>0</v>
      </c>
      <c r="AL33" s="7">
        <v>0</v>
      </c>
      <c r="AM33" s="15">
        <f t="shared" si="17"/>
        <v>0</v>
      </c>
      <c r="AN33" s="7">
        <v>0</v>
      </c>
      <c r="AO33" s="15">
        <f t="shared" si="18"/>
        <v>0</v>
      </c>
      <c r="AP33" s="7">
        <v>0</v>
      </c>
      <c r="AQ33" s="15">
        <f t="shared" si="19"/>
        <v>0</v>
      </c>
      <c r="AR33" s="7">
        <v>0</v>
      </c>
      <c r="AS33" s="15">
        <f t="shared" si="20"/>
        <v>0</v>
      </c>
      <c r="AT33" s="7">
        <v>0</v>
      </c>
      <c r="AU33" s="15">
        <f t="shared" si="21"/>
        <v>0</v>
      </c>
      <c r="AV33" s="7">
        <v>0</v>
      </c>
      <c r="AW33" s="15">
        <f t="shared" si="22"/>
        <v>0</v>
      </c>
      <c r="AX33" s="7">
        <v>0</v>
      </c>
      <c r="AY33" s="15">
        <f t="shared" si="23"/>
        <v>0</v>
      </c>
      <c r="AZ33" s="7">
        <v>0</v>
      </c>
      <c r="BA33" s="15">
        <f t="shared" si="24"/>
        <v>0</v>
      </c>
      <c r="BB33" s="7">
        <v>0</v>
      </c>
      <c r="BC33" s="15">
        <f t="shared" si="25"/>
        <v>0</v>
      </c>
      <c r="BD33" s="11">
        <v>0</v>
      </c>
      <c r="BE33" s="15">
        <f t="shared" si="26"/>
        <v>0</v>
      </c>
    </row>
    <row r="34" spans="1:57" x14ac:dyDescent="0.2">
      <c r="A34" s="5" t="s">
        <v>109</v>
      </c>
      <c r="B34" s="14"/>
      <c r="C34" s="14"/>
      <c r="D34" s="15">
        <v>50000</v>
      </c>
      <c r="E34" s="15">
        <f t="shared" si="0"/>
        <v>50000</v>
      </c>
      <c r="F34" s="7">
        <v>0</v>
      </c>
      <c r="G34" s="27">
        <f t="shared" si="1"/>
        <v>0</v>
      </c>
      <c r="H34" s="7">
        <v>0</v>
      </c>
      <c r="I34" s="27">
        <f t="shared" si="2"/>
        <v>0</v>
      </c>
      <c r="J34" s="7">
        <v>0</v>
      </c>
      <c r="K34" s="27">
        <f t="shared" si="3"/>
        <v>0</v>
      </c>
      <c r="L34" s="10">
        <v>0</v>
      </c>
      <c r="M34" s="15">
        <f t="shared" si="4"/>
        <v>0</v>
      </c>
      <c r="N34" s="9">
        <v>0</v>
      </c>
      <c r="O34" s="15">
        <f t="shared" si="5"/>
        <v>0</v>
      </c>
      <c r="P34" s="9">
        <v>0</v>
      </c>
      <c r="Q34" s="15">
        <f t="shared" si="6"/>
        <v>0</v>
      </c>
      <c r="R34" s="9">
        <v>0</v>
      </c>
      <c r="S34" s="15">
        <f t="shared" si="7"/>
        <v>0</v>
      </c>
      <c r="T34" s="9">
        <v>0</v>
      </c>
      <c r="U34" s="15">
        <f t="shared" si="8"/>
        <v>0</v>
      </c>
      <c r="V34" s="9">
        <v>0</v>
      </c>
      <c r="W34" s="15">
        <f t="shared" si="9"/>
        <v>0</v>
      </c>
      <c r="X34" s="9">
        <v>0</v>
      </c>
      <c r="Y34" s="15">
        <f t="shared" si="10"/>
        <v>0</v>
      </c>
      <c r="Z34" s="9">
        <v>0</v>
      </c>
      <c r="AA34" s="15">
        <f t="shared" si="11"/>
        <v>0</v>
      </c>
      <c r="AB34" s="9">
        <v>0</v>
      </c>
      <c r="AC34" s="15">
        <f t="shared" si="12"/>
        <v>0</v>
      </c>
      <c r="AD34" s="7">
        <v>0</v>
      </c>
      <c r="AE34" s="15">
        <f t="shared" si="13"/>
        <v>0</v>
      </c>
      <c r="AF34" s="7">
        <v>0</v>
      </c>
      <c r="AG34" s="15">
        <f t="shared" si="14"/>
        <v>0</v>
      </c>
      <c r="AH34" s="7">
        <v>0</v>
      </c>
      <c r="AI34" s="15">
        <f t="shared" si="15"/>
        <v>0</v>
      </c>
      <c r="AJ34" s="7">
        <v>0</v>
      </c>
      <c r="AK34" s="15">
        <f t="shared" si="16"/>
        <v>0</v>
      </c>
      <c r="AL34" s="7">
        <v>0</v>
      </c>
      <c r="AM34" s="15">
        <f t="shared" si="17"/>
        <v>0</v>
      </c>
      <c r="AN34" s="7">
        <v>0</v>
      </c>
      <c r="AO34" s="15">
        <f t="shared" si="18"/>
        <v>0</v>
      </c>
      <c r="AP34" s="7">
        <v>0</v>
      </c>
      <c r="AQ34" s="15">
        <f t="shared" si="19"/>
        <v>0</v>
      </c>
      <c r="AR34" s="7">
        <v>0</v>
      </c>
      <c r="AS34" s="15">
        <f t="shared" si="20"/>
        <v>0</v>
      </c>
      <c r="AT34" s="7">
        <v>0</v>
      </c>
      <c r="AU34" s="15">
        <f t="shared" si="21"/>
        <v>0</v>
      </c>
      <c r="AV34" s="7">
        <v>0</v>
      </c>
      <c r="AW34" s="15">
        <f t="shared" si="22"/>
        <v>0</v>
      </c>
      <c r="AX34" s="7">
        <v>0</v>
      </c>
      <c r="AY34" s="15">
        <f t="shared" si="23"/>
        <v>0</v>
      </c>
      <c r="AZ34" s="7">
        <v>0</v>
      </c>
      <c r="BA34" s="15">
        <f t="shared" si="24"/>
        <v>0</v>
      </c>
      <c r="BB34" s="7">
        <v>0</v>
      </c>
      <c r="BC34" s="15">
        <f t="shared" si="25"/>
        <v>0</v>
      </c>
      <c r="BD34" s="11">
        <v>0</v>
      </c>
      <c r="BE34" s="15">
        <f t="shared" si="26"/>
        <v>0</v>
      </c>
    </row>
    <row r="35" spans="1:57" x14ac:dyDescent="0.2">
      <c r="A35" s="5" t="s">
        <v>110</v>
      </c>
      <c r="B35" s="14"/>
      <c r="C35" s="14"/>
      <c r="D35" s="15">
        <v>45000</v>
      </c>
      <c r="E35" s="15">
        <f t="shared" si="0"/>
        <v>45000</v>
      </c>
      <c r="F35" s="7">
        <v>0</v>
      </c>
      <c r="G35" s="27">
        <f t="shared" si="1"/>
        <v>0</v>
      </c>
      <c r="H35" s="7">
        <v>0</v>
      </c>
      <c r="I35" s="27">
        <f t="shared" si="2"/>
        <v>0</v>
      </c>
      <c r="J35" s="7">
        <v>0</v>
      </c>
      <c r="K35" s="27">
        <f t="shared" si="3"/>
        <v>0</v>
      </c>
      <c r="L35" s="10">
        <v>0</v>
      </c>
      <c r="M35" s="15">
        <f t="shared" si="4"/>
        <v>0</v>
      </c>
      <c r="N35" s="9">
        <v>0</v>
      </c>
      <c r="O35" s="15">
        <f t="shared" si="5"/>
        <v>0</v>
      </c>
      <c r="P35" s="9">
        <v>0</v>
      </c>
      <c r="Q35" s="15">
        <f t="shared" si="6"/>
        <v>0</v>
      </c>
      <c r="R35" s="9">
        <v>0</v>
      </c>
      <c r="S35" s="15">
        <f t="shared" si="7"/>
        <v>0</v>
      </c>
      <c r="T35" s="9">
        <v>0</v>
      </c>
      <c r="U35" s="15">
        <f t="shared" si="8"/>
        <v>0</v>
      </c>
      <c r="V35" s="9">
        <v>0</v>
      </c>
      <c r="W35" s="15">
        <f t="shared" si="9"/>
        <v>0</v>
      </c>
      <c r="X35" s="9">
        <v>0</v>
      </c>
      <c r="Y35" s="15">
        <f t="shared" si="10"/>
        <v>0</v>
      </c>
      <c r="Z35" s="9">
        <v>0</v>
      </c>
      <c r="AA35" s="15">
        <f t="shared" si="11"/>
        <v>0</v>
      </c>
      <c r="AB35" s="9">
        <v>0</v>
      </c>
      <c r="AC35" s="15">
        <f t="shared" si="12"/>
        <v>0</v>
      </c>
      <c r="AD35" s="7">
        <v>0</v>
      </c>
      <c r="AE35" s="15">
        <f t="shared" si="13"/>
        <v>0</v>
      </c>
      <c r="AF35" s="7">
        <v>0</v>
      </c>
      <c r="AG35" s="15">
        <f t="shared" si="14"/>
        <v>0</v>
      </c>
      <c r="AH35" s="7">
        <v>0</v>
      </c>
      <c r="AI35" s="15">
        <f t="shared" si="15"/>
        <v>0</v>
      </c>
      <c r="AJ35" s="7">
        <v>0</v>
      </c>
      <c r="AK35" s="15">
        <f t="shared" si="16"/>
        <v>0</v>
      </c>
      <c r="AL35" s="7">
        <v>0</v>
      </c>
      <c r="AM35" s="15">
        <f t="shared" si="17"/>
        <v>0</v>
      </c>
      <c r="AN35" s="7">
        <v>0</v>
      </c>
      <c r="AO35" s="15">
        <f t="shared" si="18"/>
        <v>0</v>
      </c>
      <c r="AP35" s="7">
        <v>0</v>
      </c>
      <c r="AQ35" s="15">
        <f t="shared" si="19"/>
        <v>0</v>
      </c>
      <c r="AR35" s="7">
        <v>0</v>
      </c>
      <c r="AS35" s="15">
        <f t="shared" si="20"/>
        <v>0</v>
      </c>
      <c r="AT35" s="7">
        <v>0</v>
      </c>
      <c r="AU35" s="15">
        <f t="shared" si="21"/>
        <v>0</v>
      </c>
      <c r="AV35" s="7">
        <v>0</v>
      </c>
      <c r="AW35" s="15">
        <f t="shared" si="22"/>
        <v>0</v>
      </c>
      <c r="AX35" s="7">
        <v>0</v>
      </c>
      <c r="AY35" s="15">
        <f t="shared" si="23"/>
        <v>0</v>
      </c>
      <c r="AZ35" s="7">
        <v>0</v>
      </c>
      <c r="BA35" s="15">
        <f t="shared" si="24"/>
        <v>0</v>
      </c>
      <c r="BB35" s="7">
        <v>0</v>
      </c>
      <c r="BC35" s="15">
        <f t="shared" si="25"/>
        <v>0</v>
      </c>
      <c r="BD35" s="11">
        <v>0</v>
      </c>
      <c r="BE35" s="15">
        <f t="shared" si="26"/>
        <v>0</v>
      </c>
    </row>
    <row r="36" spans="1:57" x14ac:dyDescent="0.2">
      <c r="A36" s="5" t="s">
        <v>111</v>
      </c>
      <c r="B36" s="14"/>
      <c r="C36" s="14"/>
      <c r="D36" s="15">
        <v>85000</v>
      </c>
      <c r="E36" s="15">
        <f t="shared" si="0"/>
        <v>85000</v>
      </c>
      <c r="F36" s="7">
        <v>0</v>
      </c>
      <c r="G36" s="27">
        <f t="shared" si="1"/>
        <v>0</v>
      </c>
      <c r="H36" s="7">
        <v>0</v>
      </c>
      <c r="I36" s="27">
        <f t="shared" si="2"/>
        <v>0</v>
      </c>
      <c r="J36" s="7">
        <v>0</v>
      </c>
      <c r="K36" s="27">
        <f t="shared" si="3"/>
        <v>0</v>
      </c>
      <c r="L36" s="10">
        <v>0</v>
      </c>
      <c r="M36" s="15">
        <f t="shared" si="4"/>
        <v>0</v>
      </c>
      <c r="N36" s="9">
        <v>0</v>
      </c>
      <c r="O36" s="15">
        <f t="shared" si="5"/>
        <v>0</v>
      </c>
      <c r="P36" s="9">
        <v>0</v>
      </c>
      <c r="Q36" s="15">
        <f t="shared" si="6"/>
        <v>0</v>
      </c>
      <c r="R36" s="9">
        <v>0</v>
      </c>
      <c r="S36" s="15">
        <f t="shared" si="7"/>
        <v>0</v>
      </c>
      <c r="T36" s="9">
        <v>0</v>
      </c>
      <c r="U36" s="15">
        <f t="shared" si="8"/>
        <v>0</v>
      </c>
      <c r="V36" s="9">
        <v>0</v>
      </c>
      <c r="W36" s="15">
        <f t="shared" si="9"/>
        <v>0</v>
      </c>
      <c r="X36" s="9">
        <v>0</v>
      </c>
      <c r="Y36" s="15">
        <f t="shared" si="10"/>
        <v>0</v>
      </c>
      <c r="Z36" s="9">
        <v>0</v>
      </c>
      <c r="AA36" s="15">
        <f t="shared" si="11"/>
        <v>0</v>
      </c>
      <c r="AB36" s="9">
        <v>0</v>
      </c>
      <c r="AC36" s="15">
        <f t="shared" si="12"/>
        <v>0</v>
      </c>
      <c r="AD36" s="7">
        <v>0</v>
      </c>
      <c r="AE36" s="15">
        <f t="shared" si="13"/>
        <v>0</v>
      </c>
      <c r="AF36" s="7">
        <v>0</v>
      </c>
      <c r="AG36" s="15">
        <f t="shared" si="14"/>
        <v>0</v>
      </c>
      <c r="AH36" s="7">
        <v>0</v>
      </c>
      <c r="AI36" s="15">
        <f t="shared" si="15"/>
        <v>0</v>
      </c>
      <c r="AJ36" s="7">
        <v>0</v>
      </c>
      <c r="AK36" s="15">
        <f t="shared" si="16"/>
        <v>0</v>
      </c>
      <c r="AL36" s="7">
        <v>0</v>
      </c>
      <c r="AM36" s="15">
        <f t="shared" si="17"/>
        <v>0</v>
      </c>
      <c r="AN36" s="7">
        <v>0</v>
      </c>
      <c r="AO36" s="15">
        <f t="shared" si="18"/>
        <v>0</v>
      </c>
      <c r="AP36" s="7">
        <v>0</v>
      </c>
      <c r="AQ36" s="15">
        <f t="shared" si="19"/>
        <v>0</v>
      </c>
      <c r="AR36" s="7">
        <v>0</v>
      </c>
      <c r="AS36" s="15">
        <f t="shared" si="20"/>
        <v>0</v>
      </c>
      <c r="AT36" s="7">
        <v>0</v>
      </c>
      <c r="AU36" s="15">
        <f t="shared" si="21"/>
        <v>0</v>
      </c>
      <c r="AV36" s="7">
        <v>0</v>
      </c>
      <c r="AW36" s="15">
        <f t="shared" si="22"/>
        <v>0</v>
      </c>
      <c r="AX36" s="7">
        <v>0</v>
      </c>
      <c r="AY36" s="15">
        <f t="shared" si="23"/>
        <v>0</v>
      </c>
      <c r="AZ36" s="7">
        <v>0</v>
      </c>
      <c r="BA36" s="15">
        <f t="shared" si="24"/>
        <v>0</v>
      </c>
      <c r="BB36" s="7">
        <v>0</v>
      </c>
      <c r="BC36" s="15">
        <f t="shared" si="25"/>
        <v>0</v>
      </c>
      <c r="BD36" s="11">
        <v>0</v>
      </c>
      <c r="BE36" s="15">
        <f t="shared" si="26"/>
        <v>0</v>
      </c>
    </row>
    <row r="37" spans="1:57" x14ac:dyDescent="0.2">
      <c r="A37" s="5" t="s">
        <v>112</v>
      </c>
      <c r="B37" s="14"/>
      <c r="C37" s="14"/>
      <c r="D37" s="14"/>
      <c r="E37" s="15">
        <f t="shared" si="0"/>
        <v>0</v>
      </c>
      <c r="F37" s="7">
        <v>0</v>
      </c>
      <c r="G37" s="27">
        <f t="shared" si="1"/>
        <v>0</v>
      </c>
      <c r="H37" s="7">
        <v>0</v>
      </c>
      <c r="I37" s="27">
        <f t="shared" si="2"/>
        <v>0</v>
      </c>
      <c r="J37" s="7">
        <v>0</v>
      </c>
      <c r="K37" s="27">
        <f t="shared" si="3"/>
        <v>0</v>
      </c>
      <c r="L37" s="10">
        <v>0</v>
      </c>
      <c r="M37" s="15">
        <f t="shared" si="4"/>
        <v>0</v>
      </c>
      <c r="N37" s="9">
        <v>0</v>
      </c>
      <c r="O37" s="15">
        <f t="shared" si="5"/>
        <v>0</v>
      </c>
      <c r="P37" s="9">
        <v>0</v>
      </c>
      <c r="Q37" s="15">
        <f t="shared" si="6"/>
        <v>0</v>
      </c>
      <c r="R37" s="9">
        <v>0</v>
      </c>
      <c r="S37" s="15">
        <f t="shared" si="7"/>
        <v>0</v>
      </c>
      <c r="T37" s="9">
        <v>0</v>
      </c>
      <c r="U37" s="15">
        <f t="shared" si="8"/>
        <v>0</v>
      </c>
      <c r="V37" s="9">
        <v>0</v>
      </c>
      <c r="W37" s="15">
        <f t="shared" si="9"/>
        <v>0</v>
      </c>
      <c r="X37" s="9">
        <v>0</v>
      </c>
      <c r="Y37" s="15">
        <f t="shared" si="10"/>
        <v>0</v>
      </c>
      <c r="Z37" s="9">
        <v>0</v>
      </c>
      <c r="AA37" s="15">
        <f t="shared" si="11"/>
        <v>0</v>
      </c>
      <c r="AB37" s="9">
        <v>0</v>
      </c>
      <c r="AC37" s="15">
        <f t="shared" si="12"/>
        <v>0</v>
      </c>
      <c r="AD37" s="7">
        <v>0</v>
      </c>
      <c r="AE37" s="15">
        <f t="shared" si="13"/>
        <v>0</v>
      </c>
      <c r="AF37" s="7">
        <v>0</v>
      </c>
      <c r="AG37" s="15">
        <f t="shared" si="14"/>
        <v>0</v>
      </c>
      <c r="AH37" s="7">
        <v>0</v>
      </c>
      <c r="AI37" s="15">
        <f t="shared" si="15"/>
        <v>0</v>
      </c>
      <c r="AJ37" s="7">
        <v>0</v>
      </c>
      <c r="AK37" s="15">
        <f t="shared" si="16"/>
        <v>0</v>
      </c>
      <c r="AL37" s="7">
        <v>0</v>
      </c>
      <c r="AM37" s="15">
        <f t="shared" si="17"/>
        <v>0</v>
      </c>
      <c r="AN37" s="7">
        <v>0</v>
      </c>
      <c r="AO37" s="15">
        <f t="shared" si="18"/>
        <v>0</v>
      </c>
      <c r="AP37" s="7">
        <v>1</v>
      </c>
      <c r="AQ37" s="15">
        <f t="shared" si="19"/>
        <v>0</v>
      </c>
      <c r="AR37" s="7">
        <v>0</v>
      </c>
      <c r="AS37" s="15">
        <f t="shared" si="20"/>
        <v>0</v>
      </c>
      <c r="AT37" s="7">
        <v>0</v>
      </c>
      <c r="AU37" s="15">
        <f t="shared" si="21"/>
        <v>0</v>
      </c>
      <c r="AV37" s="7">
        <v>0</v>
      </c>
      <c r="AW37" s="15">
        <f t="shared" si="22"/>
        <v>0</v>
      </c>
      <c r="AX37" s="7">
        <v>0</v>
      </c>
      <c r="AY37" s="15">
        <f t="shared" si="23"/>
        <v>0</v>
      </c>
      <c r="AZ37" s="7">
        <v>0</v>
      </c>
      <c r="BA37" s="15">
        <f t="shared" si="24"/>
        <v>0</v>
      </c>
      <c r="BB37" s="7">
        <v>0</v>
      </c>
      <c r="BC37" s="15">
        <f t="shared" si="25"/>
        <v>0</v>
      </c>
      <c r="BD37" s="11">
        <v>0</v>
      </c>
      <c r="BE37" s="15">
        <f t="shared" si="26"/>
        <v>0</v>
      </c>
    </row>
    <row r="38" spans="1:57" x14ac:dyDescent="0.2">
      <c r="A38" s="5" t="s">
        <v>113</v>
      </c>
      <c r="B38" s="14"/>
      <c r="C38" s="14"/>
      <c r="D38" s="14"/>
      <c r="E38" s="15">
        <f t="shared" si="0"/>
        <v>0</v>
      </c>
      <c r="F38" s="7">
        <v>0</v>
      </c>
      <c r="G38" s="27">
        <f t="shared" si="1"/>
        <v>0</v>
      </c>
      <c r="H38" s="7">
        <v>0</v>
      </c>
      <c r="I38" s="27">
        <f t="shared" si="2"/>
        <v>0</v>
      </c>
      <c r="J38" s="7">
        <v>0</v>
      </c>
      <c r="K38" s="27">
        <f t="shared" si="3"/>
        <v>0</v>
      </c>
      <c r="L38" s="10">
        <v>0</v>
      </c>
      <c r="M38" s="15">
        <f t="shared" si="4"/>
        <v>0</v>
      </c>
      <c r="N38" s="9">
        <v>0</v>
      </c>
      <c r="O38" s="15">
        <f t="shared" si="5"/>
        <v>0</v>
      </c>
      <c r="P38" s="9">
        <v>0</v>
      </c>
      <c r="Q38" s="15">
        <f t="shared" si="6"/>
        <v>0</v>
      </c>
      <c r="R38" s="9">
        <v>0</v>
      </c>
      <c r="S38" s="15">
        <f t="shared" si="7"/>
        <v>0</v>
      </c>
      <c r="T38" s="9">
        <v>0</v>
      </c>
      <c r="U38" s="15">
        <f t="shared" si="8"/>
        <v>0</v>
      </c>
      <c r="V38" s="9">
        <v>0</v>
      </c>
      <c r="W38" s="15">
        <f t="shared" si="9"/>
        <v>0</v>
      </c>
      <c r="X38" s="9">
        <v>0</v>
      </c>
      <c r="Y38" s="15">
        <f t="shared" si="10"/>
        <v>0</v>
      </c>
      <c r="Z38" s="9">
        <v>0</v>
      </c>
      <c r="AA38" s="15">
        <f t="shared" si="11"/>
        <v>0</v>
      </c>
      <c r="AB38" s="9">
        <v>0</v>
      </c>
      <c r="AC38" s="15">
        <f t="shared" si="12"/>
        <v>0</v>
      </c>
      <c r="AD38" s="7">
        <v>0</v>
      </c>
      <c r="AE38" s="15">
        <f t="shared" si="13"/>
        <v>0</v>
      </c>
      <c r="AF38" s="7">
        <v>0</v>
      </c>
      <c r="AG38" s="15">
        <f t="shared" si="14"/>
        <v>0</v>
      </c>
      <c r="AH38" s="7">
        <v>0</v>
      </c>
      <c r="AI38" s="15">
        <f t="shared" si="15"/>
        <v>0</v>
      </c>
      <c r="AJ38" s="7">
        <v>0</v>
      </c>
      <c r="AK38" s="15">
        <f t="shared" si="16"/>
        <v>0</v>
      </c>
      <c r="AL38" s="7">
        <v>0</v>
      </c>
      <c r="AM38" s="15">
        <f t="shared" si="17"/>
        <v>0</v>
      </c>
      <c r="AN38" s="7">
        <v>0</v>
      </c>
      <c r="AO38" s="15">
        <f t="shared" si="18"/>
        <v>0</v>
      </c>
      <c r="AP38" s="7">
        <v>0</v>
      </c>
      <c r="AQ38" s="15">
        <f t="shared" si="19"/>
        <v>0</v>
      </c>
      <c r="AR38" s="7">
        <v>0</v>
      </c>
      <c r="AS38" s="15">
        <f t="shared" si="20"/>
        <v>0</v>
      </c>
      <c r="AT38" s="7">
        <v>0</v>
      </c>
      <c r="AU38" s="15">
        <f t="shared" si="21"/>
        <v>0</v>
      </c>
      <c r="AV38" s="7">
        <v>0</v>
      </c>
      <c r="AW38" s="15">
        <f t="shared" si="22"/>
        <v>0</v>
      </c>
      <c r="AX38" s="7">
        <v>0</v>
      </c>
      <c r="AY38" s="15">
        <f t="shared" si="23"/>
        <v>0</v>
      </c>
      <c r="AZ38" s="7">
        <v>0</v>
      </c>
      <c r="BA38" s="15">
        <f t="shared" si="24"/>
        <v>0</v>
      </c>
      <c r="BB38" s="7">
        <v>0</v>
      </c>
      <c r="BC38" s="15">
        <f t="shared" si="25"/>
        <v>0</v>
      </c>
      <c r="BD38" s="11">
        <v>0</v>
      </c>
      <c r="BE38" s="15">
        <f t="shared" si="26"/>
        <v>0</v>
      </c>
    </row>
    <row r="39" spans="1:57" x14ac:dyDescent="0.2">
      <c r="A39" s="5" t="s">
        <v>114</v>
      </c>
      <c r="B39" s="14"/>
      <c r="C39" s="14"/>
      <c r="D39" s="14"/>
      <c r="E39" s="15">
        <f t="shared" si="0"/>
        <v>0</v>
      </c>
      <c r="F39" s="7">
        <v>0</v>
      </c>
      <c r="G39" s="27">
        <f t="shared" si="1"/>
        <v>0</v>
      </c>
      <c r="H39" s="7">
        <v>0</v>
      </c>
      <c r="I39" s="27">
        <f t="shared" si="2"/>
        <v>0</v>
      </c>
      <c r="J39" s="7">
        <v>0</v>
      </c>
      <c r="K39" s="27">
        <f t="shared" si="3"/>
        <v>0</v>
      </c>
      <c r="L39" s="10">
        <v>0</v>
      </c>
      <c r="M39" s="15">
        <f t="shared" si="4"/>
        <v>0</v>
      </c>
      <c r="N39" s="9">
        <v>0</v>
      </c>
      <c r="O39" s="15">
        <f t="shared" si="5"/>
        <v>0</v>
      </c>
      <c r="P39" s="9">
        <v>0</v>
      </c>
      <c r="Q39" s="15">
        <f t="shared" si="6"/>
        <v>0</v>
      </c>
      <c r="R39" s="9">
        <v>0</v>
      </c>
      <c r="S39" s="15">
        <f t="shared" si="7"/>
        <v>0</v>
      </c>
      <c r="T39" s="9">
        <v>0</v>
      </c>
      <c r="U39" s="15">
        <f t="shared" si="8"/>
        <v>0</v>
      </c>
      <c r="V39" s="9">
        <v>0</v>
      </c>
      <c r="W39" s="15">
        <f t="shared" si="9"/>
        <v>0</v>
      </c>
      <c r="X39" s="9">
        <v>0</v>
      </c>
      <c r="Y39" s="15">
        <f t="shared" si="10"/>
        <v>0</v>
      </c>
      <c r="Z39" s="9">
        <v>0</v>
      </c>
      <c r="AA39" s="15">
        <f t="shared" si="11"/>
        <v>0</v>
      </c>
      <c r="AB39" s="9">
        <v>0</v>
      </c>
      <c r="AC39" s="15">
        <f t="shared" si="12"/>
        <v>0</v>
      </c>
      <c r="AD39" s="7">
        <v>0</v>
      </c>
      <c r="AE39" s="15">
        <f t="shared" si="13"/>
        <v>0</v>
      </c>
      <c r="AF39" s="7">
        <v>0</v>
      </c>
      <c r="AG39" s="15">
        <f t="shared" si="14"/>
        <v>0</v>
      </c>
      <c r="AH39" s="7">
        <v>0</v>
      </c>
      <c r="AI39" s="15">
        <f t="shared" si="15"/>
        <v>0</v>
      </c>
      <c r="AJ39" s="7">
        <v>0</v>
      </c>
      <c r="AK39" s="15">
        <f t="shared" si="16"/>
        <v>0</v>
      </c>
      <c r="AL39" s="7">
        <v>0</v>
      </c>
      <c r="AM39" s="15">
        <f t="shared" si="17"/>
        <v>0</v>
      </c>
      <c r="AN39" s="7">
        <v>0</v>
      </c>
      <c r="AO39" s="15">
        <f t="shared" si="18"/>
        <v>0</v>
      </c>
      <c r="AP39" s="7">
        <v>0</v>
      </c>
      <c r="AQ39" s="15">
        <f t="shared" si="19"/>
        <v>0</v>
      </c>
      <c r="AR39" s="7">
        <v>0</v>
      </c>
      <c r="AS39" s="15">
        <f t="shared" si="20"/>
        <v>0</v>
      </c>
      <c r="AT39" s="7">
        <v>0</v>
      </c>
      <c r="AU39" s="15">
        <f t="shared" si="21"/>
        <v>0</v>
      </c>
      <c r="AV39" s="7">
        <v>0</v>
      </c>
      <c r="AW39" s="15">
        <f t="shared" si="22"/>
        <v>0</v>
      </c>
      <c r="AX39" s="7">
        <v>0</v>
      </c>
      <c r="AY39" s="15">
        <f t="shared" si="23"/>
        <v>0</v>
      </c>
      <c r="AZ39" s="7">
        <v>0</v>
      </c>
      <c r="BA39" s="15">
        <f t="shared" si="24"/>
        <v>0</v>
      </c>
      <c r="BB39" s="7">
        <v>0</v>
      </c>
      <c r="BC39" s="15">
        <f t="shared" si="25"/>
        <v>0</v>
      </c>
      <c r="BD39" s="11">
        <v>0</v>
      </c>
      <c r="BE39" s="15">
        <f t="shared" si="26"/>
        <v>0</v>
      </c>
    </row>
    <row r="40" spans="1:57" x14ac:dyDescent="0.2">
      <c r="A40" s="5" t="s">
        <v>115</v>
      </c>
      <c r="B40" s="15">
        <v>5500</v>
      </c>
      <c r="C40" s="15">
        <v>5500</v>
      </c>
      <c r="D40" s="15">
        <v>10000</v>
      </c>
      <c r="E40" s="15">
        <f t="shared" si="0"/>
        <v>4500</v>
      </c>
      <c r="F40" s="7">
        <v>0</v>
      </c>
      <c r="G40" s="27">
        <f t="shared" si="1"/>
        <v>0</v>
      </c>
      <c r="H40" s="7">
        <v>0</v>
      </c>
      <c r="I40" s="27">
        <f t="shared" si="2"/>
        <v>0</v>
      </c>
      <c r="J40" s="7">
        <v>0</v>
      </c>
      <c r="K40" s="27">
        <f t="shared" si="3"/>
        <v>0</v>
      </c>
      <c r="L40" s="10">
        <v>0</v>
      </c>
      <c r="M40" s="15">
        <f t="shared" si="4"/>
        <v>0</v>
      </c>
      <c r="N40" s="9">
        <v>0</v>
      </c>
      <c r="O40" s="15">
        <f t="shared" si="5"/>
        <v>0</v>
      </c>
      <c r="P40" s="9">
        <v>0</v>
      </c>
      <c r="Q40" s="15">
        <f t="shared" si="6"/>
        <v>0</v>
      </c>
      <c r="R40" s="9">
        <v>0</v>
      </c>
      <c r="S40" s="15">
        <f t="shared" si="7"/>
        <v>0</v>
      </c>
      <c r="T40" s="9">
        <v>0</v>
      </c>
      <c r="U40" s="15">
        <f t="shared" si="8"/>
        <v>0</v>
      </c>
      <c r="V40" s="9">
        <v>0</v>
      </c>
      <c r="W40" s="15">
        <f t="shared" si="9"/>
        <v>0</v>
      </c>
      <c r="X40" s="9">
        <v>1</v>
      </c>
      <c r="Y40" s="15">
        <f t="shared" si="10"/>
        <v>4500</v>
      </c>
      <c r="Z40" s="9">
        <v>0</v>
      </c>
      <c r="AA40" s="15">
        <f t="shared" si="11"/>
        <v>0</v>
      </c>
      <c r="AB40" s="9">
        <v>0</v>
      </c>
      <c r="AC40" s="15">
        <f t="shared" si="12"/>
        <v>0</v>
      </c>
      <c r="AD40" s="7">
        <v>0</v>
      </c>
      <c r="AE40" s="15">
        <f t="shared" si="13"/>
        <v>0</v>
      </c>
      <c r="AF40" s="7">
        <v>0</v>
      </c>
      <c r="AG40" s="15">
        <f t="shared" si="14"/>
        <v>0</v>
      </c>
      <c r="AH40" s="7">
        <v>0</v>
      </c>
      <c r="AI40" s="15">
        <f t="shared" si="15"/>
        <v>0</v>
      </c>
      <c r="AJ40" s="7">
        <v>0</v>
      </c>
      <c r="AK40" s="15">
        <f t="shared" si="16"/>
        <v>0</v>
      </c>
      <c r="AL40" s="7">
        <v>0</v>
      </c>
      <c r="AM40" s="15">
        <f t="shared" si="17"/>
        <v>0</v>
      </c>
      <c r="AN40" s="7">
        <v>0</v>
      </c>
      <c r="AO40" s="15">
        <f t="shared" si="18"/>
        <v>0</v>
      </c>
      <c r="AP40" s="7">
        <v>0</v>
      </c>
      <c r="AQ40" s="15">
        <f t="shared" si="19"/>
        <v>0</v>
      </c>
      <c r="AR40" s="7">
        <v>0</v>
      </c>
      <c r="AS40" s="15">
        <f t="shared" si="20"/>
        <v>0</v>
      </c>
      <c r="AT40" s="7">
        <v>0</v>
      </c>
      <c r="AU40" s="15">
        <f t="shared" si="21"/>
        <v>0</v>
      </c>
      <c r="AV40" s="7">
        <v>0</v>
      </c>
      <c r="AW40" s="15">
        <f t="shared" si="22"/>
        <v>0</v>
      </c>
      <c r="AX40" s="7">
        <v>0</v>
      </c>
      <c r="AY40" s="15">
        <f t="shared" si="23"/>
        <v>0</v>
      </c>
      <c r="AZ40" s="7">
        <v>2</v>
      </c>
      <c r="BA40" s="15">
        <f t="shared" si="24"/>
        <v>9000</v>
      </c>
      <c r="BB40" s="7">
        <v>1</v>
      </c>
      <c r="BC40" s="15">
        <f t="shared" si="25"/>
        <v>4500</v>
      </c>
      <c r="BD40" s="11">
        <v>0</v>
      </c>
      <c r="BE40" s="15">
        <f t="shared" si="26"/>
        <v>0</v>
      </c>
    </row>
    <row r="41" spans="1:57" x14ac:dyDescent="0.2">
      <c r="A41" s="5" t="s">
        <v>116</v>
      </c>
      <c r="B41" s="15">
        <v>5500</v>
      </c>
      <c r="C41" s="15">
        <v>550</v>
      </c>
      <c r="D41" s="15">
        <v>1000</v>
      </c>
      <c r="E41" s="15">
        <f t="shared" si="0"/>
        <v>450</v>
      </c>
      <c r="F41" s="7">
        <v>3</v>
      </c>
      <c r="G41" s="27">
        <f t="shared" si="1"/>
        <v>1350</v>
      </c>
      <c r="H41" s="7">
        <v>3</v>
      </c>
      <c r="I41" s="27">
        <f t="shared" si="2"/>
        <v>1350</v>
      </c>
      <c r="J41" s="7">
        <v>0</v>
      </c>
      <c r="K41" s="27">
        <f t="shared" si="3"/>
        <v>0</v>
      </c>
      <c r="L41" s="10">
        <v>9</v>
      </c>
      <c r="M41" s="15">
        <f t="shared" si="4"/>
        <v>4050</v>
      </c>
      <c r="N41" s="9">
        <v>15</v>
      </c>
      <c r="O41" s="15">
        <f t="shared" si="5"/>
        <v>6750</v>
      </c>
      <c r="P41" s="9">
        <v>4</v>
      </c>
      <c r="Q41" s="15">
        <f t="shared" si="6"/>
        <v>1800</v>
      </c>
      <c r="R41" s="9">
        <v>2</v>
      </c>
      <c r="S41" s="15">
        <f t="shared" si="7"/>
        <v>900</v>
      </c>
      <c r="T41" s="9">
        <v>16</v>
      </c>
      <c r="U41" s="15">
        <f t="shared" si="8"/>
        <v>7200</v>
      </c>
      <c r="V41" s="9">
        <v>0</v>
      </c>
      <c r="W41" s="15">
        <f t="shared" si="9"/>
        <v>0</v>
      </c>
      <c r="X41" s="9">
        <v>3</v>
      </c>
      <c r="Y41" s="15">
        <f t="shared" si="10"/>
        <v>1350</v>
      </c>
      <c r="Z41" s="9">
        <v>2</v>
      </c>
      <c r="AA41" s="15">
        <f t="shared" si="11"/>
        <v>900</v>
      </c>
      <c r="AB41" s="9">
        <v>0</v>
      </c>
      <c r="AC41" s="15">
        <f t="shared" si="12"/>
        <v>0</v>
      </c>
      <c r="AD41" s="7">
        <v>3</v>
      </c>
      <c r="AE41" s="15">
        <f t="shared" si="13"/>
        <v>1350</v>
      </c>
      <c r="AF41" s="7">
        <v>3</v>
      </c>
      <c r="AG41" s="15">
        <f t="shared" si="14"/>
        <v>1350</v>
      </c>
      <c r="AH41" s="7">
        <v>0</v>
      </c>
      <c r="AI41" s="15">
        <f t="shared" si="15"/>
        <v>0</v>
      </c>
      <c r="AJ41" s="7">
        <v>0</v>
      </c>
      <c r="AK41" s="15">
        <f t="shared" si="16"/>
        <v>0</v>
      </c>
      <c r="AL41" s="7">
        <v>14</v>
      </c>
      <c r="AM41" s="15">
        <f t="shared" si="17"/>
        <v>6300</v>
      </c>
      <c r="AN41" s="7">
        <v>7</v>
      </c>
      <c r="AO41" s="15">
        <f t="shared" si="18"/>
        <v>3150</v>
      </c>
      <c r="AP41" s="7">
        <v>6</v>
      </c>
      <c r="AQ41" s="15">
        <f t="shared" si="19"/>
        <v>2700</v>
      </c>
      <c r="AR41" s="7">
        <v>1</v>
      </c>
      <c r="AS41" s="15">
        <f t="shared" si="20"/>
        <v>450</v>
      </c>
      <c r="AT41" s="7">
        <v>0</v>
      </c>
      <c r="AU41" s="15">
        <f t="shared" si="21"/>
        <v>0</v>
      </c>
      <c r="AV41" s="7">
        <v>0</v>
      </c>
      <c r="AW41" s="15">
        <f t="shared" si="22"/>
        <v>0</v>
      </c>
      <c r="AX41" s="7">
        <v>2</v>
      </c>
      <c r="AY41" s="15">
        <f t="shared" si="23"/>
        <v>900</v>
      </c>
      <c r="AZ41" s="7">
        <v>9</v>
      </c>
      <c r="BA41" s="15">
        <f t="shared" si="24"/>
        <v>4050</v>
      </c>
      <c r="BB41" s="7">
        <v>0</v>
      </c>
      <c r="BC41" s="15">
        <f t="shared" si="25"/>
        <v>0</v>
      </c>
      <c r="BD41" s="11">
        <v>0</v>
      </c>
      <c r="BE41" s="15">
        <f t="shared" si="26"/>
        <v>0</v>
      </c>
    </row>
    <row r="42" spans="1:57" x14ac:dyDescent="0.2">
      <c r="A42" s="5" t="s">
        <v>117</v>
      </c>
      <c r="B42" s="15">
        <v>6500</v>
      </c>
      <c r="C42" s="15">
        <v>6500</v>
      </c>
      <c r="D42" s="15">
        <v>10000</v>
      </c>
      <c r="E42" s="15">
        <f t="shared" si="0"/>
        <v>3500</v>
      </c>
      <c r="F42" s="7">
        <v>0</v>
      </c>
      <c r="G42" s="27">
        <f t="shared" si="1"/>
        <v>0</v>
      </c>
      <c r="H42" s="7">
        <v>0</v>
      </c>
      <c r="I42" s="27">
        <f t="shared" si="2"/>
        <v>0</v>
      </c>
      <c r="J42" s="7">
        <v>0</v>
      </c>
      <c r="K42" s="27">
        <f t="shared" si="3"/>
        <v>0</v>
      </c>
      <c r="L42" s="10">
        <v>0</v>
      </c>
      <c r="M42" s="15">
        <f t="shared" si="4"/>
        <v>0</v>
      </c>
      <c r="N42" s="9">
        <v>0</v>
      </c>
      <c r="O42" s="15">
        <f t="shared" si="5"/>
        <v>0</v>
      </c>
      <c r="P42" s="9">
        <v>0</v>
      </c>
      <c r="Q42" s="15">
        <f t="shared" si="6"/>
        <v>0</v>
      </c>
      <c r="R42" s="9">
        <v>0</v>
      </c>
      <c r="S42" s="15">
        <f t="shared" si="7"/>
        <v>0</v>
      </c>
      <c r="T42" s="9">
        <v>0</v>
      </c>
      <c r="U42" s="15">
        <f t="shared" si="8"/>
        <v>0</v>
      </c>
      <c r="V42" s="9">
        <v>0</v>
      </c>
      <c r="W42" s="15">
        <f t="shared" si="9"/>
        <v>0</v>
      </c>
      <c r="X42" s="9">
        <v>0</v>
      </c>
      <c r="Y42" s="15">
        <f t="shared" si="10"/>
        <v>0</v>
      </c>
      <c r="Z42" s="9">
        <v>0</v>
      </c>
      <c r="AA42" s="15">
        <f t="shared" si="11"/>
        <v>0</v>
      </c>
      <c r="AB42" s="9">
        <v>0</v>
      </c>
      <c r="AC42" s="15">
        <f t="shared" si="12"/>
        <v>0</v>
      </c>
      <c r="AD42" s="7">
        <v>1</v>
      </c>
      <c r="AE42" s="15">
        <f t="shared" si="13"/>
        <v>3500</v>
      </c>
      <c r="AF42" s="7">
        <v>0</v>
      </c>
      <c r="AG42" s="15">
        <f t="shared" si="14"/>
        <v>0</v>
      </c>
      <c r="AH42" s="7">
        <v>1</v>
      </c>
      <c r="AI42" s="15">
        <f t="shared" si="15"/>
        <v>3500</v>
      </c>
      <c r="AJ42" s="7">
        <v>0</v>
      </c>
      <c r="AK42" s="15">
        <f t="shared" si="16"/>
        <v>0</v>
      </c>
      <c r="AL42" s="7">
        <v>0</v>
      </c>
      <c r="AM42" s="15">
        <f t="shared" si="17"/>
        <v>0</v>
      </c>
      <c r="AN42" s="7">
        <v>0</v>
      </c>
      <c r="AO42" s="15">
        <f t="shared" si="18"/>
        <v>0</v>
      </c>
      <c r="AP42" s="7">
        <v>0</v>
      </c>
      <c r="AQ42" s="15">
        <f t="shared" si="19"/>
        <v>0</v>
      </c>
      <c r="AR42" s="7">
        <v>0</v>
      </c>
      <c r="AS42" s="15">
        <f t="shared" si="20"/>
        <v>0</v>
      </c>
      <c r="AT42" s="7">
        <v>0</v>
      </c>
      <c r="AU42" s="15">
        <f t="shared" si="21"/>
        <v>0</v>
      </c>
      <c r="AV42" s="7">
        <v>0</v>
      </c>
      <c r="AW42" s="15">
        <f t="shared" si="22"/>
        <v>0</v>
      </c>
      <c r="AX42" s="7">
        <v>0</v>
      </c>
      <c r="AY42" s="15">
        <f t="shared" si="23"/>
        <v>0</v>
      </c>
      <c r="AZ42" s="7">
        <v>0</v>
      </c>
      <c r="BA42" s="15">
        <f t="shared" si="24"/>
        <v>0</v>
      </c>
      <c r="BB42" s="7">
        <v>0</v>
      </c>
      <c r="BC42" s="15">
        <f t="shared" si="25"/>
        <v>0</v>
      </c>
      <c r="BD42" s="11">
        <v>0</v>
      </c>
      <c r="BE42" s="15">
        <f t="shared" si="26"/>
        <v>0</v>
      </c>
    </row>
    <row r="43" spans="1:57" x14ac:dyDescent="0.2">
      <c r="A43" s="5" t="s">
        <v>118</v>
      </c>
      <c r="B43" s="15">
        <v>6500</v>
      </c>
      <c r="C43" s="15">
        <v>650</v>
      </c>
      <c r="D43" s="15">
        <v>1000</v>
      </c>
      <c r="E43" s="15">
        <f t="shared" si="0"/>
        <v>350</v>
      </c>
      <c r="F43" s="7">
        <v>4</v>
      </c>
      <c r="G43" s="27">
        <f t="shared" si="1"/>
        <v>1400</v>
      </c>
      <c r="H43" s="7">
        <v>7</v>
      </c>
      <c r="I43" s="27">
        <f t="shared" si="2"/>
        <v>2450</v>
      </c>
      <c r="J43" s="7">
        <v>0</v>
      </c>
      <c r="K43" s="27">
        <f t="shared" si="3"/>
        <v>0</v>
      </c>
      <c r="L43" s="10">
        <v>8</v>
      </c>
      <c r="M43" s="15">
        <f t="shared" si="4"/>
        <v>2800</v>
      </c>
      <c r="N43" s="9">
        <v>0</v>
      </c>
      <c r="O43" s="15">
        <f t="shared" si="5"/>
        <v>0</v>
      </c>
      <c r="P43" s="9">
        <v>0</v>
      </c>
      <c r="Q43" s="15">
        <f t="shared" si="6"/>
        <v>0</v>
      </c>
      <c r="R43" s="9">
        <v>6</v>
      </c>
      <c r="S43" s="15">
        <f t="shared" si="7"/>
        <v>2100</v>
      </c>
      <c r="T43" s="9">
        <v>6</v>
      </c>
      <c r="U43" s="15">
        <f t="shared" si="8"/>
        <v>2100</v>
      </c>
      <c r="V43" s="9">
        <v>1</v>
      </c>
      <c r="W43" s="15">
        <f t="shared" si="9"/>
        <v>350</v>
      </c>
      <c r="X43" s="9">
        <v>3</v>
      </c>
      <c r="Y43" s="15">
        <f t="shared" si="10"/>
        <v>1050</v>
      </c>
      <c r="Z43" s="9">
        <v>6</v>
      </c>
      <c r="AA43" s="15">
        <f t="shared" si="11"/>
        <v>2100</v>
      </c>
      <c r="AB43" s="9">
        <v>0</v>
      </c>
      <c r="AC43" s="15">
        <f t="shared" si="12"/>
        <v>0</v>
      </c>
      <c r="AD43" s="7">
        <v>13</v>
      </c>
      <c r="AE43" s="15">
        <f t="shared" si="13"/>
        <v>4550</v>
      </c>
      <c r="AF43" s="7">
        <v>12</v>
      </c>
      <c r="AG43" s="15">
        <f t="shared" si="14"/>
        <v>4200</v>
      </c>
      <c r="AH43" s="7">
        <v>4</v>
      </c>
      <c r="AI43" s="15">
        <f t="shared" si="15"/>
        <v>1400</v>
      </c>
      <c r="AJ43" s="7">
        <v>2</v>
      </c>
      <c r="AK43" s="15">
        <f t="shared" si="16"/>
        <v>700</v>
      </c>
      <c r="AL43" s="7">
        <v>1</v>
      </c>
      <c r="AM43" s="15">
        <f t="shared" si="17"/>
        <v>350</v>
      </c>
      <c r="AN43" s="7">
        <v>26</v>
      </c>
      <c r="AO43" s="15">
        <f t="shared" si="18"/>
        <v>9100</v>
      </c>
      <c r="AP43" s="7">
        <v>21</v>
      </c>
      <c r="AQ43" s="15">
        <f t="shared" si="19"/>
        <v>7350</v>
      </c>
      <c r="AR43" s="7">
        <v>8</v>
      </c>
      <c r="AS43" s="15">
        <f t="shared" si="20"/>
        <v>2800</v>
      </c>
      <c r="AT43" s="7">
        <v>8</v>
      </c>
      <c r="AU43" s="15">
        <f t="shared" si="21"/>
        <v>2800</v>
      </c>
      <c r="AV43" s="7">
        <v>1</v>
      </c>
      <c r="AW43" s="15">
        <f t="shared" si="22"/>
        <v>350</v>
      </c>
      <c r="AX43" s="7">
        <v>1</v>
      </c>
      <c r="AY43" s="15">
        <f t="shared" si="23"/>
        <v>350</v>
      </c>
      <c r="AZ43" s="7">
        <v>4</v>
      </c>
      <c r="BA43" s="15">
        <f t="shared" si="24"/>
        <v>1400</v>
      </c>
      <c r="BB43" s="7">
        <v>15</v>
      </c>
      <c r="BC43" s="15">
        <f t="shared" si="25"/>
        <v>5250</v>
      </c>
      <c r="BD43" s="12">
        <v>2</v>
      </c>
      <c r="BE43" s="15">
        <f t="shared" si="26"/>
        <v>700</v>
      </c>
    </row>
    <row r="44" spans="1:57" x14ac:dyDescent="0.2">
      <c r="A44" s="5" t="s">
        <v>119</v>
      </c>
      <c r="B44" s="15">
        <v>5500</v>
      </c>
      <c r="C44" s="15">
        <v>5500</v>
      </c>
      <c r="D44" s="15">
        <v>10000</v>
      </c>
      <c r="E44" s="15">
        <f t="shared" si="0"/>
        <v>4500</v>
      </c>
      <c r="F44" s="7">
        <v>1</v>
      </c>
      <c r="G44" s="27">
        <f t="shared" si="1"/>
        <v>4500</v>
      </c>
      <c r="H44" s="7">
        <v>0</v>
      </c>
      <c r="I44" s="27">
        <f t="shared" si="2"/>
        <v>0</v>
      </c>
      <c r="J44" s="7">
        <v>0</v>
      </c>
      <c r="K44" s="27">
        <f t="shared" si="3"/>
        <v>0</v>
      </c>
      <c r="L44" s="10">
        <v>0</v>
      </c>
      <c r="M44" s="15">
        <f t="shared" si="4"/>
        <v>0</v>
      </c>
      <c r="N44" s="9">
        <v>0</v>
      </c>
      <c r="O44" s="15">
        <f t="shared" si="5"/>
        <v>0</v>
      </c>
      <c r="P44" s="9">
        <v>0</v>
      </c>
      <c r="Q44" s="15">
        <f t="shared" si="6"/>
        <v>0</v>
      </c>
      <c r="R44" s="9">
        <v>0</v>
      </c>
      <c r="S44" s="15">
        <f t="shared" si="7"/>
        <v>0</v>
      </c>
      <c r="T44" s="9">
        <v>0</v>
      </c>
      <c r="U44" s="15">
        <f t="shared" si="8"/>
        <v>0</v>
      </c>
      <c r="V44" s="9">
        <v>0</v>
      </c>
      <c r="W44" s="15">
        <f t="shared" si="9"/>
        <v>0</v>
      </c>
      <c r="X44" s="9">
        <v>0</v>
      </c>
      <c r="Y44" s="15">
        <f t="shared" si="10"/>
        <v>0</v>
      </c>
      <c r="Z44" s="9">
        <v>0</v>
      </c>
      <c r="AA44" s="15">
        <f t="shared" si="11"/>
        <v>0</v>
      </c>
      <c r="AB44" s="9">
        <v>0</v>
      </c>
      <c r="AC44" s="15">
        <f t="shared" si="12"/>
        <v>0</v>
      </c>
      <c r="AD44" s="7">
        <v>0</v>
      </c>
      <c r="AE44" s="15">
        <f t="shared" si="13"/>
        <v>0</v>
      </c>
      <c r="AF44" s="7">
        <v>0</v>
      </c>
      <c r="AG44" s="15">
        <f t="shared" si="14"/>
        <v>0</v>
      </c>
      <c r="AH44" s="7">
        <v>0</v>
      </c>
      <c r="AI44" s="15">
        <f t="shared" si="15"/>
        <v>0</v>
      </c>
      <c r="AJ44" s="7">
        <v>0</v>
      </c>
      <c r="AK44" s="15">
        <f t="shared" si="16"/>
        <v>0</v>
      </c>
      <c r="AL44" s="7">
        <v>0</v>
      </c>
      <c r="AM44" s="15">
        <f t="shared" si="17"/>
        <v>0</v>
      </c>
      <c r="AN44" s="7">
        <v>0</v>
      </c>
      <c r="AO44" s="15">
        <f t="shared" si="18"/>
        <v>0</v>
      </c>
      <c r="AP44" s="7">
        <v>0</v>
      </c>
      <c r="AQ44" s="15">
        <f t="shared" si="19"/>
        <v>0</v>
      </c>
      <c r="AR44" s="7">
        <v>0</v>
      </c>
      <c r="AS44" s="15">
        <f t="shared" si="20"/>
        <v>0</v>
      </c>
      <c r="AT44" s="7">
        <v>0</v>
      </c>
      <c r="AU44" s="15">
        <f t="shared" si="21"/>
        <v>0</v>
      </c>
      <c r="AV44" s="7">
        <v>0</v>
      </c>
      <c r="AW44" s="15">
        <f t="shared" si="22"/>
        <v>0</v>
      </c>
      <c r="AX44" s="7">
        <v>0</v>
      </c>
      <c r="AY44" s="15">
        <f t="shared" si="23"/>
        <v>0</v>
      </c>
      <c r="AZ44" s="7">
        <v>1</v>
      </c>
      <c r="BA44" s="15">
        <f t="shared" si="24"/>
        <v>4500</v>
      </c>
      <c r="BB44" s="7">
        <v>0</v>
      </c>
      <c r="BC44" s="15">
        <f t="shared" si="25"/>
        <v>0</v>
      </c>
      <c r="BD44" s="11">
        <v>0</v>
      </c>
      <c r="BE44" s="15">
        <f t="shared" si="26"/>
        <v>0</v>
      </c>
    </row>
    <row r="45" spans="1:57" x14ac:dyDescent="0.2">
      <c r="A45" s="5" t="s">
        <v>120</v>
      </c>
      <c r="B45" s="15">
        <v>550</v>
      </c>
      <c r="C45" s="15">
        <v>550</v>
      </c>
      <c r="D45" s="15">
        <v>1000</v>
      </c>
      <c r="E45" s="15">
        <f t="shared" si="0"/>
        <v>450</v>
      </c>
      <c r="F45" s="7">
        <v>5</v>
      </c>
      <c r="G45" s="27">
        <f t="shared" si="1"/>
        <v>2250</v>
      </c>
      <c r="H45" s="7">
        <v>2</v>
      </c>
      <c r="I45" s="27">
        <f t="shared" si="2"/>
        <v>900</v>
      </c>
      <c r="J45" s="7">
        <v>0</v>
      </c>
      <c r="K45" s="27">
        <f t="shared" si="3"/>
        <v>0</v>
      </c>
      <c r="L45" s="19">
        <v>6</v>
      </c>
      <c r="M45" s="15">
        <f t="shared" si="4"/>
        <v>2700</v>
      </c>
      <c r="N45" s="9">
        <v>0</v>
      </c>
      <c r="O45" s="15">
        <f t="shared" si="5"/>
        <v>0</v>
      </c>
      <c r="P45" s="9">
        <v>0</v>
      </c>
      <c r="Q45" s="15">
        <f t="shared" si="6"/>
        <v>0</v>
      </c>
      <c r="R45" s="9">
        <v>1</v>
      </c>
      <c r="S45" s="15">
        <f t="shared" si="7"/>
        <v>450</v>
      </c>
      <c r="T45" s="9">
        <v>0</v>
      </c>
      <c r="U45" s="15">
        <f t="shared" si="8"/>
        <v>0</v>
      </c>
      <c r="V45" s="9">
        <v>0</v>
      </c>
      <c r="W45" s="15">
        <f t="shared" si="9"/>
        <v>0</v>
      </c>
      <c r="X45" s="9">
        <v>0</v>
      </c>
      <c r="Y45" s="15">
        <f t="shared" si="10"/>
        <v>0</v>
      </c>
      <c r="Z45" s="9">
        <v>0</v>
      </c>
      <c r="AA45" s="15">
        <f t="shared" si="11"/>
        <v>0</v>
      </c>
      <c r="AB45" s="9">
        <v>0</v>
      </c>
      <c r="AC45" s="15">
        <f t="shared" si="12"/>
        <v>0</v>
      </c>
      <c r="AD45" s="7">
        <v>2</v>
      </c>
      <c r="AE45" s="15">
        <f t="shared" si="13"/>
        <v>900</v>
      </c>
      <c r="AF45" s="7">
        <v>0</v>
      </c>
      <c r="AG45" s="15">
        <f t="shared" si="14"/>
        <v>0</v>
      </c>
      <c r="AH45" s="7">
        <v>0</v>
      </c>
      <c r="AI45" s="15">
        <f t="shared" si="15"/>
        <v>0</v>
      </c>
      <c r="AJ45" s="7">
        <v>4</v>
      </c>
      <c r="AK45" s="15">
        <f t="shared" si="16"/>
        <v>1800</v>
      </c>
      <c r="AL45" s="7">
        <v>1</v>
      </c>
      <c r="AM45" s="15">
        <f t="shared" si="17"/>
        <v>450</v>
      </c>
      <c r="AN45" s="7">
        <v>0</v>
      </c>
      <c r="AO45" s="15">
        <f t="shared" si="18"/>
        <v>0</v>
      </c>
      <c r="AP45" s="7">
        <v>0</v>
      </c>
      <c r="AQ45" s="15">
        <f t="shared" si="19"/>
        <v>0</v>
      </c>
      <c r="AR45" s="7">
        <v>5</v>
      </c>
      <c r="AS45" s="15">
        <f t="shared" si="20"/>
        <v>2250</v>
      </c>
      <c r="AT45" s="7">
        <v>0</v>
      </c>
      <c r="AU45" s="15">
        <f t="shared" si="21"/>
        <v>0</v>
      </c>
      <c r="AV45" s="7">
        <v>0</v>
      </c>
      <c r="AW45" s="15">
        <f t="shared" si="22"/>
        <v>0</v>
      </c>
      <c r="AX45" s="7">
        <v>5</v>
      </c>
      <c r="AY45" s="15">
        <f t="shared" si="23"/>
        <v>2250</v>
      </c>
      <c r="AZ45" s="7">
        <v>0</v>
      </c>
      <c r="BA45" s="15">
        <f t="shared" si="24"/>
        <v>0</v>
      </c>
      <c r="BB45" s="7">
        <v>10</v>
      </c>
      <c r="BC45" s="15">
        <f t="shared" si="25"/>
        <v>4500</v>
      </c>
      <c r="BD45" s="11">
        <v>0</v>
      </c>
      <c r="BE45" s="15">
        <f t="shared" si="26"/>
        <v>0</v>
      </c>
    </row>
    <row r="46" spans="1:57" x14ac:dyDescent="0.2">
      <c r="A46" s="5" t="s">
        <v>121</v>
      </c>
      <c r="B46" s="15">
        <v>5900</v>
      </c>
      <c r="C46" s="15">
        <v>5900</v>
      </c>
      <c r="D46" s="15">
        <v>10000</v>
      </c>
      <c r="E46" s="15">
        <f t="shared" si="0"/>
        <v>4100</v>
      </c>
      <c r="F46" s="7">
        <v>0</v>
      </c>
      <c r="G46" s="27">
        <f t="shared" si="1"/>
        <v>0</v>
      </c>
      <c r="H46" s="7">
        <v>0</v>
      </c>
      <c r="I46" s="27">
        <f t="shared" si="2"/>
        <v>0</v>
      </c>
      <c r="J46" s="7">
        <v>0</v>
      </c>
      <c r="K46" s="27">
        <f t="shared" si="3"/>
        <v>0</v>
      </c>
      <c r="L46" s="19">
        <v>1</v>
      </c>
      <c r="M46" s="15">
        <f t="shared" si="4"/>
        <v>4100</v>
      </c>
      <c r="N46" s="9">
        <v>0</v>
      </c>
      <c r="O46" s="15">
        <f t="shared" si="5"/>
        <v>0</v>
      </c>
      <c r="P46" s="9">
        <v>0</v>
      </c>
      <c r="Q46" s="15">
        <f t="shared" si="6"/>
        <v>0</v>
      </c>
      <c r="R46" s="9">
        <v>0</v>
      </c>
      <c r="S46" s="15">
        <f t="shared" si="7"/>
        <v>0</v>
      </c>
      <c r="T46" s="9">
        <v>0</v>
      </c>
      <c r="U46" s="15">
        <f t="shared" si="8"/>
        <v>0</v>
      </c>
      <c r="V46" s="9">
        <v>0</v>
      </c>
      <c r="W46" s="15">
        <f t="shared" si="9"/>
        <v>0</v>
      </c>
      <c r="X46" s="9">
        <v>0</v>
      </c>
      <c r="Y46" s="15">
        <f t="shared" si="10"/>
        <v>0</v>
      </c>
      <c r="Z46" s="9">
        <v>0</v>
      </c>
      <c r="AA46" s="15">
        <f t="shared" si="11"/>
        <v>0</v>
      </c>
      <c r="AB46" s="9">
        <v>0</v>
      </c>
      <c r="AC46" s="15">
        <f t="shared" si="12"/>
        <v>0</v>
      </c>
      <c r="AD46" s="7">
        <v>0</v>
      </c>
      <c r="AE46" s="15">
        <f t="shared" si="13"/>
        <v>0</v>
      </c>
      <c r="AF46" s="7">
        <v>0</v>
      </c>
      <c r="AG46" s="15">
        <f t="shared" si="14"/>
        <v>0</v>
      </c>
      <c r="AH46" s="7">
        <v>1</v>
      </c>
      <c r="AI46" s="15">
        <f t="shared" si="15"/>
        <v>4100</v>
      </c>
      <c r="AJ46" s="7">
        <v>0</v>
      </c>
      <c r="AK46" s="15">
        <f t="shared" si="16"/>
        <v>0</v>
      </c>
      <c r="AL46" s="7">
        <v>0</v>
      </c>
      <c r="AM46" s="15">
        <f t="shared" si="17"/>
        <v>0</v>
      </c>
      <c r="AN46" s="7">
        <v>0</v>
      </c>
      <c r="AO46" s="15">
        <f t="shared" si="18"/>
        <v>0</v>
      </c>
      <c r="AP46" s="7">
        <v>0</v>
      </c>
      <c r="AQ46" s="15">
        <f t="shared" si="19"/>
        <v>0</v>
      </c>
      <c r="AR46" s="7">
        <v>0</v>
      </c>
      <c r="AS46" s="15">
        <f t="shared" si="20"/>
        <v>0</v>
      </c>
      <c r="AT46" s="7">
        <v>0</v>
      </c>
      <c r="AU46" s="15">
        <f t="shared" si="21"/>
        <v>0</v>
      </c>
      <c r="AV46" s="7">
        <v>0</v>
      </c>
      <c r="AW46" s="15">
        <f t="shared" si="22"/>
        <v>0</v>
      </c>
      <c r="AX46" s="7">
        <v>0</v>
      </c>
      <c r="AY46" s="15">
        <f t="shared" si="23"/>
        <v>0</v>
      </c>
      <c r="AZ46" s="7">
        <v>0</v>
      </c>
      <c r="BA46" s="15">
        <f t="shared" si="24"/>
        <v>0</v>
      </c>
      <c r="BB46" s="7">
        <v>0</v>
      </c>
      <c r="BC46" s="15">
        <f t="shared" si="25"/>
        <v>0</v>
      </c>
      <c r="BD46" s="11">
        <v>0</v>
      </c>
      <c r="BE46" s="15">
        <f t="shared" si="26"/>
        <v>0</v>
      </c>
    </row>
    <row r="47" spans="1:57" x14ac:dyDescent="0.2">
      <c r="A47" s="5" t="s">
        <v>122</v>
      </c>
      <c r="B47" s="15">
        <v>590</v>
      </c>
      <c r="C47" s="15">
        <v>590</v>
      </c>
      <c r="D47" s="15">
        <v>1000</v>
      </c>
      <c r="E47" s="15">
        <f t="shared" si="0"/>
        <v>410</v>
      </c>
      <c r="F47" s="7">
        <v>0</v>
      </c>
      <c r="G47" s="27">
        <f t="shared" si="1"/>
        <v>0</v>
      </c>
      <c r="H47" s="7">
        <v>0</v>
      </c>
      <c r="I47" s="27">
        <f t="shared" si="2"/>
        <v>0</v>
      </c>
      <c r="J47" s="7">
        <v>0</v>
      </c>
      <c r="K47" s="27">
        <f t="shared" si="3"/>
        <v>0</v>
      </c>
      <c r="L47" s="19">
        <v>1</v>
      </c>
      <c r="M47" s="15">
        <f t="shared" si="4"/>
        <v>410</v>
      </c>
      <c r="N47" s="9">
        <v>0</v>
      </c>
      <c r="O47" s="15">
        <f t="shared" si="5"/>
        <v>0</v>
      </c>
      <c r="P47" s="9">
        <v>0</v>
      </c>
      <c r="Q47" s="15">
        <f t="shared" si="6"/>
        <v>0</v>
      </c>
      <c r="R47" s="9">
        <v>3</v>
      </c>
      <c r="S47" s="15">
        <f t="shared" si="7"/>
        <v>1230</v>
      </c>
      <c r="T47" s="9">
        <v>0</v>
      </c>
      <c r="U47" s="15">
        <f t="shared" si="8"/>
        <v>0</v>
      </c>
      <c r="V47" s="9">
        <v>0</v>
      </c>
      <c r="W47" s="15">
        <f t="shared" si="9"/>
        <v>0</v>
      </c>
      <c r="X47" s="9">
        <v>0</v>
      </c>
      <c r="Y47" s="15">
        <f t="shared" si="10"/>
        <v>0</v>
      </c>
      <c r="Z47" s="9">
        <v>0</v>
      </c>
      <c r="AA47" s="15">
        <f t="shared" si="11"/>
        <v>0</v>
      </c>
      <c r="AB47" s="9">
        <v>0</v>
      </c>
      <c r="AC47" s="15">
        <f t="shared" si="12"/>
        <v>0</v>
      </c>
      <c r="AD47" s="7">
        <v>0</v>
      </c>
      <c r="AE47" s="15">
        <f t="shared" si="13"/>
        <v>0</v>
      </c>
      <c r="AF47" s="7">
        <v>3</v>
      </c>
      <c r="AG47" s="15">
        <f t="shared" si="14"/>
        <v>1230</v>
      </c>
      <c r="AH47" s="7">
        <v>0</v>
      </c>
      <c r="AI47" s="15">
        <f t="shared" si="15"/>
        <v>0</v>
      </c>
      <c r="AJ47" s="7">
        <v>0</v>
      </c>
      <c r="AK47" s="15">
        <f t="shared" si="16"/>
        <v>0</v>
      </c>
      <c r="AL47" s="7">
        <v>0</v>
      </c>
      <c r="AM47" s="15">
        <f t="shared" si="17"/>
        <v>0</v>
      </c>
      <c r="AN47" s="7">
        <v>0</v>
      </c>
      <c r="AO47" s="15">
        <f t="shared" si="18"/>
        <v>0</v>
      </c>
      <c r="AP47" s="7">
        <v>0</v>
      </c>
      <c r="AQ47" s="15">
        <f t="shared" si="19"/>
        <v>0</v>
      </c>
      <c r="AR47" s="7">
        <v>2</v>
      </c>
      <c r="AS47" s="15">
        <f t="shared" si="20"/>
        <v>820</v>
      </c>
      <c r="AT47" s="7">
        <v>0</v>
      </c>
      <c r="AU47" s="15">
        <f t="shared" si="21"/>
        <v>0</v>
      </c>
      <c r="AV47" s="7">
        <v>0</v>
      </c>
      <c r="AW47" s="15">
        <f t="shared" si="22"/>
        <v>0</v>
      </c>
      <c r="AX47" s="7">
        <v>1</v>
      </c>
      <c r="AY47" s="15">
        <f t="shared" si="23"/>
        <v>410</v>
      </c>
      <c r="AZ47" s="7">
        <v>14</v>
      </c>
      <c r="BA47" s="15">
        <f t="shared" si="24"/>
        <v>5740</v>
      </c>
      <c r="BB47" s="7">
        <v>0</v>
      </c>
      <c r="BC47" s="15">
        <f t="shared" si="25"/>
        <v>0</v>
      </c>
      <c r="BD47" s="11">
        <v>0</v>
      </c>
      <c r="BE47" s="15">
        <f t="shared" si="26"/>
        <v>0</v>
      </c>
    </row>
    <row r="48" spans="1:57" x14ac:dyDescent="0.2">
      <c r="A48" s="5" t="s">
        <v>197</v>
      </c>
      <c r="B48" s="15">
        <v>1956</v>
      </c>
      <c r="C48" s="15">
        <v>1956</v>
      </c>
      <c r="D48" s="15">
        <v>4000</v>
      </c>
      <c r="E48" s="15">
        <f t="shared" si="0"/>
        <v>2044</v>
      </c>
      <c r="F48" s="7">
        <v>0</v>
      </c>
      <c r="G48" s="27">
        <f t="shared" si="1"/>
        <v>0</v>
      </c>
      <c r="H48" s="7">
        <v>0</v>
      </c>
      <c r="I48" s="27">
        <f t="shared" si="2"/>
        <v>0</v>
      </c>
      <c r="J48" s="7">
        <v>0</v>
      </c>
      <c r="K48" s="27">
        <f t="shared" si="3"/>
        <v>0</v>
      </c>
      <c r="L48" s="19">
        <v>3</v>
      </c>
      <c r="M48" s="15">
        <f t="shared" si="4"/>
        <v>6132</v>
      </c>
      <c r="N48" s="9">
        <v>1</v>
      </c>
      <c r="O48" s="15">
        <f t="shared" si="5"/>
        <v>2044</v>
      </c>
      <c r="P48" s="9">
        <v>0</v>
      </c>
      <c r="Q48" s="15">
        <f t="shared" si="6"/>
        <v>0</v>
      </c>
      <c r="R48" s="9">
        <v>0</v>
      </c>
      <c r="S48" s="15">
        <f t="shared" si="7"/>
        <v>0</v>
      </c>
      <c r="T48" s="9">
        <v>0</v>
      </c>
      <c r="U48" s="15">
        <f t="shared" si="8"/>
        <v>0</v>
      </c>
      <c r="V48" s="9">
        <v>0</v>
      </c>
      <c r="W48" s="15">
        <f t="shared" si="9"/>
        <v>0</v>
      </c>
      <c r="X48" s="9">
        <v>0</v>
      </c>
      <c r="Y48" s="15">
        <f t="shared" si="10"/>
        <v>0</v>
      </c>
      <c r="Z48" s="9">
        <v>0</v>
      </c>
      <c r="AA48" s="15">
        <f t="shared" si="11"/>
        <v>0</v>
      </c>
      <c r="AB48" s="9">
        <v>2</v>
      </c>
      <c r="AC48" s="15">
        <f t="shared" si="12"/>
        <v>4088</v>
      </c>
      <c r="AD48" s="7">
        <v>1</v>
      </c>
      <c r="AE48" s="15">
        <f t="shared" si="13"/>
        <v>2044</v>
      </c>
      <c r="AF48" s="7">
        <v>1</v>
      </c>
      <c r="AG48" s="15">
        <f t="shared" si="14"/>
        <v>2044</v>
      </c>
      <c r="AH48" s="7">
        <v>0</v>
      </c>
      <c r="AI48" s="15">
        <f t="shared" si="15"/>
        <v>0</v>
      </c>
      <c r="AJ48" s="7">
        <v>0</v>
      </c>
      <c r="AK48" s="15">
        <f t="shared" si="16"/>
        <v>0</v>
      </c>
      <c r="AL48" s="7">
        <v>0</v>
      </c>
      <c r="AM48" s="15">
        <f t="shared" si="17"/>
        <v>0</v>
      </c>
      <c r="AN48" s="7">
        <v>0</v>
      </c>
      <c r="AO48" s="15">
        <f t="shared" si="18"/>
        <v>0</v>
      </c>
      <c r="AP48" s="7">
        <v>1</v>
      </c>
      <c r="AQ48" s="15">
        <f t="shared" si="19"/>
        <v>2044</v>
      </c>
      <c r="AR48" s="7">
        <v>2</v>
      </c>
      <c r="AS48" s="15">
        <f t="shared" si="20"/>
        <v>4088</v>
      </c>
      <c r="AT48" s="7">
        <v>0</v>
      </c>
      <c r="AU48" s="15">
        <f t="shared" si="21"/>
        <v>0</v>
      </c>
      <c r="AV48" s="7">
        <v>0</v>
      </c>
      <c r="AW48" s="15">
        <f t="shared" si="22"/>
        <v>0</v>
      </c>
      <c r="AX48" s="7">
        <v>0</v>
      </c>
      <c r="AY48" s="15">
        <f t="shared" si="23"/>
        <v>0</v>
      </c>
      <c r="AZ48" s="7">
        <v>3</v>
      </c>
      <c r="BA48" s="15">
        <f t="shared" si="24"/>
        <v>6132</v>
      </c>
      <c r="BB48" s="7">
        <v>0</v>
      </c>
      <c r="BC48" s="15">
        <f t="shared" si="25"/>
        <v>0</v>
      </c>
      <c r="BD48" s="12">
        <v>3</v>
      </c>
      <c r="BE48" s="15">
        <f t="shared" si="26"/>
        <v>6132</v>
      </c>
    </row>
    <row r="49" spans="1:57" x14ac:dyDescent="0.2">
      <c r="A49" s="5" t="s">
        <v>123</v>
      </c>
      <c r="B49" s="15">
        <v>1956</v>
      </c>
      <c r="C49" s="15">
        <v>1956</v>
      </c>
      <c r="D49" s="15">
        <v>4000</v>
      </c>
      <c r="E49" s="15">
        <f t="shared" si="0"/>
        <v>2044</v>
      </c>
      <c r="F49" s="7">
        <v>6</v>
      </c>
      <c r="G49" s="27">
        <f t="shared" si="1"/>
        <v>12264</v>
      </c>
      <c r="H49" s="7">
        <v>0</v>
      </c>
      <c r="I49" s="27">
        <f t="shared" si="2"/>
        <v>0</v>
      </c>
      <c r="J49" s="7">
        <v>0</v>
      </c>
      <c r="K49" s="27">
        <f t="shared" si="3"/>
        <v>0</v>
      </c>
      <c r="L49" s="19">
        <v>0</v>
      </c>
      <c r="M49" s="15">
        <f t="shared" si="4"/>
        <v>0</v>
      </c>
      <c r="N49" s="9">
        <v>0</v>
      </c>
      <c r="O49" s="15">
        <f t="shared" si="5"/>
        <v>0</v>
      </c>
      <c r="P49" s="9">
        <v>0</v>
      </c>
      <c r="Q49" s="15">
        <f t="shared" si="6"/>
        <v>0</v>
      </c>
      <c r="R49" s="9">
        <v>0</v>
      </c>
      <c r="S49" s="15">
        <f t="shared" si="7"/>
        <v>0</v>
      </c>
      <c r="T49" s="9">
        <v>0</v>
      </c>
      <c r="U49" s="15">
        <f t="shared" si="8"/>
        <v>0</v>
      </c>
      <c r="V49" s="9">
        <v>0</v>
      </c>
      <c r="W49" s="15">
        <f t="shared" si="9"/>
        <v>0</v>
      </c>
      <c r="X49" s="9">
        <v>0</v>
      </c>
      <c r="Y49" s="15">
        <f t="shared" si="10"/>
        <v>0</v>
      </c>
      <c r="Z49" s="9">
        <v>0</v>
      </c>
      <c r="AA49" s="15">
        <f t="shared" si="11"/>
        <v>0</v>
      </c>
      <c r="AB49" s="9">
        <v>0</v>
      </c>
      <c r="AC49" s="15">
        <f t="shared" si="12"/>
        <v>0</v>
      </c>
      <c r="AD49" s="7">
        <v>2</v>
      </c>
      <c r="AE49" s="15">
        <f t="shared" si="13"/>
        <v>4088</v>
      </c>
      <c r="AF49" s="7">
        <v>0</v>
      </c>
      <c r="AG49" s="15">
        <f t="shared" si="14"/>
        <v>0</v>
      </c>
      <c r="AH49" s="7">
        <v>0</v>
      </c>
      <c r="AI49" s="15">
        <f t="shared" si="15"/>
        <v>0</v>
      </c>
      <c r="AJ49" s="7">
        <v>0</v>
      </c>
      <c r="AK49" s="15">
        <f t="shared" si="16"/>
        <v>0</v>
      </c>
      <c r="AL49" s="7">
        <v>0</v>
      </c>
      <c r="AM49" s="15">
        <f t="shared" si="17"/>
        <v>0</v>
      </c>
      <c r="AN49" s="7">
        <v>0</v>
      </c>
      <c r="AO49" s="15">
        <f t="shared" si="18"/>
        <v>0</v>
      </c>
      <c r="AP49" s="7">
        <v>1</v>
      </c>
      <c r="AQ49" s="15">
        <f t="shared" si="19"/>
        <v>2044</v>
      </c>
      <c r="AR49" s="7">
        <v>0</v>
      </c>
      <c r="AS49" s="15">
        <f t="shared" si="20"/>
        <v>0</v>
      </c>
      <c r="AT49" s="7">
        <v>2</v>
      </c>
      <c r="AU49" s="15">
        <f t="shared" si="21"/>
        <v>4088</v>
      </c>
      <c r="AV49" s="7">
        <v>0</v>
      </c>
      <c r="AW49" s="15">
        <f t="shared" si="22"/>
        <v>0</v>
      </c>
      <c r="AX49" s="7">
        <v>0</v>
      </c>
      <c r="AY49" s="15">
        <f t="shared" si="23"/>
        <v>0</v>
      </c>
      <c r="AZ49" s="7">
        <v>0</v>
      </c>
      <c r="BA49" s="15">
        <f t="shared" si="24"/>
        <v>0</v>
      </c>
      <c r="BB49" s="7">
        <v>3</v>
      </c>
      <c r="BC49" s="15">
        <f t="shared" si="25"/>
        <v>6132</v>
      </c>
      <c r="BD49" s="11">
        <v>0</v>
      </c>
      <c r="BE49" s="15">
        <f t="shared" si="26"/>
        <v>0</v>
      </c>
    </row>
    <row r="50" spans="1:57" x14ac:dyDescent="0.2">
      <c r="A50" s="5" t="s">
        <v>124</v>
      </c>
      <c r="B50" s="15">
        <v>1956</v>
      </c>
      <c r="C50" s="15">
        <v>1956</v>
      </c>
      <c r="D50" s="15">
        <v>4000</v>
      </c>
      <c r="E50" s="15">
        <f t="shared" si="0"/>
        <v>2044</v>
      </c>
      <c r="F50" s="7">
        <v>5</v>
      </c>
      <c r="G50" s="27">
        <f t="shared" si="1"/>
        <v>10220</v>
      </c>
      <c r="H50" s="7">
        <v>0</v>
      </c>
      <c r="I50" s="27">
        <f t="shared" si="2"/>
        <v>0</v>
      </c>
      <c r="J50" s="7">
        <v>1</v>
      </c>
      <c r="K50" s="27">
        <f t="shared" si="3"/>
        <v>2044</v>
      </c>
      <c r="L50" s="19">
        <v>2</v>
      </c>
      <c r="M50" s="15">
        <f t="shared" si="4"/>
        <v>4088</v>
      </c>
      <c r="N50" s="9">
        <v>2</v>
      </c>
      <c r="O50" s="15">
        <f t="shared" si="5"/>
        <v>4088</v>
      </c>
      <c r="P50" s="9">
        <v>0</v>
      </c>
      <c r="Q50" s="15">
        <f t="shared" si="6"/>
        <v>0</v>
      </c>
      <c r="R50" s="9">
        <v>0</v>
      </c>
      <c r="S50" s="15">
        <f t="shared" si="7"/>
        <v>0</v>
      </c>
      <c r="T50" s="9">
        <v>0</v>
      </c>
      <c r="U50" s="15">
        <f t="shared" si="8"/>
        <v>0</v>
      </c>
      <c r="V50" s="9">
        <v>0</v>
      </c>
      <c r="W50" s="15">
        <f t="shared" si="9"/>
        <v>0</v>
      </c>
      <c r="X50" s="9">
        <v>1</v>
      </c>
      <c r="Y50" s="15">
        <f t="shared" si="10"/>
        <v>2044</v>
      </c>
      <c r="Z50" s="9">
        <v>0</v>
      </c>
      <c r="AA50" s="15">
        <f t="shared" si="11"/>
        <v>0</v>
      </c>
      <c r="AB50" s="9">
        <v>0</v>
      </c>
      <c r="AC50" s="15">
        <f t="shared" si="12"/>
        <v>0</v>
      </c>
      <c r="AD50" s="7">
        <v>1</v>
      </c>
      <c r="AE50" s="15">
        <f t="shared" si="13"/>
        <v>2044</v>
      </c>
      <c r="AF50" s="7">
        <v>0</v>
      </c>
      <c r="AG50" s="15">
        <f t="shared" si="14"/>
        <v>0</v>
      </c>
      <c r="AH50" s="7">
        <v>2</v>
      </c>
      <c r="AI50" s="15">
        <f t="shared" si="15"/>
        <v>4088</v>
      </c>
      <c r="AJ50" s="7">
        <v>0</v>
      </c>
      <c r="AK50" s="15">
        <f t="shared" si="16"/>
        <v>0</v>
      </c>
      <c r="AL50" s="7">
        <v>0</v>
      </c>
      <c r="AM50" s="15">
        <f t="shared" si="17"/>
        <v>0</v>
      </c>
      <c r="AN50" s="7">
        <v>1</v>
      </c>
      <c r="AO50" s="15">
        <f t="shared" si="18"/>
        <v>2044</v>
      </c>
      <c r="AP50" s="7">
        <v>0</v>
      </c>
      <c r="AQ50" s="15">
        <f t="shared" si="19"/>
        <v>0</v>
      </c>
      <c r="AR50" s="7">
        <v>1</v>
      </c>
      <c r="AS50" s="15">
        <f t="shared" si="20"/>
        <v>2044</v>
      </c>
      <c r="AT50" s="7">
        <v>2</v>
      </c>
      <c r="AU50" s="15">
        <f t="shared" si="21"/>
        <v>4088</v>
      </c>
      <c r="AV50" s="7">
        <v>0</v>
      </c>
      <c r="AW50" s="15">
        <f t="shared" si="22"/>
        <v>0</v>
      </c>
      <c r="AX50" s="7">
        <v>0</v>
      </c>
      <c r="AY50" s="15">
        <f t="shared" si="23"/>
        <v>0</v>
      </c>
      <c r="AZ50" s="7">
        <v>2</v>
      </c>
      <c r="BA50" s="15">
        <f t="shared" si="24"/>
        <v>4088</v>
      </c>
      <c r="BB50" s="7">
        <v>0</v>
      </c>
      <c r="BC50" s="15">
        <f t="shared" si="25"/>
        <v>0</v>
      </c>
      <c r="BD50" s="11">
        <v>0</v>
      </c>
      <c r="BE50" s="15">
        <f t="shared" si="26"/>
        <v>0</v>
      </c>
    </row>
    <row r="51" spans="1:57" x14ac:dyDescent="0.2">
      <c r="A51" s="5" t="s">
        <v>125</v>
      </c>
      <c r="B51" s="15">
        <v>1956</v>
      </c>
      <c r="C51" s="15">
        <v>1956</v>
      </c>
      <c r="D51" s="15">
        <v>4000</v>
      </c>
      <c r="E51" s="15">
        <f t="shared" si="0"/>
        <v>2044</v>
      </c>
      <c r="F51" s="7">
        <v>0</v>
      </c>
      <c r="G51" s="27">
        <f t="shared" si="1"/>
        <v>0</v>
      </c>
      <c r="H51" s="7">
        <v>0</v>
      </c>
      <c r="I51" s="27">
        <f t="shared" si="2"/>
        <v>0</v>
      </c>
      <c r="J51" s="7">
        <v>2</v>
      </c>
      <c r="K51" s="27">
        <f t="shared" si="3"/>
        <v>4088</v>
      </c>
      <c r="L51" s="19">
        <v>0</v>
      </c>
      <c r="M51" s="15">
        <f t="shared" si="4"/>
        <v>0</v>
      </c>
      <c r="N51" s="9">
        <v>0</v>
      </c>
      <c r="O51" s="15">
        <f t="shared" si="5"/>
        <v>0</v>
      </c>
      <c r="P51" s="9">
        <v>0</v>
      </c>
      <c r="Q51" s="15">
        <f t="shared" si="6"/>
        <v>0</v>
      </c>
      <c r="R51" s="9">
        <v>0</v>
      </c>
      <c r="S51" s="15">
        <f t="shared" si="7"/>
        <v>0</v>
      </c>
      <c r="T51" s="9">
        <v>0</v>
      </c>
      <c r="U51" s="15">
        <f t="shared" si="8"/>
        <v>0</v>
      </c>
      <c r="V51" s="9">
        <v>0</v>
      </c>
      <c r="W51" s="15">
        <f t="shared" si="9"/>
        <v>0</v>
      </c>
      <c r="X51" s="9">
        <v>0</v>
      </c>
      <c r="Y51" s="15">
        <f t="shared" si="10"/>
        <v>0</v>
      </c>
      <c r="Z51" s="9">
        <v>0</v>
      </c>
      <c r="AA51" s="15">
        <f t="shared" si="11"/>
        <v>0</v>
      </c>
      <c r="AB51" s="9">
        <v>0</v>
      </c>
      <c r="AC51" s="15">
        <f t="shared" si="12"/>
        <v>0</v>
      </c>
      <c r="AD51" s="7">
        <v>0</v>
      </c>
      <c r="AE51" s="15">
        <f t="shared" si="13"/>
        <v>0</v>
      </c>
      <c r="AF51" s="7">
        <v>0</v>
      </c>
      <c r="AG51" s="15">
        <f t="shared" si="14"/>
        <v>0</v>
      </c>
      <c r="AH51" s="7">
        <v>0</v>
      </c>
      <c r="AI51" s="15">
        <f t="shared" si="15"/>
        <v>0</v>
      </c>
      <c r="AJ51" s="7">
        <v>0</v>
      </c>
      <c r="AK51" s="15">
        <f t="shared" si="16"/>
        <v>0</v>
      </c>
      <c r="AL51" s="7">
        <v>0</v>
      </c>
      <c r="AM51" s="15">
        <f t="shared" si="17"/>
        <v>0</v>
      </c>
      <c r="AN51" s="7">
        <v>0</v>
      </c>
      <c r="AO51" s="15">
        <f t="shared" si="18"/>
        <v>0</v>
      </c>
      <c r="AP51" s="7">
        <v>0</v>
      </c>
      <c r="AQ51" s="15">
        <f t="shared" si="19"/>
        <v>0</v>
      </c>
      <c r="AR51" s="7">
        <v>0</v>
      </c>
      <c r="AS51" s="15">
        <f t="shared" si="20"/>
        <v>0</v>
      </c>
      <c r="AT51" s="7">
        <v>0</v>
      </c>
      <c r="AU51" s="15">
        <f t="shared" si="21"/>
        <v>0</v>
      </c>
      <c r="AV51" s="7">
        <v>0</v>
      </c>
      <c r="AW51" s="15">
        <f t="shared" si="22"/>
        <v>0</v>
      </c>
      <c r="AX51" s="7">
        <v>0</v>
      </c>
      <c r="AY51" s="15">
        <f t="shared" si="23"/>
        <v>0</v>
      </c>
      <c r="AZ51" s="7">
        <v>0</v>
      </c>
      <c r="BA51" s="15">
        <f t="shared" si="24"/>
        <v>0</v>
      </c>
      <c r="BB51" s="7">
        <v>0</v>
      </c>
      <c r="BC51" s="15">
        <f t="shared" si="25"/>
        <v>0</v>
      </c>
      <c r="BD51" s="11">
        <v>0</v>
      </c>
      <c r="BE51" s="15">
        <f t="shared" si="26"/>
        <v>0</v>
      </c>
    </row>
    <row r="52" spans="1:57" x14ac:dyDescent="0.2">
      <c r="A52" s="5" t="s">
        <v>126</v>
      </c>
      <c r="B52" s="15">
        <v>825</v>
      </c>
      <c r="C52" s="15">
        <v>825</v>
      </c>
      <c r="D52" s="15">
        <v>2500</v>
      </c>
      <c r="E52" s="15">
        <f t="shared" si="0"/>
        <v>1675</v>
      </c>
      <c r="F52" s="7">
        <v>0</v>
      </c>
      <c r="G52" s="27">
        <f t="shared" si="1"/>
        <v>0</v>
      </c>
      <c r="H52" s="7">
        <v>0</v>
      </c>
      <c r="I52" s="27">
        <f t="shared" si="2"/>
        <v>0</v>
      </c>
      <c r="J52" s="7">
        <v>0</v>
      </c>
      <c r="K52" s="27">
        <f t="shared" si="3"/>
        <v>0</v>
      </c>
      <c r="L52" s="19">
        <v>0</v>
      </c>
      <c r="M52" s="15">
        <f t="shared" si="4"/>
        <v>0</v>
      </c>
      <c r="N52" s="9">
        <v>0</v>
      </c>
      <c r="O52" s="15">
        <f t="shared" si="5"/>
        <v>0</v>
      </c>
      <c r="P52" s="9">
        <v>0</v>
      </c>
      <c r="Q52" s="15">
        <f t="shared" si="6"/>
        <v>0</v>
      </c>
      <c r="R52" s="9">
        <v>0</v>
      </c>
      <c r="S52" s="15">
        <f t="shared" si="7"/>
        <v>0</v>
      </c>
      <c r="T52" s="9">
        <v>0</v>
      </c>
      <c r="U52" s="15">
        <f t="shared" si="8"/>
        <v>0</v>
      </c>
      <c r="V52" s="9">
        <v>0</v>
      </c>
      <c r="W52" s="15">
        <f t="shared" si="9"/>
        <v>0</v>
      </c>
      <c r="X52" s="9">
        <v>0</v>
      </c>
      <c r="Y52" s="15">
        <f t="shared" si="10"/>
        <v>0</v>
      </c>
      <c r="Z52" s="9">
        <v>0</v>
      </c>
      <c r="AA52" s="15">
        <f t="shared" si="11"/>
        <v>0</v>
      </c>
      <c r="AB52" s="9">
        <v>0</v>
      </c>
      <c r="AC52" s="15">
        <f t="shared" si="12"/>
        <v>0</v>
      </c>
      <c r="AD52" s="7">
        <v>0</v>
      </c>
      <c r="AE52" s="15">
        <f t="shared" si="13"/>
        <v>0</v>
      </c>
      <c r="AF52" s="7">
        <v>0</v>
      </c>
      <c r="AG52" s="15">
        <f t="shared" si="14"/>
        <v>0</v>
      </c>
      <c r="AH52" s="7">
        <v>0</v>
      </c>
      <c r="AI52" s="15">
        <f t="shared" si="15"/>
        <v>0</v>
      </c>
      <c r="AJ52" s="7">
        <v>0</v>
      </c>
      <c r="AK52" s="15">
        <f t="shared" si="16"/>
        <v>0</v>
      </c>
      <c r="AL52" s="7">
        <v>0</v>
      </c>
      <c r="AM52" s="15">
        <f t="shared" si="17"/>
        <v>0</v>
      </c>
      <c r="AN52" s="7">
        <v>0</v>
      </c>
      <c r="AO52" s="15">
        <f t="shared" si="18"/>
        <v>0</v>
      </c>
      <c r="AP52" s="7">
        <v>0</v>
      </c>
      <c r="AQ52" s="15">
        <f t="shared" si="19"/>
        <v>0</v>
      </c>
      <c r="AR52" s="7">
        <v>0</v>
      </c>
      <c r="AS52" s="15">
        <f t="shared" si="20"/>
        <v>0</v>
      </c>
      <c r="AT52" s="7">
        <v>0</v>
      </c>
      <c r="AU52" s="15">
        <f t="shared" si="21"/>
        <v>0</v>
      </c>
      <c r="AV52" s="7">
        <v>0</v>
      </c>
      <c r="AW52" s="15">
        <f t="shared" si="22"/>
        <v>0</v>
      </c>
      <c r="AX52" s="7">
        <v>0</v>
      </c>
      <c r="AY52" s="15">
        <f t="shared" si="23"/>
        <v>0</v>
      </c>
      <c r="AZ52" s="7">
        <v>0</v>
      </c>
      <c r="BA52" s="15">
        <f t="shared" si="24"/>
        <v>0</v>
      </c>
      <c r="BB52" s="7">
        <v>0</v>
      </c>
      <c r="BC52" s="15">
        <f t="shared" si="25"/>
        <v>0</v>
      </c>
      <c r="BD52" s="11">
        <v>0</v>
      </c>
      <c r="BE52" s="15">
        <f t="shared" si="26"/>
        <v>0</v>
      </c>
    </row>
    <row r="53" spans="1:57" x14ac:dyDescent="0.2">
      <c r="A53" s="5" t="s">
        <v>127</v>
      </c>
      <c r="B53" s="15">
        <v>103</v>
      </c>
      <c r="C53" s="15">
        <v>103</v>
      </c>
      <c r="D53" s="15">
        <v>200</v>
      </c>
      <c r="E53" s="15">
        <f t="shared" si="0"/>
        <v>97</v>
      </c>
      <c r="F53" s="7">
        <v>0</v>
      </c>
      <c r="G53" s="27">
        <f t="shared" si="1"/>
        <v>0</v>
      </c>
      <c r="H53" s="7">
        <v>0</v>
      </c>
      <c r="I53" s="27">
        <f t="shared" si="2"/>
        <v>0</v>
      </c>
      <c r="J53" s="7">
        <v>0</v>
      </c>
      <c r="K53" s="27">
        <f t="shared" si="3"/>
        <v>0</v>
      </c>
      <c r="L53" s="19">
        <v>0</v>
      </c>
      <c r="M53" s="15">
        <f t="shared" si="4"/>
        <v>0</v>
      </c>
      <c r="N53" s="9">
        <v>0</v>
      </c>
      <c r="O53" s="15">
        <f t="shared" si="5"/>
        <v>0</v>
      </c>
      <c r="P53" s="9">
        <v>0</v>
      </c>
      <c r="Q53" s="15">
        <f t="shared" si="6"/>
        <v>0</v>
      </c>
      <c r="R53" s="9">
        <v>0</v>
      </c>
      <c r="S53" s="15">
        <f t="shared" si="7"/>
        <v>0</v>
      </c>
      <c r="T53" s="9">
        <v>0</v>
      </c>
      <c r="U53" s="15">
        <f t="shared" si="8"/>
        <v>0</v>
      </c>
      <c r="V53" s="9">
        <v>0</v>
      </c>
      <c r="W53" s="15">
        <f t="shared" si="9"/>
        <v>0</v>
      </c>
      <c r="X53" s="9">
        <v>0</v>
      </c>
      <c r="Y53" s="15">
        <f t="shared" si="10"/>
        <v>0</v>
      </c>
      <c r="Z53" s="9">
        <v>0</v>
      </c>
      <c r="AA53" s="15">
        <f t="shared" si="11"/>
        <v>0</v>
      </c>
      <c r="AB53" s="9">
        <v>0</v>
      </c>
      <c r="AC53" s="15">
        <f t="shared" si="12"/>
        <v>0</v>
      </c>
      <c r="AD53" s="7">
        <v>0</v>
      </c>
      <c r="AE53" s="15">
        <f t="shared" si="13"/>
        <v>0</v>
      </c>
      <c r="AF53" s="7">
        <v>0</v>
      </c>
      <c r="AG53" s="15">
        <f t="shared" si="14"/>
        <v>0</v>
      </c>
      <c r="AH53" s="7">
        <v>0</v>
      </c>
      <c r="AI53" s="15">
        <f t="shared" si="15"/>
        <v>0</v>
      </c>
      <c r="AJ53" s="7">
        <v>0</v>
      </c>
      <c r="AK53" s="15">
        <f t="shared" si="16"/>
        <v>0</v>
      </c>
      <c r="AL53" s="7">
        <v>0</v>
      </c>
      <c r="AM53" s="15">
        <f t="shared" si="17"/>
        <v>0</v>
      </c>
      <c r="AN53" s="7">
        <v>0</v>
      </c>
      <c r="AO53" s="15">
        <f t="shared" si="18"/>
        <v>0</v>
      </c>
      <c r="AP53" s="7">
        <v>0</v>
      </c>
      <c r="AQ53" s="15">
        <f t="shared" si="19"/>
        <v>0</v>
      </c>
      <c r="AR53" s="7">
        <v>0</v>
      </c>
      <c r="AS53" s="15">
        <f t="shared" si="20"/>
        <v>0</v>
      </c>
      <c r="AT53" s="7">
        <v>0</v>
      </c>
      <c r="AU53" s="15">
        <f t="shared" si="21"/>
        <v>0</v>
      </c>
      <c r="AV53" s="7">
        <v>0</v>
      </c>
      <c r="AW53" s="15">
        <f t="shared" si="22"/>
        <v>0</v>
      </c>
      <c r="AX53" s="7">
        <v>0</v>
      </c>
      <c r="AY53" s="15">
        <f t="shared" si="23"/>
        <v>0</v>
      </c>
      <c r="AZ53" s="7">
        <v>0</v>
      </c>
      <c r="BA53" s="15">
        <f t="shared" si="24"/>
        <v>0</v>
      </c>
      <c r="BB53" s="7">
        <v>0</v>
      </c>
      <c r="BC53" s="15">
        <f t="shared" si="25"/>
        <v>0</v>
      </c>
      <c r="BD53" s="11">
        <v>0</v>
      </c>
      <c r="BE53" s="15">
        <f t="shared" si="26"/>
        <v>0</v>
      </c>
    </row>
    <row r="54" spans="1:57" x14ac:dyDescent="0.2">
      <c r="A54" s="5" t="s">
        <v>128</v>
      </c>
      <c r="B54" s="15">
        <v>352</v>
      </c>
      <c r="C54" s="15">
        <v>352</v>
      </c>
      <c r="D54" s="15">
        <v>700</v>
      </c>
      <c r="E54" s="15">
        <f t="shared" si="0"/>
        <v>348</v>
      </c>
      <c r="F54" s="7">
        <v>0</v>
      </c>
      <c r="G54" s="27">
        <f t="shared" si="1"/>
        <v>0</v>
      </c>
      <c r="H54" s="7">
        <v>0</v>
      </c>
      <c r="I54" s="27">
        <f t="shared" si="2"/>
        <v>0</v>
      </c>
      <c r="J54" s="7">
        <v>0</v>
      </c>
      <c r="K54" s="27">
        <f t="shared" si="3"/>
        <v>0</v>
      </c>
      <c r="L54" s="19">
        <v>0</v>
      </c>
      <c r="M54" s="15">
        <f t="shared" si="4"/>
        <v>0</v>
      </c>
      <c r="N54" s="9">
        <v>0</v>
      </c>
      <c r="O54" s="15">
        <f t="shared" si="5"/>
        <v>0</v>
      </c>
      <c r="P54" s="9">
        <v>0</v>
      </c>
      <c r="Q54" s="15">
        <f t="shared" si="6"/>
        <v>0</v>
      </c>
      <c r="R54" s="9">
        <v>0</v>
      </c>
      <c r="S54" s="15">
        <f t="shared" si="7"/>
        <v>0</v>
      </c>
      <c r="T54" s="9">
        <v>0</v>
      </c>
      <c r="U54" s="15">
        <f t="shared" si="8"/>
        <v>0</v>
      </c>
      <c r="V54" s="9">
        <v>0</v>
      </c>
      <c r="W54" s="15">
        <f t="shared" si="9"/>
        <v>0</v>
      </c>
      <c r="X54" s="9">
        <v>0</v>
      </c>
      <c r="Y54" s="15">
        <f t="shared" si="10"/>
        <v>0</v>
      </c>
      <c r="Z54" s="9">
        <v>0</v>
      </c>
      <c r="AA54" s="15">
        <f t="shared" si="11"/>
        <v>0</v>
      </c>
      <c r="AB54" s="9">
        <v>0</v>
      </c>
      <c r="AC54" s="15">
        <f t="shared" si="12"/>
        <v>0</v>
      </c>
      <c r="AD54" s="7">
        <v>0</v>
      </c>
      <c r="AE54" s="15">
        <f t="shared" si="13"/>
        <v>0</v>
      </c>
      <c r="AF54" s="7">
        <v>0</v>
      </c>
      <c r="AG54" s="15">
        <f t="shared" si="14"/>
        <v>0</v>
      </c>
      <c r="AH54" s="7">
        <v>0</v>
      </c>
      <c r="AI54" s="15">
        <f t="shared" si="15"/>
        <v>0</v>
      </c>
      <c r="AJ54" s="7">
        <v>0</v>
      </c>
      <c r="AK54" s="15">
        <f t="shared" si="16"/>
        <v>0</v>
      </c>
      <c r="AL54" s="7">
        <v>0</v>
      </c>
      <c r="AM54" s="15">
        <f t="shared" si="17"/>
        <v>0</v>
      </c>
      <c r="AN54" s="7">
        <v>0</v>
      </c>
      <c r="AO54" s="15">
        <f t="shared" si="18"/>
        <v>0</v>
      </c>
      <c r="AP54" s="7">
        <v>0</v>
      </c>
      <c r="AQ54" s="15">
        <f t="shared" si="19"/>
        <v>0</v>
      </c>
      <c r="AR54" s="7">
        <v>0</v>
      </c>
      <c r="AS54" s="15">
        <f t="shared" si="20"/>
        <v>0</v>
      </c>
      <c r="AT54" s="7">
        <v>0</v>
      </c>
      <c r="AU54" s="15">
        <f t="shared" si="21"/>
        <v>0</v>
      </c>
      <c r="AV54" s="7">
        <v>0</v>
      </c>
      <c r="AW54" s="15">
        <f t="shared" si="22"/>
        <v>0</v>
      </c>
      <c r="AX54" s="7">
        <v>0</v>
      </c>
      <c r="AY54" s="15">
        <f t="shared" si="23"/>
        <v>0</v>
      </c>
      <c r="AZ54" s="7">
        <v>0</v>
      </c>
      <c r="BA54" s="15">
        <f t="shared" si="24"/>
        <v>0</v>
      </c>
      <c r="BB54" s="7">
        <v>0</v>
      </c>
      <c r="BC54" s="15">
        <f t="shared" si="25"/>
        <v>0</v>
      </c>
      <c r="BD54" s="11">
        <v>0</v>
      </c>
      <c r="BE54" s="15">
        <f t="shared" si="26"/>
        <v>0</v>
      </c>
    </row>
    <row r="55" spans="1:57" x14ac:dyDescent="0.2">
      <c r="A55" s="5" t="s">
        <v>129</v>
      </c>
      <c r="B55" s="15">
        <v>60000</v>
      </c>
      <c r="C55" s="15">
        <v>60000</v>
      </c>
      <c r="D55" s="15">
        <v>100000</v>
      </c>
      <c r="E55" s="15">
        <f t="shared" si="0"/>
        <v>40000</v>
      </c>
      <c r="F55" s="7">
        <v>0</v>
      </c>
      <c r="G55" s="27">
        <f t="shared" si="1"/>
        <v>0</v>
      </c>
      <c r="H55" s="7">
        <v>0</v>
      </c>
      <c r="I55" s="27">
        <f t="shared" si="2"/>
        <v>0</v>
      </c>
      <c r="J55" s="7">
        <v>0</v>
      </c>
      <c r="K55" s="27">
        <f t="shared" si="3"/>
        <v>0</v>
      </c>
      <c r="L55" s="22">
        <v>0</v>
      </c>
      <c r="M55" s="15">
        <f t="shared" si="4"/>
        <v>0</v>
      </c>
      <c r="N55" s="9">
        <v>0</v>
      </c>
      <c r="O55" s="15">
        <f t="shared" si="5"/>
        <v>0</v>
      </c>
      <c r="P55" s="9">
        <v>0</v>
      </c>
      <c r="Q55" s="15">
        <f t="shared" si="6"/>
        <v>0</v>
      </c>
      <c r="R55" s="9">
        <v>0</v>
      </c>
      <c r="S55" s="15">
        <f t="shared" si="7"/>
        <v>0</v>
      </c>
      <c r="T55" s="9">
        <v>0</v>
      </c>
      <c r="U55" s="15">
        <f t="shared" si="8"/>
        <v>0</v>
      </c>
      <c r="V55" s="9">
        <v>0</v>
      </c>
      <c r="W55" s="15">
        <f t="shared" si="9"/>
        <v>0</v>
      </c>
      <c r="X55" s="9">
        <v>0</v>
      </c>
      <c r="Y55" s="15">
        <f t="shared" si="10"/>
        <v>0</v>
      </c>
      <c r="Z55" s="9">
        <v>0</v>
      </c>
      <c r="AA55" s="15">
        <f t="shared" si="11"/>
        <v>0</v>
      </c>
      <c r="AB55" s="9">
        <v>0</v>
      </c>
      <c r="AC55" s="15">
        <f t="shared" si="12"/>
        <v>0</v>
      </c>
      <c r="AE55" s="15">
        <f t="shared" si="13"/>
        <v>0</v>
      </c>
      <c r="AF55" s="12">
        <v>0</v>
      </c>
      <c r="AG55" s="15">
        <f t="shared" si="14"/>
        <v>0</v>
      </c>
      <c r="AH55" s="12">
        <v>0</v>
      </c>
      <c r="AI55" s="15">
        <f t="shared" si="15"/>
        <v>0</v>
      </c>
      <c r="AJ55" s="12">
        <v>0</v>
      </c>
      <c r="AK55" s="15">
        <f t="shared" si="16"/>
        <v>0</v>
      </c>
      <c r="AL55" s="12">
        <v>0</v>
      </c>
      <c r="AM55" s="15">
        <f t="shared" si="17"/>
        <v>0</v>
      </c>
      <c r="AN55" s="12">
        <v>0</v>
      </c>
      <c r="AO55" s="15">
        <f t="shared" si="18"/>
        <v>0</v>
      </c>
      <c r="AP55" s="12">
        <v>0</v>
      </c>
      <c r="AQ55" s="15">
        <f t="shared" si="19"/>
        <v>0</v>
      </c>
      <c r="AR55" s="12">
        <v>0</v>
      </c>
      <c r="AS55" s="15">
        <f t="shared" si="20"/>
        <v>0</v>
      </c>
      <c r="AT55" s="12">
        <v>0</v>
      </c>
      <c r="AU55" s="15">
        <f t="shared" si="21"/>
        <v>0</v>
      </c>
      <c r="AV55" s="12">
        <v>0</v>
      </c>
      <c r="AW55" s="15">
        <f t="shared" si="22"/>
        <v>0</v>
      </c>
      <c r="AX55" s="12">
        <v>0</v>
      </c>
      <c r="AY55" s="15">
        <f t="shared" si="23"/>
        <v>0</v>
      </c>
      <c r="AZ55" s="12">
        <v>0</v>
      </c>
      <c r="BA55" s="15">
        <f t="shared" si="24"/>
        <v>0</v>
      </c>
      <c r="BB55" s="7">
        <v>0</v>
      </c>
      <c r="BC55" s="15">
        <f t="shared" si="25"/>
        <v>0</v>
      </c>
      <c r="BD55" s="7">
        <v>0</v>
      </c>
      <c r="BE55" s="15">
        <f t="shared" si="26"/>
        <v>0</v>
      </c>
    </row>
    <row r="56" spans="1:57" x14ac:dyDescent="0.2">
      <c r="A56" s="23"/>
      <c r="B56" s="23"/>
      <c r="C56" s="23"/>
      <c r="D56" s="23"/>
      <c r="E56" s="23"/>
      <c r="F56" s="40"/>
      <c r="G56" s="27">
        <f>SUM(G2:G55)</f>
        <v>288524</v>
      </c>
      <c r="H56" s="40"/>
      <c r="I56" s="27">
        <f>SUM(I2:I55)</f>
        <v>287966</v>
      </c>
      <c r="J56" s="40"/>
      <c r="K56" s="27">
        <f>SUM(K2:K55)</f>
        <v>45540</v>
      </c>
      <c r="L56" s="23"/>
      <c r="M56" s="15">
        <f>SUM(M2:M55)</f>
        <v>318121</v>
      </c>
      <c r="N56" s="23"/>
      <c r="O56" s="15">
        <f>SUM(O2:O55)</f>
        <v>232450</v>
      </c>
      <c r="P56" s="41"/>
      <c r="Q56" s="15">
        <f>SUM(Q2:Q55)</f>
        <v>42213</v>
      </c>
      <c r="R56" s="41"/>
      <c r="S56" s="15">
        <f>SUM(S2:S55)</f>
        <v>176188</v>
      </c>
      <c r="T56" s="41"/>
      <c r="U56" s="15">
        <f>SUM(U2:U55)</f>
        <v>86655</v>
      </c>
      <c r="V56" s="41"/>
      <c r="W56" s="15">
        <f>SUM(W2:W55)</f>
        <v>14389</v>
      </c>
      <c r="X56" s="41"/>
      <c r="Y56" s="15">
        <f>SUM(Y2:Y55)</f>
        <v>98386</v>
      </c>
      <c r="Z56" s="41"/>
      <c r="AA56" s="15">
        <f>SUM(AA2:AA55)</f>
        <v>21538</v>
      </c>
      <c r="AB56" s="41"/>
      <c r="AC56" s="15">
        <f>SUM(AC2:AC55)</f>
        <v>31962</v>
      </c>
      <c r="AE56" s="15">
        <f>SUM(AE2:AE55)</f>
        <v>163463</v>
      </c>
      <c r="AF56" s="41"/>
      <c r="AG56" s="15">
        <f>SUM(AG2:AG55)</f>
        <v>401526</v>
      </c>
      <c r="AH56" s="41"/>
      <c r="AI56" s="15">
        <f>SUM(AI2:AI55)</f>
        <v>196598</v>
      </c>
      <c r="AJ56" s="41"/>
      <c r="AK56" s="15">
        <f>SUM(AK2:AK55)</f>
        <v>34481</v>
      </c>
      <c r="AL56" s="41"/>
      <c r="AM56" s="15">
        <f>SUM(AM2:AM55)</f>
        <v>46110</v>
      </c>
      <c r="AN56" s="41"/>
      <c r="AO56" s="15">
        <f>SUM(AO2:AO55)</f>
        <v>186902</v>
      </c>
      <c r="AP56" s="41"/>
      <c r="AQ56" s="15">
        <f>SUM(AQ2:AQ55)</f>
        <v>177233</v>
      </c>
      <c r="AR56" s="41"/>
      <c r="AS56" s="15">
        <f>SUM(AS2:AS55)</f>
        <v>217165</v>
      </c>
      <c r="AT56" s="41"/>
      <c r="AU56" s="15">
        <f>SUM(AU2:AU55)</f>
        <v>105572</v>
      </c>
      <c r="AV56" s="41"/>
      <c r="AW56" s="15">
        <f>SUM(AW2:AW55)</f>
        <v>66914</v>
      </c>
      <c r="AX56" s="41"/>
      <c r="AY56" s="15">
        <f>SUM(AY2:AY55)</f>
        <v>38852</v>
      </c>
      <c r="AZ56" s="41"/>
      <c r="BA56" s="15">
        <f>SUM(BA2:BA55)</f>
        <v>225852</v>
      </c>
      <c r="BB56" s="41"/>
      <c r="BC56" s="15">
        <f>SUM(BC2:BC55)</f>
        <v>303588</v>
      </c>
      <c r="BD56" s="41"/>
      <c r="BE56" s="15">
        <f>SUM(BE2:BE55)</f>
        <v>103067</v>
      </c>
    </row>
    <row r="57" spans="1:57" x14ac:dyDescent="0.2">
      <c r="F57" s="40"/>
      <c r="G57" s="40"/>
      <c r="H57" s="40"/>
      <c r="I57" s="40"/>
      <c r="J57" s="40"/>
      <c r="K57" s="40"/>
      <c r="L57" s="22" t="s">
        <v>311</v>
      </c>
      <c r="M57" s="42">
        <v>13666</v>
      </c>
      <c r="O57" s="15"/>
      <c r="Q57" s="15">
        <f>P57*E57</f>
        <v>0</v>
      </c>
      <c r="W57" s="15"/>
      <c r="Y57" s="15"/>
      <c r="AA57" s="15"/>
      <c r="AC57" s="15"/>
      <c r="AE57" s="15"/>
      <c r="AG57" s="22" t="s">
        <v>312</v>
      </c>
      <c r="AH57" s="22" t="s">
        <v>313</v>
      </c>
      <c r="AI57" s="19">
        <v>46300</v>
      </c>
      <c r="AK57" s="15">
        <f>AJ57*G57</f>
        <v>0</v>
      </c>
      <c r="AM57" s="15">
        <f>AL57*I57</f>
        <v>0</v>
      </c>
      <c r="AO57" s="15">
        <f>AN57*K57</f>
        <v>0</v>
      </c>
      <c r="AP57" s="22" t="s">
        <v>314</v>
      </c>
      <c r="AQ57" s="26">
        <v>3550</v>
      </c>
      <c r="AS57" s="15">
        <f>AR57*O57</f>
        <v>0</v>
      </c>
      <c r="AU57" s="15">
        <f>AT57*Q57</f>
        <v>0</v>
      </c>
      <c r="AW57" s="15">
        <f>AV57*S57</f>
        <v>0</v>
      </c>
      <c r="AY57" s="15">
        <f>AX57*U57</f>
        <v>0</v>
      </c>
      <c r="BA57" s="15">
        <f>AZ57*W57</f>
        <v>0</v>
      </c>
      <c r="BC57" s="15">
        <f>BB57*Y57</f>
        <v>0</v>
      </c>
      <c r="BE57" s="15">
        <f>BD57*AA57</f>
        <v>0</v>
      </c>
    </row>
    <row r="58" spans="1:57" x14ac:dyDescent="0.2">
      <c r="M58" s="40">
        <f>M56+M57</f>
        <v>331787</v>
      </c>
      <c r="O58" s="15"/>
      <c r="Q58" s="15">
        <f>P58*E58</f>
        <v>0</v>
      </c>
      <c r="W58" s="15"/>
      <c r="Y58" s="15"/>
      <c r="AA58" s="15"/>
      <c r="AC58" s="15"/>
      <c r="AE58" s="15"/>
      <c r="AG58" s="24"/>
      <c r="AI58" s="15">
        <f>AI56+AI57</f>
        <v>242898</v>
      </c>
      <c r="AK58" s="15">
        <f>AJ58*G58</f>
        <v>0</v>
      </c>
      <c r="AM58" s="15">
        <f>AL58*I58</f>
        <v>0</v>
      </c>
      <c r="AO58" s="15">
        <f>AN58*K58</f>
        <v>0</v>
      </c>
      <c r="AQ58" s="15">
        <f>AQ56+AQ57</f>
        <v>180783</v>
      </c>
      <c r="AS58" s="15">
        <f>AR58*O58</f>
        <v>0</v>
      </c>
      <c r="AU58" s="15">
        <f>AT58*Q58</f>
        <v>0</v>
      </c>
      <c r="AW58" s="15">
        <f>AV58*S58</f>
        <v>0</v>
      </c>
      <c r="AY58" s="15">
        <f>AX58*U58</f>
        <v>0</v>
      </c>
      <c r="BA58" s="15">
        <f>AZ58*W58</f>
        <v>0</v>
      </c>
      <c r="BC58" s="15">
        <f>BB58*Y58</f>
        <v>0</v>
      </c>
      <c r="BE58" s="15">
        <f>BD58*AA58</f>
        <v>0</v>
      </c>
    </row>
    <row r="59" spans="1:57" x14ac:dyDescent="0.2">
      <c r="AG59" s="2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63"/>
  <sheetViews>
    <sheetView topLeftCell="A31" workbookViewId="0">
      <selection activeCell="H34" sqref="H34"/>
    </sheetView>
  </sheetViews>
  <sheetFormatPr baseColWidth="10" defaultColWidth="12.5703125" defaultRowHeight="15.75" customHeight="1" x14ac:dyDescent="0.2"/>
  <cols>
    <col min="2" max="2" width="15.140625" customWidth="1"/>
    <col min="3" max="3" width="13.85546875" customWidth="1"/>
    <col min="5" max="5" width="16.42578125" customWidth="1"/>
    <col min="6" max="6" width="17.5703125" customWidth="1"/>
    <col min="7" max="8" width="16.42578125" customWidth="1"/>
    <col min="10" max="10" width="40.42578125" customWidth="1"/>
  </cols>
  <sheetData>
    <row r="1" spans="1:10" ht="12.75" x14ac:dyDescent="0.2">
      <c r="A1" s="13" t="s">
        <v>315</v>
      </c>
      <c r="B1" s="13" t="s">
        <v>316</v>
      </c>
      <c r="C1" s="5" t="s">
        <v>317</v>
      </c>
      <c r="D1" s="21" t="s">
        <v>318</v>
      </c>
      <c r="E1" s="21" t="s">
        <v>319</v>
      </c>
      <c r="F1" s="21" t="s">
        <v>320</v>
      </c>
      <c r="G1" s="21" t="s">
        <v>321</v>
      </c>
      <c r="H1" s="21" t="s">
        <v>322</v>
      </c>
      <c r="J1" s="19" t="s">
        <v>323</v>
      </c>
    </row>
    <row r="2" spans="1:10" ht="12.75" hidden="1" x14ac:dyDescent="0.2">
      <c r="A2" s="8" t="s">
        <v>324</v>
      </c>
      <c r="B2" s="15"/>
      <c r="C2" s="15"/>
      <c r="D2" s="24"/>
      <c r="E2" s="24"/>
      <c r="F2" s="24"/>
      <c r="G2" s="24"/>
      <c r="H2" s="24"/>
      <c r="J2" s="24"/>
    </row>
    <row r="3" spans="1:10" ht="12.75" hidden="1" x14ac:dyDescent="0.2">
      <c r="A3" s="8" t="s">
        <v>325</v>
      </c>
      <c r="B3" s="14"/>
      <c r="C3" s="14"/>
      <c r="D3" s="24"/>
      <c r="E3" s="24"/>
      <c r="F3" s="24"/>
      <c r="G3" s="24"/>
      <c r="H3" s="24"/>
      <c r="J3" s="24"/>
    </row>
    <row r="4" spans="1:10" ht="12.75" hidden="1" x14ac:dyDescent="0.2">
      <c r="A4" s="8" t="s">
        <v>326</v>
      </c>
      <c r="B4" s="14"/>
      <c r="C4" s="14"/>
      <c r="D4" s="24"/>
      <c r="E4" s="24"/>
      <c r="F4" s="24"/>
      <c r="G4" s="24"/>
      <c r="H4" s="24"/>
      <c r="J4" s="24"/>
    </row>
    <row r="5" spans="1:10" ht="12.75" hidden="1" x14ac:dyDescent="0.2">
      <c r="A5" s="8" t="s">
        <v>327</v>
      </c>
      <c r="B5" s="14"/>
      <c r="C5" s="14"/>
      <c r="D5" s="24"/>
      <c r="E5" s="24"/>
      <c r="F5" s="24"/>
      <c r="G5" s="24"/>
      <c r="H5" s="24"/>
      <c r="J5" s="24"/>
    </row>
    <row r="6" spans="1:10" ht="12.75" hidden="1" x14ac:dyDescent="0.2">
      <c r="A6" s="8" t="s">
        <v>328</v>
      </c>
      <c r="B6" s="14"/>
      <c r="C6" s="14"/>
      <c r="D6" s="24"/>
      <c r="E6" s="24"/>
      <c r="F6" s="24"/>
      <c r="G6" s="24"/>
      <c r="H6" s="24"/>
      <c r="J6" s="24"/>
    </row>
    <row r="7" spans="1:10" ht="12.75" hidden="1" x14ac:dyDescent="0.2">
      <c r="A7" s="8" t="s">
        <v>329</v>
      </c>
      <c r="B7" s="14"/>
      <c r="C7" s="14"/>
      <c r="D7" s="24"/>
      <c r="E7" s="24"/>
      <c r="F7" s="24"/>
      <c r="G7" s="24"/>
      <c r="H7" s="24"/>
      <c r="J7" s="24"/>
    </row>
    <row r="8" spans="1:10" ht="12.75" hidden="1" x14ac:dyDescent="0.2">
      <c r="A8" s="8" t="s">
        <v>330</v>
      </c>
      <c r="B8" s="14"/>
      <c r="C8" s="14"/>
      <c r="D8" s="24"/>
      <c r="E8" s="24"/>
      <c r="F8" s="24"/>
      <c r="G8" s="24"/>
      <c r="H8" s="24"/>
      <c r="J8" s="24"/>
    </row>
    <row r="9" spans="1:10" ht="12.75" hidden="1" x14ac:dyDescent="0.2">
      <c r="A9" s="8" t="s">
        <v>331</v>
      </c>
      <c r="B9" s="14"/>
      <c r="C9" s="14"/>
      <c r="D9" s="24"/>
      <c r="E9" s="24"/>
      <c r="F9" s="24"/>
      <c r="G9" s="24"/>
      <c r="H9" s="24"/>
      <c r="J9" s="24"/>
    </row>
    <row r="10" spans="1:10" ht="12.75" x14ac:dyDescent="0.2">
      <c r="A10" s="8" t="s">
        <v>332</v>
      </c>
      <c r="B10" s="43">
        <v>206800</v>
      </c>
      <c r="C10" s="43">
        <v>79366</v>
      </c>
      <c r="D10" s="44">
        <v>55000</v>
      </c>
      <c r="E10" s="44">
        <v>53225</v>
      </c>
      <c r="F10" s="44">
        <v>8096</v>
      </c>
      <c r="G10" s="24"/>
      <c r="H10" s="27">
        <f t="shared" ref="H10:H32" si="0">C10-D10-E10-F10-G10</f>
        <v>-36955</v>
      </c>
      <c r="J10" s="19" t="s">
        <v>333</v>
      </c>
    </row>
    <row r="11" spans="1:10" ht="12.75" x14ac:dyDescent="0.2">
      <c r="A11" s="8" t="s">
        <v>334</v>
      </c>
      <c r="B11" s="43">
        <v>489000</v>
      </c>
      <c r="C11" s="43">
        <v>203342</v>
      </c>
      <c r="D11" s="44">
        <v>55000</v>
      </c>
      <c r="E11" s="44">
        <v>53225</v>
      </c>
      <c r="F11" s="44">
        <v>8096</v>
      </c>
      <c r="G11" s="24"/>
      <c r="H11" s="27">
        <f t="shared" si="0"/>
        <v>87021</v>
      </c>
      <c r="J11" s="19" t="s">
        <v>81</v>
      </c>
    </row>
    <row r="12" spans="1:10" ht="12.75" x14ac:dyDescent="0.2">
      <c r="A12" s="8" t="s">
        <v>335</v>
      </c>
      <c r="B12" s="43">
        <v>458000</v>
      </c>
      <c r="C12" s="43">
        <v>187281</v>
      </c>
      <c r="D12" s="44">
        <v>55000</v>
      </c>
      <c r="E12" s="44">
        <v>53225</v>
      </c>
      <c r="F12" s="44">
        <v>8096</v>
      </c>
      <c r="G12" s="24"/>
      <c r="H12" s="27">
        <f t="shared" si="0"/>
        <v>70960</v>
      </c>
      <c r="J12" s="24"/>
    </row>
    <row r="13" spans="1:10" ht="12.75" x14ac:dyDescent="0.2">
      <c r="A13" s="8" t="s">
        <v>336</v>
      </c>
      <c r="B13" s="43">
        <v>1249900</v>
      </c>
      <c r="C13" s="43">
        <v>573502</v>
      </c>
      <c r="D13" s="44">
        <v>55000</v>
      </c>
      <c r="E13" s="44">
        <v>53225</v>
      </c>
      <c r="F13" s="44">
        <v>8096</v>
      </c>
      <c r="G13" s="24"/>
      <c r="H13" s="27">
        <f t="shared" si="0"/>
        <v>457181</v>
      </c>
      <c r="J13" s="24"/>
    </row>
    <row r="14" spans="1:10" ht="12.75" x14ac:dyDescent="0.2">
      <c r="A14" s="8" t="s">
        <v>337</v>
      </c>
      <c r="B14" s="43">
        <v>1814000</v>
      </c>
      <c r="C14" s="43">
        <v>839727</v>
      </c>
      <c r="D14" s="44">
        <v>55000</v>
      </c>
      <c r="E14" s="44">
        <v>53225</v>
      </c>
      <c r="F14" s="44">
        <v>8096</v>
      </c>
      <c r="G14" s="24"/>
      <c r="H14" s="27">
        <f t="shared" si="0"/>
        <v>723406</v>
      </c>
      <c r="J14" s="24"/>
    </row>
    <row r="15" spans="1:10" ht="12.75" x14ac:dyDescent="0.2">
      <c r="A15" s="8" t="s">
        <v>338</v>
      </c>
      <c r="B15" s="43">
        <v>485400</v>
      </c>
      <c r="C15" s="43">
        <v>188215</v>
      </c>
      <c r="D15" s="44">
        <v>55000</v>
      </c>
      <c r="E15" s="44">
        <v>53225</v>
      </c>
      <c r="F15" s="44">
        <v>8096</v>
      </c>
      <c r="G15" s="24"/>
      <c r="H15" s="27">
        <f t="shared" si="0"/>
        <v>71894</v>
      </c>
      <c r="J15" s="19"/>
    </row>
    <row r="16" spans="1:10" ht="12.75" x14ac:dyDescent="0.2">
      <c r="A16" s="8" t="s">
        <v>339</v>
      </c>
      <c r="B16" s="31"/>
      <c r="C16" s="43">
        <v>70055</v>
      </c>
      <c r="D16" s="45"/>
      <c r="E16" s="44">
        <v>53225</v>
      </c>
      <c r="F16" s="44">
        <v>8096</v>
      </c>
      <c r="G16" s="24"/>
      <c r="H16" s="27">
        <f t="shared" si="0"/>
        <v>8734</v>
      </c>
      <c r="J16" s="19" t="s">
        <v>340</v>
      </c>
    </row>
    <row r="17" spans="1:10" ht="12.75" x14ac:dyDescent="0.2">
      <c r="A17" s="8" t="s">
        <v>341</v>
      </c>
      <c r="B17" s="43">
        <v>375600</v>
      </c>
      <c r="C17" s="43">
        <v>152070</v>
      </c>
      <c r="D17" s="44">
        <v>55000</v>
      </c>
      <c r="E17" s="44">
        <v>53225</v>
      </c>
      <c r="F17" s="44">
        <v>8096</v>
      </c>
      <c r="G17" s="24"/>
      <c r="H17" s="27">
        <f t="shared" si="0"/>
        <v>35749</v>
      </c>
      <c r="J17" s="19" t="s">
        <v>342</v>
      </c>
    </row>
    <row r="18" spans="1:10" ht="12.75" x14ac:dyDescent="0.2">
      <c r="A18" s="8" t="s">
        <v>343</v>
      </c>
      <c r="B18" s="43">
        <v>566000</v>
      </c>
      <c r="C18" s="43">
        <v>237305</v>
      </c>
      <c r="D18" s="44">
        <v>55000</v>
      </c>
      <c r="E18" s="44">
        <v>53225</v>
      </c>
      <c r="F18" s="44">
        <v>8096</v>
      </c>
      <c r="G18" s="24"/>
      <c r="H18" s="27">
        <f t="shared" si="0"/>
        <v>120984</v>
      </c>
      <c r="J18" s="19" t="s">
        <v>344</v>
      </c>
    </row>
    <row r="19" spans="1:10" ht="12.75" x14ac:dyDescent="0.2">
      <c r="A19" s="8" t="s">
        <v>345</v>
      </c>
      <c r="B19" s="43">
        <v>883000</v>
      </c>
      <c r="C19" s="43">
        <v>351378</v>
      </c>
      <c r="D19" s="44">
        <v>55000</v>
      </c>
      <c r="E19" s="44">
        <v>53225</v>
      </c>
      <c r="F19" s="44">
        <v>8096</v>
      </c>
      <c r="G19" s="24"/>
      <c r="H19" s="27">
        <f t="shared" si="0"/>
        <v>235057</v>
      </c>
      <c r="J19" s="24"/>
    </row>
    <row r="20" spans="1:10" ht="12.75" x14ac:dyDescent="0.2">
      <c r="A20" s="8" t="s">
        <v>346</v>
      </c>
      <c r="B20" s="43">
        <v>788000</v>
      </c>
      <c r="C20" s="43">
        <v>334515</v>
      </c>
      <c r="D20" s="44">
        <v>55000</v>
      </c>
      <c r="E20" s="44">
        <v>53225</v>
      </c>
      <c r="F20" s="44">
        <v>8096</v>
      </c>
      <c r="G20" s="24"/>
      <c r="H20" s="27">
        <f t="shared" si="0"/>
        <v>218194</v>
      </c>
      <c r="J20" s="24"/>
    </row>
    <row r="21" spans="1:10" ht="12.75" x14ac:dyDescent="0.2">
      <c r="A21" s="8" t="s">
        <v>347</v>
      </c>
      <c r="B21" s="43">
        <v>255000</v>
      </c>
      <c r="C21" s="43">
        <v>110725</v>
      </c>
      <c r="D21" s="44">
        <v>55000</v>
      </c>
      <c r="E21" s="44">
        <v>53225</v>
      </c>
      <c r="F21" s="44">
        <v>8096</v>
      </c>
      <c r="G21" s="24"/>
      <c r="H21" s="27">
        <f t="shared" si="0"/>
        <v>-5596</v>
      </c>
      <c r="J21" s="24"/>
    </row>
    <row r="22" spans="1:10" ht="12.75" x14ac:dyDescent="0.2">
      <c r="A22" s="8" t="s">
        <v>348</v>
      </c>
      <c r="B22" s="43">
        <v>610200</v>
      </c>
      <c r="C22" s="43">
        <v>293166</v>
      </c>
      <c r="D22" s="44">
        <v>55000</v>
      </c>
      <c r="E22" s="44">
        <v>53225</v>
      </c>
      <c r="F22" s="44">
        <v>8096</v>
      </c>
      <c r="G22" s="24"/>
      <c r="H22" s="27">
        <f t="shared" si="0"/>
        <v>176845</v>
      </c>
      <c r="J22" s="19" t="s">
        <v>349</v>
      </c>
    </row>
    <row r="23" spans="1:10" ht="12.75" x14ac:dyDescent="0.2">
      <c r="A23" s="8" t="s">
        <v>350</v>
      </c>
      <c r="B23" s="26">
        <v>194200</v>
      </c>
      <c r="C23" s="26">
        <v>73596</v>
      </c>
      <c r="D23" s="44">
        <v>55000</v>
      </c>
      <c r="E23" s="44">
        <v>53225</v>
      </c>
      <c r="F23" s="44">
        <v>8096</v>
      </c>
      <c r="G23" s="27"/>
      <c r="H23" s="27">
        <f t="shared" si="0"/>
        <v>-42725</v>
      </c>
      <c r="J23" s="19" t="s">
        <v>351</v>
      </c>
    </row>
    <row r="24" spans="1:10" ht="12.75" x14ac:dyDescent="0.2">
      <c r="A24" s="8" t="s">
        <v>352</v>
      </c>
      <c r="B24" s="26">
        <v>544800</v>
      </c>
      <c r="C24" s="26">
        <v>241279</v>
      </c>
      <c r="D24" s="20">
        <v>55000</v>
      </c>
      <c r="E24" s="44">
        <v>53225</v>
      </c>
      <c r="F24" s="44">
        <v>8096</v>
      </c>
      <c r="G24" s="27"/>
      <c r="H24" s="27">
        <f t="shared" si="0"/>
        <v>124958</v>
      </c>
      <c r="J24" s="24"/>
    </row>
    <row r="25" spans="1:10" ht="12.75" x14ac:dyDescent="0.2">
      <c r="A25" s="8" t="s">
        <v>353</v>
      </c>
      <c r="B25" s="26">
        <v>470600</v>
      </c>
      <c r="C25" s="26">
        <v>183262</v>
      </c>
      <c r="D25" s="20">
        <v>55000</v>
      </c>
      <c r="E25" s="44">
        <v>53225</v>
      </c>
      <c r="F25" s="44">
        <v>8096</v>
      </c>
      <c r="G25" s="27"/>
      <c r="H25" s="27">
        <f t="shared" si="0"/>
        <v>66941</v>
      </c>
      <c r="J25" s="24"/>
    </row>
    <row r="26" spans="1:10" ht="12.75" x14ac:dyDescent="0.2">
      <c r="A26" s="8" t="s">
        <v>354</v>
      </c>
      <c r="B26" s="46">
        <v>1028900</v>
      </c>
      <c r="C26" s="26">
        <v>478587</v>
      </c>
      <c r="D26" s="20">
        <v>55000</v>
      </c>
      <c r="E26" s="44">
        <v>53225</v>
      </c>
      <c r="F26" s="44">
        <v>8096</v>
      </c>
      <c r="G26" s="27"/>
      <c r="H26" s="27">
        <f t="shared" si="0"/>
        <v>362266</v>
      </c>
      <c r="J26" s="24"/>
    </row>
    <row r="27" spans="1:10" ht="12.75" x14ac:dyDescent="0.2">
      <c r="A27" s="8" t="s">
        <v>355</v>
      </c>
      <c r="B27" s="26">
        <v>699100</v>
      </c>
      <c r="C27" s="26">
        <v>282965</v>
      </c>
      <c r="D27" s="20">
        <v>50000</v>
      </c>
      <c r="E27" s="44">
        <v>53225</v>
      </c>
      <c r="F27" s="44">
        <v>8096</v>
      </c>
      <c r="G27" s="27"/>
      <c r="H27" s="27">
        <f t="shared" si="0"/>
        <v>171644</v>
      </c>
      <c r="J27" s="24" t="s">
        <v>575</v>
      </c>
    </row>
    <row r="28" spans="1:10" ht="12.75" x14ac:dyDescent="0.2">
      <c r="A28" s="8" t="s">
        <v>356</v>
      </c>
      <c r="B28" s="26">
        <v>416400</v>
      </c>
      <c r="C28" s="26">
        <v>178456</v>
      </c>
      <c r="D28" s="20">
        <v>55000</v>
      </c>
      <c r="E28" s="44">
        <v>53225</v>
      </c>
      <c r="F28" s="44">
        <v>8096</v>
      </c>
      <c r="G28" s="27"/>
      <c r="H28" s="27">
        <f t="shared" si="0"/>
        <v>62135</v>
      </c>
      <c r="J28" s="24"/>
    </row>
    <row r="29" spans="1:10" ht="12.75" x14ac:dyDescent="0.2">
      <c r="A29" s="8" t="s">
        <v>357</v>
      </c>
      <c r="B29" s="26">
        <v>245400</v>
      </c>
      <c r="C29" s="26">
        <v>94018</v>
      </c>
      <c r="D29" s="20">
        <v>55000</v>
      </c>
      <c r="E29" s="44">
        <v>53225</v>
      </c>
      <c r="F29" s="44">
        <v>8096</v>
      </c>
      <c r="G29" s="27"/>
      <c r="H29" s="27">
        <f t="shared" si="0"/>
        <v>-22303</v>
      </c>
      <c r="J29" s="19" t="s">
        <v>358</v>
      </c>
    </row>
    <row r="30" spans="1:10" ht="12.75" x14ac:dyDescent="0.2">
      <c r="A30" s="8" t="s">
        <v>359</v>
      </c>
      <c r="B30" s="26">
        <v>275600</v>
      </c>
      <c r="C30" s="26">
        <v>110569</v>
      </c>
      <c r="D30" s="20">
        <v>55000</v>
      </c>
      <c r="E30" s="44">
        <v>53225</v>
      </c>
      <c r="F30" s="44">
        <v>8096</v>
      </c>
      <c r="G30" s="27"/>
      <c r="H30" s="27">
        <f t="shared" si="0"/>
        <v>-5752</v>
      </c>
      <c r="J30" s="19" t="s">
        <v>360</v>
      </c>
    </row>
    <row r="31" spans="1:10" ht="12.75" x14ac:dyDescent="0.2">
      <c r="A31" s="8" t="s">
        <v>361</v>
      </c>
      <c r="B31" s="26">
        <v>37200</v>
      </c>
      <c r="C31" s="26">
        <v>15479</v>
      </c>
      <c r="D31" s="20">
        <v>55000</v>
      </c>
      <c r="E31" s="44">
        <v>53225</v>
      </c>
      <c r="F31" s="44">
        <v>8096</v>
      </c>
      <c r="G31" s="27"/>
      <c r="H31" s="27">
        <f t="shared" si="0"/>
        <v>-100842</v>
      </c>
      <c r="J31" s="19"/>
    </row>
    <row r="32" spans="1:10" ht="12.75" x14ac:dyDescent="0.2">
      <c r="A32" s="8" t="s">
        <v>362</v>
      </c>
      <c r="B32" s="26">
        <v>406700</v>
      </c>
      <c r="C32" s="26">
        <v>172730</v>
      </c>
      <c r="D32" s="20">
        <v>50000</v>
      </c>
      <c r="E32" s="44">
        <v>53225</v>
      </c>
      <c r="F32" s="44">
        <v>8096</v>
      </c>
      <c r="G32" s="27"/>
      <c r="H32" s="27">
        <f t="shared" si="0"/>
        <v>61409</v>
      </c>
      <c r="J32" s="22"/>
    </row>
    <row r="33" spans="1:10" ht="12.75" x14ac:dyDescent="0.2">
      <c r="A33" s="8"/>
      <c r="B33" s="26"/>
      <c r="C33" s="26"/>
      <c r="D33" s="20"/>
      <c r="E33" s="44"/>
      <c r="F33" s="44"/>
      <c r="G33" s="27"/>
      <c r="H33" s="24"/>
      <c r="J33" s="22"/>
    </row>
    <row r="34" spans="1:10" ht="12.75" x14ac:dyDescent="0.2">
      <c r="A34" s="23"/>
      <c r="B34" s="35">
        <f>SUM(B10:B30)</f>
        <v>12055900</v>
      </c>
      <c r="C34" s="35">
        <f>SUM(C10:C30)</f>
        <v>5263379</v>
      </c>
      <c r="D34" s="40">
        <f>SUM(D10:D30)</f>
        <v>1095000</v>
      </c>
      <c r="E34" s="40">
        <f>SUM(E10:E30)</f>
        <v>1117725</v>
      </c>
      <c r="F34" s="40">
        <f>SUM(F10:F30)</f>
        <v>170016</v>
      </c>
      <c r="G34" s="40"/>
      <c r="H34" s="40">
        <f>SUM(H10:H30)</f>
        <v>2880638</v>
      </c>
    </row>
    <row r="35" spans="1:10" ht="12.75" x14ac:dyDescent="0.2">
      <c r="A35" s="23"/>
      <c r="B35" s="23"/>
      <c r="C35" s="23"/>
    </row>
    <row r="36" spans="1:10" ht="12.75" x14ac:dyDescent="0.2">
      <c r="A36" s="23"/>
      <c r="B36" s="47"/>
    </row>
    <row r="37" spans="1:10" ht="12.75" x14ac:dyDescent="0.2">
      <c r="A37" s="19" t="s">
        <v>315</v>
      </c>
      <c r="B37" s="5" t="s">
        <v>363</v>
      </c>
      <c r="C37" s="5" t="s">
        <v>364</v>
      </c>
      <c r="D37" s="5" t="s">
        <v>365</v>
      </c>
      <c r="E37" s="5" t="s">
        <v>366</v>
      </c>
      <c r="F37" s="5" t="s">
        <v>367</v>
      </c>
    </row>
    <row r="38" spans="1:10" ht="12.75" x14ac:dyDescent="0.2">
      <c r="A38" s="48">
        <v>45901</v>
      </c>
      <c r="B38" s="20">
        <v>744000</v>
      </c>
      <c r="C38" s="27"/>
      <c r="D38" s="27"/>
      <c r="E38" s="27"/>
      <c r="F38" s="27"/>
    </row>
    <row r="39" spans="1:10" ht="12.75" x14ac:dyDescent="0.2">
      <c r="A39" s="48">
        <v>45992</v>
      </c>
      <c r="B39" s="20">
        <v>384000</v>
      </c>
      <c r="C39" s="27"/>
      <c r="D39" s="27"/>
      <c r="E39" s="27"/>
      <c r="F39" s="27"/>
    </row>
    <row r="40" spans="1:10" ht="12.75" x14ac:dyDescent="0.2">
      <c r="A40" s="19" t="s">
        <v>368</v>
      </c>
      <c r="B40" s="20"/>
      <c r="C40" s="20">
        <v>419400</v>
      </c>
      <c r="D40" s="27"/>
      <c r="E40" s="20">
        <v>89400</v>
      </c>
      <c r="F40" s="27"/>
    </row>
    <row r="41" spans="1:10" ht="12.75" x14ac:dyDescent="0.2">
      <c r="A41" s="19" t="s">
        <v>369</v>
      </c>
      <c r="B41" s="20">
        <v>827800</v>
      </c>
      <c r="C41" s="20">
        <v>482700</v>
      </c>
      <c r="D41" s="27"/>
      <c r="E41" s="27"/>
      <c r="F41" s="27"/>
    </row>
    <row r="42" spans="1:10" ht="12.75" x14ac:dyDescent="0.2">
      <c r="A42" s="19" t="s">
        <v>370</v>
      </c>
      <c r="B42" s="20"/>
      <c r="C42" s="27"/>
      <c r="D42" s="20">
        <v>41900</v>
      </c>
      <c r="E42" s="20">
        <v>5800</v>
      </c>
      <c r="F42" s="27"/>
    </row>
    <row r="43" spans="1:10" ht="12.75" x14ac:dyDescent="0.2">
      <c r="A43" s="19" t="s">
        <v>371</v>
      </c>
      <c r="B43" s="20">
        <v>256000</v>
      </c>
      <c r="C43" s="27"/>
      <c r="D43" s="27"/>
      <c r="E43" s="20">
        <v>75000</v>
      </c>
      <c r="F43" s="20">
        <v>7000</v>
      </c>
    </row>
    <row r="44" spans="1:10" ht="12.75" x14ac:dyDescent="0.2">
      <c r="A44" s="19" t="s">
        <v>372</v>
      </c>
      <c r="B44" s="20">
        <v>244000</v>
      </c>
      <c r="C44" s="27"/>
      <c r="D44" s="27"/>
      <c r="E44" s="27"/>
      <c r="F44" s="27"/>
    </row>
    <row r="45" spans="1:10" ht="12.75" x14ac:dyDescent="0.2">
      <c r="A45" s="19" t="s">
        <v>373</v>
      </c>
      <c r="B45" s="20">
        <v>286000</v>
      </c>
      <c r="C45" s="27"/>
      <c r="D45" s="27"/>
      <c r="E45" s="20">
        <v>44400</v>
      </c>
      <c r="F45" s="27"/>
    </row>
    <row r="46" spans="1:10" ht="12.75" x14ac:dyDescent="0.2">
      <c r="A46" s="19" t="s">
        <v>374</v>
      </c>
      <c r="B46" s="20">
        <v>538000</v>
      </c>
      <c r="C46" s="27"/>
      <c r="D46" s="27"/>
      <c r="E46" s="27"/>
      <c r="F46" s="27"/>
    </row>
    <row r="47" spans="1:10" ht="12.75" x14ac:dyDescent="0.2">
      <c r="A47" s="19" t="s">
        <v>375</v>
      </c>
      <c r="B47" s="20">
        <v>316000</v>
      </c>
      <c r="C47" s="20">
        <v>21550</v>
      </c>
      <c r="D47" s="20">
        <v>41900</v>
      </c>
      <c r="E47" s="20">
        <v>6800</v>
      </c>
      <c r="F47" s="20" t="s">
        <v>376</v>
      </c>
    </row>
    <row r="48" spans="1:10" ht="12.75" x14ac:dyDescent="0.2">
      <c r="A48" s="19" t="s">
        <v>377</v>
      </c>
      <c r="B48" s="20">
        <v>120000</v>
      </c>
      <c r="C48" s="20">
        <v>214050</v>
      </c>
      <c r="D48" s="27"/>
      <c r="E48" s="20">
        <v>13500</v>
      </c>
      <c r="F48" s="49" t="s">
        <v>378</v>
      </c>
    </row>
    <row r="49" spans="1:6" ht="12.75" x14ac:dyDescent="0.2">
      <c r="A49" s="19" t="s">
        <v>379</v>
      </c>
      <c r="B49" s="20">
        <v>254000</v>
      </c>
      <c r="C49" s="27"/>
      <c r="D49" s="27"/>
      <c r="E49" s="27"/>
      <c r="F49" s="20">
        <v>6500</v>
      </c>
    </row>
    <row r="50" spans="1:6" ht="12.75" x14ac:dyDescent="0.2">
      <c r="A50" s="19" t="s">
        <v>380</v>
      </c>
      <c r="B50" s="20">
        <v>232000</v>
      </c>
      <c r="C50" s="27"/>
      <c r="D50" s="27"/>
      <c r="E50" s="20">
        <v>26100</v>
      </c>
      <c r="F50" s="27"/>
    </row>
    <row r="51" spans="1:6" ht="12.75" x14ac:dyDescent="0.2">
      <c r="A51" s="19" t="s">
        <v>381</v>
      </c>
      <c r="B51" s="20">
        <v>384000</v>
      </c>
      <c r="C51" s="27"/>
      <c r="D51" s="20">
        <v>25600</v>
      </c>
      <c r="E51" s="20">
        <v>25600</v>
      </c>
      <c r="F51" s="20" t="s">
        <v>382</v>
      </c>
    </row>
    <row r="52" spans="1:6" ht="12.75" x14ac:dyDescent="0.2">
      <c r="A52" s="19" t="s">
        <v>383</v>
      </c>
      <c r="B52" s="20">
        <v>496000</v>
      </c>
      <c r="C52" s="20"/>
      <c r="D52" s="27"/>
      <c r="E52" s="20"/>
      <c r="F52" s="27"/>
    </row>
    <row r="53" spans="1:6" ht="12.75" x14ac:dyDescent="0.2">
      <c r="A53" s="19" t="s">
        <v>384</v>
      </c>
      <c r="B53" s="27"/>
      <c r="C53" s="20">
        <v>43100</v>
      </c>
      <c r="D53" s="27"/>
      <c r="E53" s="20">
        <v>28700</v>
      </c>
      <c r="F53" s="27"/>
    </row>
    <row r="54" spans="1:6" ht="12.75" x14ac:dyDescent="0.2">
      <c r="A54" s="19" t="s">
        <v>385</v>
      </c>
      <c r="B54" s="20">
        <v>624000</v>
      </c>
      <c r="C54" s="27"/>
      <c r="D54" s="27"/>
      <c r="E54" s="27"/>
      <c r="F54" s="27"/>
    </row>
    <row r="55" spans="1:6" ht="12.75" x14ac:dyDescent="0.2">
      <c r="A55" s="19" t="s">
        <v>386</v>
      </c>
      <c r="B55" s="27"/>
      <c r="C55" s="27"/>
      <c r="D55" s="27"/>
      <c r="E55" s="20">
        <v>24800</v>
      </c>
      <c r="F55" s="20">
        <v>6550</v>
      </c>
    </row>
    <row r="56" spans="1:6" ht="12.75" x14ac:dyDescent="0.2">
      <c r="A56" s="19" t="s">
        <v>387</v>
      </c>
      <c r="B56" s="20">
        <v>128000</v>
      </c>
      <c r="C56" s="27"/>
      <c r="D56" s="20">
        <v>16300</v>
      </c>
      <c r="E56" s="27"/>
      <c r="F56" s="27"/>
    </row>
    <row r="57" spans="1:6" ht="12.75" x14ac:dyDescent="0.2">
      <c r="A57" s="24"/>
      <c r="B57" s="27"/>
      <c r="C57" s="27"/>
      <c r="D57" s="27"/>
      <c r="E57" s="27"/>
      <c r="F57" s="27"/>
    </row>
    <row r="58" spans="1:6" ht="12.75" x14ac:dyDescent="0.2">
      <c r="A58" s="24"/>
      <c r="B58" s="27"/>
      <c r="C58" s="27"/>
      <c r="D58" s="27"/>
      <c r="E58" s="27"/>
      <c r="F58" s="27"/>
    </row>
    <row r="59" spans="1:6" ht="12.75" x14ac:dyDescent="0.2">
      <c r="A59" s="24"/>
      <c r="B59" s="27"/>
      <c r="C59" s="27"/>
      <c r="D59" s="27"/>
      <c r="E59" s="27"/>
      <c r="F59" s="27"/>
    </row>
    <row r="60" spans="1:6" ht="12.75" x14ac:dyDescent="0.2">
      <c r="A60" s="24"/>
      <c r="B60" s="27"/>
      <c r="C60" s="27"/>
      <c r="D60" s="27"/>
      <c r="E60" s="27"/>
      <c r="F60" s="27"/>
    </row>
    <row r="61" spans="1:6" ht="12.75" x14ac:dyDescent="0.2">
      <c r="A61" s="24"/>
      <c r="B61" s="27"/>
      <c r="C61" s="27"/>
      <c r="D61" s="27"/>
      <c r="E61" s="27"/>
      <c r="F61" s="27"/>
    </row>
    <row r="62" spans="1:6" ht="12.75" x14ac:dyDescent="0.2">
      <c r="A62" s="24"/>
      <c r="B62" s="27"/>
      <c r="C62" s="27"/>
      <c r="D62" s="27"/>
      <c r="E62" s="27"/>
      <c r="F62" s="27"/>
    </row>
    <row r="63" spans="1:6" ht="12.75" x14ac:dyDescent="0.2">
      <c r="A63" s="24"/>
      <c r="B63" s="27"/>
      <c r="C63" s="27"/>
      <c r="D63" s="27"/>
      <c r="E63" s="27"/>
      <c r="F63" s="2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36"/>
  <sheetViews>
    <sheetView workbookViewId="0">
      <selection activeCell="K17" sqref="K17"/>
    </sheetView>
  </sheetViews>
  <sheetFormatPr baseColWidth="10" defaultColWidth="12.5703125" defaultRowHeight="15.75" customHeight="1" x14ac:dyDescent="0.2"/>
  <cols>
    <col min="2" max="2" width="15.7109375" customWidth="1"/>
    <col min="10" max="10" width="15.85546875" customWidth="1"/>
    <col min="11" max="11" width="17.42578125" customWidth="1"/>
    <col min="12" max="12" width="14.42578125" customWidth="1"/>
  </cols>
  <sheetData>
    <row r="1" spans="1:12" x14ac:dyDescent="0.2">
      <c r="A1" s="50" t="s">
        <v>315</v>
      </c>
      <c r="B1" s="50" t="s">
        <v>316</v>
      </c>
      <c r="C1" s="51" t="s">
        <v>317</v>
      </c>
      <c r="D1" s="52" t="s">
        <v>318</v>
      </c>
      <c r="E1" s="52" t="s">
        <v>319</v>
      </c>
      <c r="F1" s="52" t="s">
        <v>320</v>
      </c>
      <c r="G1" s="52" t="s">
        <v>388</v>
      </c>
      <c r="H1" s="52" t="s">
        <v>389</v>
      </c>
      <c r="I1" s="52" t="s">
        <v>321</v>
      </c>
      <c r="J1" s="53" t="s">
        <v>322</v>
      </c>
      <c r="K1" s="54" t="s">
        <v>390</v>
      </c>
      <c r="L1" s="55" t="s">
        <v>391</v>
      </c>
    </row>
    <row r="2" spans="1:12" x14ac:dyDescent="0.2">
      <c r="A2" s="56">
        <v>45689</v>
      </c>
      <c r="B2" s="57">
        <v>709000</v>
      </c>
      <c r="C2" s="57">
        <v>288524</v>
      </c>
      <c r="D2" s="58">
        <v>50000</v>
      </c>
      <c r="E2" s="58">
        <v>58282</v>
      </c>
      <c r="F2" s="59"/>
      <c r="G2" s="60">
        <v>2857</v>
      </c>
      <c r="H2" s="60">
        <v>373</v>
      </c>
      <c r="I2" s="59"/>
      <c r="J2" s="59">
        <f t="shared" ref="J2:J16" si="0">C2-D2-E2-F2-G2-H2-I2</f>
        <v>177012</v>
      </c>
      <c r="K2" s="61">
        <f t="shared" ref="K2:K17" si="1">J2*30/100</f>
        <v>53103.6</v>
      </c>
      <c r="L2" s="62"/>
    </row>
    <row r="3" spans="1:12" x14ac:dyDescent="0.2">
      <c r="A3" s="56">
        <v>45690</v>
      </c>
      <c r="B3" s="63">
        <v>677300</v>
      </c>
      <c r="C3" s="63">
        <v>287966</v>
      </c>
      <c r="D3" s="58">
        <v>50000</v>
      </c>
      <c r="E3" s="58">
        <v>58282</v>
      </c>
      <c r="F3" s="59"/>
      <c r="G3" s="60">
        <v>2857</v>
      </c>
      <c r="H3" s="60">
        <v>373</v>
      </c>
      <c r="I3" s="59"/>
      <c r="J3" s="59">
        <f t="shared" si="0"/>
        <v>176454</v>
      </c>
      <c r="K3" s="61">
        <f t="shared" si="1"/>
        <v>52936.2</v>
      </c>
      <c r="L3" s="62"/>
    </row>
    <row r="4" spans="1:12" x14ac:dyDescent="0.2">
      <c r="A4" s="56">
        <v>45691</v>
      </c>
      <c r="B4" s="64">
        <v>97100</v>
      </c>
      <c r="C4" s="64">
        <v>45540</v>
      </c>
      <c r="D4" s="58">
        <v>50000</v>
      </c>
      <c r="E4" s="58">
        <v>58282</v>
      </c>
      <c r="F4" s="59"/>
      <c r="G4" s="60">
        <v>2857</v>
      </c>
      <c r="H4" s="60">
        <v>373</v>
      </c>
      <c r="I4" s="59"/>
      <c r="J4" s="59">
        <f t="shared" si="0"/>
        <v>-65972</v>
      </c>
      <c r="K4" s="61">
        <f t="shared" si="1"/>
        <v>-19791.599999999999</v>
      </c>
      <c r="L4" s="62"/>
    </row>
    <row r="5" spans="1:12" x14ac:dyDescent="0.2">
      <c r="A5" s="56">
        <v>45692</v>
      </c>
      <c r="B5" s="64">
        <v>798800</v>
      </c>
      <c r="C5" s="64">
        <v>331787</v>
      </c>
      <c r="D5" s="58">
        <v>50000</v>
      </c>
      <c r="E5" s="58">
        <v>58282</v>
      </c>
      <c r="F5" s="59"/>
      <c r="G5" s="60">
        <v>2857</v>
      </c>
      <c r="H5" s="60">
        <v>373</v>
      </c>
      <c r="I5" s="59"/>
      <c r="J5" s="59">
        <f t="shared" si="0"/>
        <v>220275</v>
      </c>
      <c r="K5" s="61">
        <f t="shared" si="1"/>
        <v>66082.5</v>
      </c>
      <c r="L5" s="62"/>
    </row>
    <row r="6" spans="1:12" x14ac:dyDescent="0.2">
      <c r="A6" s="56">
        <v>45693</v>
      </c>
      <c r="B6" s="65"/>
      <c r="C6" s="64"/>
      <c r="D6" s="58"/>
      <c r="E6" s="58">
        <v>58282</v>
      </c>
      <c r="F6" s="59"/>
      <c r="G6" s="60">
        <v>2857</v>
      </c>
      <c r="H6" s="60">
        <v>373</v>
      </c>
      <c r="I6" s="59"/>
      <c r="J6" s="59">
        <f t="shared" si="0"/>
        <v>-61512</v>
      </c>
      <c r="K6" s="61">
        <f t="shared" si="1"/>
        <v>-18453.599999999999</v>
      </c>
      <c r="L6" s="62"/>
    </row>
    <row r="7" spans="1:12" x14ac:dyDescent="0.2">
      <c r="A7" s="56">
        <v>45694</v>
      </c>
      <c r="B7" s="64">
        <v>544600</v>
      </c>
      <c r="C7" s="64">
        <v>232450</v>
      </c>
      <c r="D7" s="58">
        <v>50000</v>
      </c>
      <c r="E7" s="58">
        <v>58282</v>
      </c>
      <c r="F7" s="59"/>
      <c r="G7" s="60">
        <v>2857</v>
      </c>
      <c r="H7" s="60">
        <v>373</v>
      </c>
      <c r="I7" s="59"/>
      <c r="J7" s="59">
        <f t="shared" si="0"/>
        <v>120938</v>
      </c>
      <c r="K7" s="61">
        <f t="shared" si="1"/>
        <v>36281.4</v>
      </c>
      <c r="L7" s="62"/>
    </row>
    <row r="8" spans="1:12" x14ac:dyDescent="0.2">
      <c r="A8" s="56">
        <v>45695</v>
      </c>
      <c r="B8" s="64">
        <v>114300</v>
      </c>
      <c r="C8" s="64">
        <v>42213</v>
      </c>
      <c r="D8" s="58">
        <v>50000</v>
      </c>
      <c r="E8" s="58">
        <v>58282</v>
      </c>
      <c r="F8" s="59"/>
      <c r="G8" s="60">
        <v>2857</v>
      </c>
      <c r="H8" s="60">
        <v>373</v>
      </c>
      <c r="I8" s="59"/>
      <c r="J8" s="59">
        <f t="shared" si="0"/>
        <v>-69299</v>
      </c>
      <c r="K8" s="61">
        <f t="shared" si="1"/>
        <v>-20789.7</v>
      </c>
      <c r="L8" s="62"/>
    </row>
    <row r="9" spans="1:12" x14ac:dyDescent="0.2">
      <c r="A9" s="56">
        <v>45696</v>
      </c>
      <c r="B9" s="64">
        <v>418200</v>
      </c>
      <c r="C9" s="64">
        <v>178188</v>
      </c>
      <c r="D9" s="58">
        <v>50000</v>
      </c>
      <c r="E9" s="58">
        <v>58282</v>
      </c>
      <c r="F9" s="59"/>
      <c r="G9" s="60">
        <v>2857</v>
      </c>
      <c r="H9" s="60">
        <v>373</v>
      </c>
      <c r="I9" s="59"/>
      <c r="J9" s="59">
        <f t="shared" si="0"/>
        <v>66676</v>
      </c>
      <c r="K9" s="61">
        <f t="shared" si="1"/>
        <v>20002.8</v>
      </c>
      <c r="L9" s="62"/>
    </row>
    <row r="10" spans="1:12" x14ac:dyDescent="0.2">
      <c r="A10" s="56">
        <v>45697</v>
      </c>
      <c r="B10" s="64">
        <v>190200</v>
      </c>
      <c r="C10" s="64">
        <v>86655</v>
      </c>
      <c r="D10" s="58">
        <v>50000</v>
      </c>
      <c r="E10" s="58">
        <v>58282</v>
      </c>
      <c r="F10" s="58"/>
      <c r="G10" s="60">
        <v>2857</v>
      </c>
      <c r="H10" s="60">
        <v>373</v>
      </c>
      <c r="I10" s="59"/>
      <c r="J10" s="59">
        <f t="shared" si="0"/>
        <v>-24857</v>
      </c>
      <c r="K10" s="61">
        <f t="shared" si="1"/>
        <v>-7457.1</v>
      </c>
      <c r="L10" s="66" t="s">
        <v>392</v>
      </c>
    </row>
    <row r="11" spans="1:12" x14ac:dyDescent="0.2">
      <c r="A11" s="56">
        <v>45698</v>
      </c>
      <c r="B11" s="64">
        <v>45200</v>
      </c>
      <c r="C11" s="64">
        <v>14389</v>
      </c>
      <c r="D11" s="58">
        <v>50000</v>
      </c>
      <c r="E11" s="58">
        <v>58282</v>
      </c>
      <c r="F11" s="58"/>
      <c r="G11" s="60">
        <v>2857</v>
      </c>
      <c r="H11" s="60">
        <v>373</v>
      </c>
      <c r="I11" s="59"/>
      <c r="J11" s="59">
        <f t="shared" si="0"/>
        <v>-97123</v>
      </c>
      <c r="K11" s="61">
        <f t="shared" si="1"/>
        <v>-29136.9</v>
      </c>
      <c r="L11" s="62"/>
    </row>
    <row r="12" spans="1:12" x14ac:dyDescent="0.2">
      <c r="A12" s="56">
        <v>45699</v>
      </c>
      <c r="B12" s="64">
        <v>254800</v>
      </c>
      <c r="C12" s="64">
        <v>98386</v>
      </c>
      <c r="D12" s="58">
        <v>50000</v>
      </c>
      <c r="E12" s="58">
        <v>58282</v>
      </c>
      <c r="F12" s="58"/>
      <c r="G12" s="60">
        <v>2857</v>
      </c>
      <c r="H12" s="60">
        <v>373</v>
      </c>
      <c r="I12" s="59"/>
      <c r="J12" s="59">
        <f t="shared" si="0"/>
        <v>-13126</v>
      </c>
      <c r="K12" s="61">
        <f t="shared" si="1"/>
        <v>-3937.8</v>
      </c>
      <c r="L12" s="62"/>
    </row>
    <row r="13" spans="1:12" x14ac:dyDescent="0.2">
      <c r="A13" s="56">
        <v>45700</v>
      </c>
      <c r="B13" s="64">
        <v>53600</v>
      </c>
      <c r="C13" s="64">
        <v>21538</v>
      </c>
      <c r="D13" s="58">
        <v>50000</v>
      </c>
      <c r="E13" s="58">
        <v>58282</v>
      </c>
      <c r="F13" s="58"/>
      <c r="G13" s="60">
        <v>2857</v>
      </c>
      <c r="H13" s="60">
        <v>373</v>
      </c>
      <c r="I13" s="59"/>
      <c r="J13" s="59">
        <f t="shared" si="0"/>
        <v>-89974</v>
      </c>
      <c r="K13" s="61">
        <f t="shared" si="1"/>
        <v>-26992.2</v>
      </c>
      <c r="L13" s="62"/>
    </row>
    <row r="14" spans="1:12" x14ac:dyDescent="0.2">
      <c r="A14" s="56">
        <v>45701</v>
      </c>
      <c r="B14" s="64">
        <v>70400</v>
      </c>
      <c r="C14" s="64">
        <v>31962</v>
      </c>
      <c r="D14" s="58">
        <v>50000</v>
      </c>
      <c r="E14" s="58">
        <v>58282</v>
      </c>
      <c r="F14" s="58"/>
      <c r="G14" s="60">
        <v>2857</v>
      </c>
      <c r="H14" s="60">
        <v>373</v>
      </c>
      <c r="I14" s="59"/>
      <c r="J14" s="59">
        <f t="shared" si="0"/>
        <v>-79550</v>
      </c>
      <c r="K14" s="61">
        <f t="shared" si="1"/>
        <v>-23865</v>
      </c>
      <c r="L14" s="62"/>
    </row>
    <row r="15" spans="1:12" x14ac:dyDescent="0.2">
      <c r="A15" s="56">
        <v>45702</v>
      </c>
      <c r="B15" s="64">
        <v>389600</v>
      </c>
      <c r="C15" s="64">
        <v>163463</v>
      </c>
      <c r="D15" s="58">
        <v>50000</v>
      </c>
      <c r="E15" s="58">
        <v>58282</v>
      </c>
      <c r="F15" s="58"/>
      <c r="G15" s="60">
        <v>2857</v>
      </c>
      <c r="H15" s="60">
        <v>373</v>
      </c>
      <c r="I15" s="59"/>
      <c r="J15" s="59">
        <f t="shared" si="0"/>
        <v>51951</v>
      </c>
      <c r="K15" s="61">
        <f t="shared" si="1"/>
        <v>15585.3</v>
      </c>
      <c r="L15" s="62"/>
    </row>
    <row r="16" spans="1:12" x14ac:dyDescent="0.2">
      <c r="A16" s="56">
        <v>45703</v>
      </c>
      <c r="B16" s="64">
        <v>1044000</v>
      </c>
      <c r="C16" s="64">
        <v>401526</v>
      </c>
      <c r="D16" s="58">
        <v>50000</v>
      </c>
      <c r="E16" s="58">
        <v>58282</v>
      </c>
      <c r="F16" s="58"/>
      <c r="G16" s="60">
        <v>2857</v>
      </c>
      <c r="H16" s="60">
        <v>373</v>
      </c>
      <c r="I16" s="59"/>
      <c r="J16" s="59">
        <f t="shared" si="0"/>
        <v>290014</v>
      </c>
      <c r="K16" s="61">
        <f t="shared" si="1"/>
        <v>87004.2</v>
      </c>
      <c r="L16" s="62"/>
    </row>
    <row r="17" spans="1:12" x14ac:dyDescent="0.2">
      <c r="A17" s="67"/>
      <c r="B17" s="68"/>
      <c r="C17" s="68"/>
      <c r="D17" s="69"/>
      <c r="E17" s="69"/>
      <c r="F17" s="69"/>
      <c r="G17" s="42"/>
      <c r="H17" s="42"/>
      <c r="I17" s="40"/>
      <c r="J17" s="59">
        <f>SUM(J2:J16)</f>
        <v>601907</v>
      </c>
      <c r="K17" s="61">
        <f t="shared" si="1"/>
        <v>180572.1</v>
      </c>
      <c r="L17" s="62"/>
    </row>
    <row r="18" spans="1:12" x14ac:dyDescent="0.2">
      <c r="A18" s="67"/>
      <c r="B18" s="68"/>
      <c r="C18" s="68"/>
      <c r="D18" s="69"/>
      <c r="E18" s="69"/>
      <c r="F18" s="69"/>
      <c r="G18" s="42"/>
      <c r="H18" s="42"/>
      <c r="I18" s="40"/>
      <c r="J18" s="40"/>
      <c r="L18" s="24"/>
    </row>
    <row r="19" spans="1:12" x14ac:dyDescent="0.2">
      <c r="A19" s="70" t="s">
        <v>315</v>
      </c>
      <c r="B19" s="70" t="s">
        <v>316</v>
      </c>
      <c r="C19" s="71" t="s">
        <v>317</v>
      </c>
      <c r="D19" s="72" t="s">
        <v>318</v>
      </c>
      <c r="E19" s="72" t="s">
        <v>319</v>
      </c>
      <c r="F19" s="72" t="s">
        <v>320</v>
      </c>
      <c r="G19" s="72" t="s">
        <v>388</v>
      </c>
      <c r="H19" s="72" t="s">
        <v>389</v>
      </c>
      <c r="I19" s="72" t="s">
        <v>321</v>
      </c>
      <c r="J19" s="72" t="s">
        <v>322</v>
      </c>
      <c r="K19" s="54" t="s">
        <v>390</v>
      </c>
      <c r="L19" s="24"/>
    </row>
    <row r="20" spans="1:12" x14ac:dyDescent="0.2">
      <c r="A20" s="56">
        <v>45704</v>
      </c>
      <c r="B20" s="64">
        <v>410700</v>
      </c>
      <c r="C20" s="64">
        <v>242898</v>
      </c>
      <c r="D20" s="58">
        <v>50000</v>
      </c>
      <c r="E20" s="58">
        <v>58282</v>
      </c>
      <c r="F20" s="58">
        <v>17061</v>
      </c>
      <c r="G20" s="60">
        <v>2857</v>
      </c>
      <c r="H20" s="60">
        <v>373</v>
      </c>
      <c r="I20" s="59"/>
      <c r="J20" s="59">
        <f t="shared" ref="J20:J32" si="2">C20-D20-E20-F20-G20-H20-I20</f>
        <v>114325</v>
      </c>
      <c r="K20" s="61">
        <f t="shared" ref="K20:K32" si="3">J20*30/100</f>
        <v>34297.5</v>
      </c>
      <c r="L20" s="24"/>
    </row>
    <row r="21" spans="1:12" x14ac:dyDescent="0.2">
      <c r="A21" s="56">
        <v>45705</v>
      </c>
      <c r="B21" s="63"/>
      <c r="C21" s="63"/>
      <c r="D21" s="58">
        <v>50000</v>
      </c>
      <c r="E21" s="58">
        <v>58282</v>
      </c>
      <c r="F21" s="58">
        <v>17061</v>
      </c>
      <c r="G21" s="60">
        <v>2857</v>
      </c>
      <c r="H21" s="60">
        <v>373</v>
      </c>
      <c r="I21" s="59"/>
      <c r="J21" s="59">
        <f t="shared" si="2"/>
        <v>-128573</v>
      </c>
      <c r="K21" s="61">
        <f t="shared" si="3"/>
        <v>-38571.9</v>
      </c>
      <c r="L21" s="24"/>
    </row>
    <row r="22" spans="1:12" x14ac:dyDescent="0.2">
      <c r="A22" s="56">
        <v>45706</v>
      </c>
      <c r="B22" s="63">
        <v>91000</v>
      </c>
      <c r="C22" s="63">
        <v>34481</v>
      </c>
      <c r="D22" s="58">
        <v>50000</v>
      </c>
      <c r="E22" s="58">
        <v>58282</v>
      </c>
      <c r="F22" s="58">
        <v>17061</v>
      </c>
      <c r="G22" s="60">
        <v>2857</v>
      </c>
      <c r="H22" s="60">
        <v>373</v>
      </c>
      <c r="I22" s="59"/>
      <c r="J22" s="59">
        <f t="shared" si="2"/>
        <v>-94092</v>
      </c>
      <c r="K22" s="61">
        <f t="shared" si="3"/>
        <v>-28227.599999999999</v>
      </c>
      <c r="L22" s="24"/>
    </row>
    <row r="23" spans="1:12" x14ac:dyDescent="0.2">
      <c r="A23" s="56">
        <v>45707</v>
      </c>
      <c r="B23" s="63">
        <v>117400</v>
      </c>
      <c r="C23" s="63">
        <v>46110</v>
      </c>
      <c r="D23" s="58">
        <v>50000</v>
      </c>
      <c r="E23" s="58">
        <v>58282</v>
      </c>
      <c r="F23" s="58">
        <v>17061</v>
      </c>
      <c r="G23" s="60">
        <v>2857</v>
      </c>
      <c r="H23" s="60">
        <v>373</v>
      </c>
      <c r="I23" s="59"/>
      <c r="J23" s="59">
        <f t="shared" si="2"/>
        <v>-82463</v>
      </c>
      <c r="K23" s="61">
        <f t="shared" si="3"/>
        <v>-24738.9</v>
      </c>
      <c r="L23" s="24"/>
    </row>
    <row r="24" spans="1:12" x14ac:dyDescent="0.2">
      <c r="A24" s="56">
        <v>45708</v>
      </c>
      <c r="B24" s="63">
        <v>451300</v>
      </c>
      <c r="C24" s="63">
        <v>186902</v>
      </c>
      <c r="D24" s="58">
        <v>50000</v>
      </c>
      <c r="E24" s="58">
        <v>58282</v>
      </c>
      <c r="F24" s="58">
        <v>17061</v>
      </c>
      <c r="G24" s="60">
        <v>2857</v>
      </c>
      <c r="H24" s="60">
        <v>373</v>
      </c>
      <c r="I24" s="59"/>
      <c r="J24" s="59">
        <f t="shared" si="2"/>
        <v>58329</v>
      </c>
      <c r="K24" s="61">
        <f t="shared" si="3"/>
        <v>17498.7</v>
      </c>
      <c r="L24" s="24"/>
    </row>
    <row r="25" spans="1:12" x14ac:dyDescent="0.2">
      <c r="A25" s="56">
        <v>45709</v>
      </c>
      <c r="B25" s="63">
        <v>471500</v>
      </c>
      <c r="C25" s="63">
        <v>180783</v>
      </c>
      <c r="D25" s="58">
        <v>50000</v>
      </c>
      <c r="E25" s="58">
        <v>58282</v>
      </c>
      <c r="F25" s="58">
        <v>17061</v>
      </c>
      <c r="G25" s="60">
        <v>2857</v>
      </c>
      <c r="H25" s="60">
        <v>373</v>
      </c>
      <c r="I25" s="59"/>
      <c r="J25" s="59">
        <f t="shared" si="2"/>
        <v>52210</v>
      </c>
      <c r="K25" s="61">
        <f t="shared" si="3"/>
        <v>15663</v>
      </c>
      <c r="L25" s="24"/>
    </row>
    <row r="26" spans="1:12" x14ac:dyDescent="0.2">
      <c r="A26" s="56">
        <v>45710</v>
      </c>
      <c r="B26" s="57">
        <v>514400</v>
      </c>
      <c r="C26" s="57">
        <v>217165</v>
      </c>
      <c r="D26" s="58">
        <v>50000</v>
      </c>
      <c r="E26" s="58">
        <v>58282</v>
      </c>
      <c r="F26" s="58">
        <v>17061</v>
      </c>
      <c r="G26" s="60">
        <v>2857</v>
      </c>
      <c r="H26" s="60">
        <v>373</v>
      </c>
      <c r="I26" s="59"/>
      <c r="J26" s="59">
        <f t="shared" si="2"/>
        <v>88592</v>
      </c>
      <c r="K26" s="61">
        <f t="shared" si="3"/>
        <v>26577.599999999999</v>
      </c>
      <c r="L26" s="24"/>
    </row>
    <row r="27" spans="1:12" x14ac:dyDescent="0.2">
      <c r="A27" s="56">
        <v>45711</v>
      </c>
      <c r="B27" s="57">
        <v>265400</v>
      </c>
      <c r="C27" s="57">
        <v>105572</v>
      </c>
      <c r="D27" s="58">
        <v>50000</v>
      </c>
      <c r="E27" s="58">
        <v>58282</v>
      </c>
      <c r="F27" s="58">
        <v>17061</v>
      </c>
      <c r="G27" s="60">
        <v>2857</v>
      </c>
      <c r="H27" s="60">
        <v>373</v>
      </c>
      <c r="I27" s="59"/>
      <c r="J27" s="59">
        <f t="shared" si="2"/>
        <v>-23001</v>
      </c>
      <c r="K27" s="61">
        <f t="shared" si="3"/>
        <v>-6900.3</v>
      </c>
      <c r="L27" s="24"/>
    </row>
    <row r="28" spans="1:12" x14ac:dyDescent="0.2">
      <c r="A28" s="56">
        <v>45712</v>
      </c>
      <c r="B28" s="57">
        <v>178800</v>
      </c>
      <c r="C28" s="57">
        <v>66914</v>
      </c>
      <c r="D28" s="58">
        <v>50000</v>
      </c>
      <c r="E28" s="58">
        <v>58282</v>
      </c>
      <c r="F28" s="58">
        <v>17061</v>
      </c>
      <c r="G28" s="60">
        <v>2857</v>
      </c>
      <c r="H28" s="60">
        <v>373</v>
      </c>
      <c r="I28" s="59"/>
      <c r="J28" s="59">
        <f t="shared" si="2"/>
        <v>-61659</v>
      </c>
      <c r="K28" s="61">
        <f t="shared" si="3"/>
        <v>-18497.7</v>
      </c>
      <c r="L28" s="24"/>
    </row>
    <row r="29" spans="1:12" x14ac:dyDescent="0.2">
      <c r="A29" s="56">
        <v>45713</v>
      </c>
      <c r="B29" s="57">
        <v>99400</v>
      </c>
      <c r="C29" s="57">
        <v>38852</v>
      </c>
      <c r="D29" s="58">
        <v>50000</v>
      </c>
      <c r="E29" s="58">
        <v>58282</v>
      </c>
      <c r="F29" s="58">
        <v>17061</v>
      </c>
      <c r="G29" s="60">
        <v>2857</v>
      </c>
      <c r="H29" s="60">
        <v>373</v>
      </c>
      <c r="I29" s="59"/>
      <c r="J29" s="59">
        <f t="shared" si="2"/>
        <v>-89721</v>
      </c>
      <c r="K29" s="61">
        <f t="shared" si="3"/>
        <v>-26916.3</v>
      </c>
      <c r="L29" s="24"/>
    </row>
    <row r="30" spans="1:12" x14ac:dyDescent="0.2">
      <c r="A30" s="56">
        <v>45714</v>
      </c>
      <c r="B30" s="57">
        <v>560000</v>
      </c>
      <c r="C30" s="57">
        <v>225852</v>
      </c>
      <c r="D30" s="58">
        <v>50000</v>
      </c>
      <c r="E30" s="58">
        <v>58282</v>
      </c>
      <c r="F30" s="58">
        <v>17061</v>
      </c>
      <c r="G30" s="60">
        <v>2857</v>
      </c>
      <c r="H30" s="60">
        <v>373</v>
      </c>
      <c r="I30" s="59"/>
      <c r="J30" s="59">
        <f t="shared" si="2"/>
        <v>97279</v>
      </c>
      <c r="K30" s="61">
        <f t="shared" si="3"/>
        <v>29183.7</v>
      </c>
      <c r="L30" s="24"/>
    </row>
    <row r="31" spans="1:12" x14ac:dyDescent="0.2">
      <c r="A31" s="56">
        <v>45715</v>
      </c>
      <c r="B31" s="57">
        <v>738700</v>
      </c>
      <c r="C31" s="57">
        <v>303588</v>
      </c>
      <c r="D31" s="58">
        <v>50000</v>
      </c>
      <c r="E31" s="58">
        <v>58282</v>
      </c>
      <c r="F31" s="58">
        <v>17061</v>
      </c>
      <c r="G31" s="60">
        <v>2857</v>
      </c>
      <c r="H31" s="60">
        <v>373</v>
      </c>
      <c r="I31" s="59"/>
      <c r="J31" s="59">
        <f t="shared" si="2"/>
        <v>175015</v>
      </c>
      <c r="K31" s="61">
        <f t="shared" si="3"/>
        <v>52504.5</v>
      </c>
      <c r="L31" s="24"/>
    </row>
    <row r="32" spans="1:12" x14ac:dyDescent="0.2">
      <c r="A32" s="56">
        <v>45716</v>
      </c>
      <c r="B32" s="57">
        <v>258700</v>
      </c>
      <c r="C32" s="57">
        <v>103067</v>
      </c>
      <c r="D32" s="58">
        <v>50000</v>
      </c>
      <c r="E32" s="58">
        <v>58282</v>
      </c>
      <c r="F32" s="58">
        <v>17061</v>
      </c>
      <c r="G32" s="60">
        <v>2857</v>
      </c>
      <c r="H32" s="60">
        <v>373</v>
      </c>
      <c r="I32" s="59"/>
      <c r="J32" s="59">
        <f t="shared" si="2"/>
        <v>-25506</v>
      </c>
      <c r="K32" s="61">
        <f t="shared" si="3"/>
        <v>-7651.8</v>
      </c>
      <c r="L32" s="24"/>
    </row>
    <row r="33" spans="1:11" x14ac:dyDescent="0.2">
      <c r="A33" s="23"/>
      <c r="B33" s="73"/>
      <c r="C33" s="73"/>
      <c r="D33" s="69"/>
      <c r="E33" s="42"/>
      <c r="F33" s="42"/>
      <c r="G33" s="42"/>
      <c r="H33" s="42"/>
      <c r="I33" s="40"/>
      <c r="J33" s="59">
        <f>SUM(J20:J32)</f>
        <v>80735</v>
      </c>
      <c r="K33" s="74">
        <f>SUM(K20:K32)</f>
        <v>24220.500000000007</v>
      </c>
    </row>
    <row r="34" spans="1:11" x14ac:dyDescent="0.2">
      <c r="A34" s="23"/>
      <c r="B34" s="73"/>
      <c r="C34" s="73"/>
      <c r="D34" s="69"/>
      <c r="E34" s="42"/>
      <c r="F34" s="42"/>
      <c r="G34" s="42"/>
      <c r="H34" s="42"/>
      <c r="I34" s="40"/>
    </row>
    <row r="35" spans="1:11" x14ac:dyDescent="0.2">
      <c r="A35" s="23"/>
      <c r="B35" s="73"/>
      <c r="C35" s="73"/>
      <c r="D35" s="69"/>
      <c r="E35" s="42"/>
      <c r="F35" s="42"/>
      <c r="G35" s="42"/>
      <c r="H35" s="42"/>
      <c r="I35" s="40"/>
    </row>
    <row r="36" spans="1:11" x14ac:dyDescent="0.2">
      <c r="A36" s="23"/>
      <c r="B36" s="73"/>
      <c r="C36" s="73"/>
      <c r="D36" s="69"/>
      <c r="E36" s="42"/>
      <c r="F36" s="42"/>
      <c r="G36" s="42"/>
      <c r="H36" s="42"/>
      <c r="I36" s="4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586E5-3705-44E3-A0C1-9AE1CB9FE09B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M1023"/>
  <sheetViews>
    <sheetView topLeftCell="FI1" zoomScale="96" zoomScaleNormal="85" workbookViewId="0">
      <selection activeCell="CE31" sqref="CE31:CE41"/>
    </sheetView>
  </sheetViews>
  <sheetFormatPr baseColWidth="10" defaultColWidth="12.5703125" defaultRowHeight="15.75" customHeight="1" x14ac:dyDescent="0.2"/>
  <cols>
    <col min="1" max="1" width="24.42578125" customWidth="1"/>
    <col min="2" max="4" width="12.5703125" hidden="1"/>
    <col min="5" max="5" width="13.42578125" hidden="1" customWidth="1"/>
    <col min="6" max="7" width="12.5703125" hidden="1"/>
    <col min="8" max="8" width="13.42578125" hidden="1" customWidth="1"/>
    <col min="9" max="10" width="12.5703125" hidden="1"/>
    <col min="11" max="11" width="13.42578125" hidden="1" customWidth="1"/>
    <col min="12" max="13" width="12.5703125" hidden="1"/>
    <col min="14" max="14" width="13.42578125" hidden="1" customWidth="1"/>
    <col min="15" max="16" width="12.5703125" hidden="1"/>
    <col min="17" max="17" width="13.42578125" hidden="1" customWidth="1"/>
    <col min="18" max="19" width="12.5703125" hidden="1"/>
    <col min="20" max="20" width="13.42578125" hidden="1" customWidth="1"/>
    <col min="21" max="22" width="12.5703125" hidden="1"/>
    <col min="23" max="23" width="13.42578125" hidden="1" customWidth="1"/>
    <col min="24" max="25" width="12.5703125" hidden="1"/>
    <col min="26" max="81" width="13.42578125" hidden="1" customWidth="1"/>
    <col min="82" max="82" width="13.140625" customWidth="1"/>
    <col min="83" max="83" width="15.140625" customWidth="1"/>
    <col min="84" max="84" width="7.5703125" customWidth="1"/>
    <col min="85" max="85" width="22.28515625" hidden="1" customWidth="1"/>
    <col min="86" max="86" width="5.28515625" customWidth="1"/>
    <col min="87" max="87" width="10.42578125" customWidth="1"/>
    <col min="88" max="88" width="7.42578125" customWidth="1"/>
    <col min="89" max="89" width="5.85546875" customWidth="1"/>
    <col min="90" max="90" width="8.28515625" customWidth="1"/>
    <col min="91" max="91" width="5.7109375" customWidth="1"/>
    <col min="92" max="92" width="7" customWidth="1"/>
    <col min="93" max="93" width="13.28515625" customWidth="1"/>
    <col min="94" max="94" width="19.28515625" customWidth="1"/>
    <col min="95" max="96" width="18.85546875" customWidth="1"/>
    <col min="97" max="97" width="19.5703125" customWidth="1"/>
    <col min="98" max="98" width="20.140625" customWidth="1"/>
    <col min="99" max="99" width="17.140625" customWidth="1"/>
    <col min="100" max="100" width="12.42578125" bestFit="1" customWidth="1"/>
    <col min="101" max="101" width="16.140625" customWidth="1"/>
    <col min="102" max="102" width="10.42578125" customWidth="1"/>
    <col min="103" max="103" width="9.7109375" customWidth="1"/>
    <col min="104" max="104" width="12" customWidth="1"/>
    <col min="109" max="109" width="16.85546875" customWidth="1"/>
    <col min="110" max="110" width="19.42578125" customWidth="1"/>
    <col min="111" max="111" width="17.28515625" customWidth="1"/>
    <col min="112" max="112" width="10.5703125" customWidth="1"/>
    <col min="113" max="113" width="13.28515625" customWidth="1"/>
    <col min="114" max="114" width="15.7109375" customWidth="1"/>
    <col min="116" max="116" width="19.140625" customWidth="1"/>
    <col min="119" max="119" width="17.7109375" customWidth="1"/>
    <col min="137" max="137" width="19.42578125" customWidth="1"/>
    <col min="143" max="143" width="25.5703125" customWidth="1"/>
    <col min="145" max="145" width="20.140625" customWidth="1"/>
    <col min="146" max="146" width="21.7109375" customWidth="1"/>
    <col min="148" max="148" width="25.5703125" customWidth="1"/>
    <col min="149" max="149" width="26" customWidth="1"/>
    <col min="150" max="150" width="18.42578125" customWidth="1"/>
    <col min="151" max="151" width="16.7109375" customWidth="1"/>
    <col min="152" max="152" width="18.140625" customWidth="1"/>
    <col min="153" max="153" width="15.28515625" customWidth="1"/>
    <col min="154" max="154" width="10.85546875" customWidth="1"/>
    <col min="155" max="155" width="18.42578125" customWidth="1"/>
    <col min="165" max="165" width="17.7109375" customWidth="1"/>
    <col min="166" max="166" width="12.28515625" customWidth="1"/>
    <col min="167" max="167" width="14" customWidth="1"/>
    <col min="168" max="168" width="22" customWidth="1"/>
    <col min="169" max="169" width="15.85546875" customWidth="1"/>
    <col min="170" max="170" width="15.42578125" customWidth="1"/>
    <col min="171" max="171" width="13.28515625" customWidth="1"/>
    <col min="172" max="172" width="12.85546875" customWidth="1"/>
    <col min="173" max="173" width="12.5703125" customWidth="1"/>
    <col min="174" max="174" width="20.7109375" customWidth="1"/>
    <col min="175" max="175" width="12.42578125" customWidth="1"/>
    <col min="176" max="176" width="19.28515625" customWidth="1"/>
    <col min="177" max="177" width="17" customWidth="1"/>
    <col min="178" max="178" width="8.42578125" customWidth="1"/>
    <col min="179" max="179" width="19" customWidth="1"/>
  </cols>
  <sheetData>
    <row r="1" spans="1:195" ht="12.75" x14ac:dyDescent="0.2">
      <c r="A1" s="1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75"/>
      <c r="CB1" s="47"/>
      <c r="CC1" s="47"/>
      <c r="CD1" s="75"/>
      <c r="CE1" s="47"/>
      <c r="CF1" s="47"/>
      <c r="CG1" s="75"/>
      <c r="CH1" s="47"/>
      <c r="CI1" s="47"/>
      <c r="CJ1" s="75"/>
      <c r="CK1" s="47"/>
      <c r="CL1" s="47"/>
      <c r="CO1" s="75"/>
    </row>
    <row r="2" spans="1:195" ht="12.75" x14ac:dyDescent="0.2">
      <c r="A2" s="5" t="s">
        <v>1</v>
      </c>
      <c r="B2" s="76" t="s">
        <v>76</v>
      </c>
      <c r="C2" s="76" t="s">
        <v>393</v>
      </c>
      <c r="D2" s="76" t="s">
        <v>394</v>
      </c>
      <c r="E2" s="76" t="s">
        <v>395</v>
      </c>
      <c r="F2" s="76" t="s">
        <v>396</v>
      </c>
      <c r="G2" s="76" t="s">
        <v>397</v>
      </c>
      <c r="H2" s="76" t="s">
        <v>398</v>
      </c>
      <c r="I2" s="76" t="s">
        <v>399</v>
      </c>
      <c r="J2" s="76" t="s">
        <v>400</v>
      </c>
      <c r="K2" s="76" t="s">
        <v>401</v>
      </c>
      <c r="L2" s="76" t="s">
        <v>402</v>
      </c>
      <c r="M2" s="76" t="s">
        <v>403</v>
      </c>
      <c r="N2" s="76" t="s">
        <v>404</v>
      </c>
      <c r="O2" s="76" t="s">
        <v>405</v>
      </c>
      <c r="P2" s="76" t="s">
        <v>406</v>
      </c>
      <c r="Q2" s="76" t="s">
        <v>407</v>
      </c>
      <c r="R2" s="76" t="s">
        <v>408</v>
      </c>
      <c r="S2" s="76" t="s">
        <v>409</v>
      </c>
      <c r="T2" s="76" t="s">
        <v>410</v>
      </c>
      <c r="U2" s="76" t="s">
        <v>411</v>
      </c>
      <c r="V2" s="76" t="s">
        <v>412</v>
      </c>
      <c r="W2" s="76" t="s">
        <v>413</v>
      </c>
      <c r="X2" s="76" t="s">
        <v>414</v>
      </c>
      <c r="Y2" s="76" t="s">
        <v>415</v>
      </c>
      <c r="Z2" s="76" t="s">
        <v>416</v>
      </c>
      <c r="AA2" s="76" t="s">
        <v>417</v>
      </c>
      <c r="AB2" s="76" t="s">
        <v>418</v>
      </c>
      <c r="AC2" s="76" t="s">
        <v>419</v>
      </c>
      <c r="AD2" s="76" t="s">
        <v>420</v>
      </c>
      <c r="AE2" s="76" t="s">
        <v>421</v>
      </c>
      <c r="AF2" s="76" t="s">
        <v>422</v>
      </c>
      <c r="AG2" s="76" t="s">
        <v>423</v>
      </c>
      <c r="AH2" s="76" t="s">
        <v>424</v>
      </c>
      <c r="AI2" s="76" t="s">
        <v>425</v>
      </c>
      <c r="AJ2" s="76" t="s">
        <v>426</v>
      </c>
      <c r="AK2" s="76" t="s">
        <v>427</v>
      </c>
      <c r="AL2" s="76" t="s">
        <v>428</v>
      </c>
      <c r="AM2" s="76" t="s">
        <v>429</v>
      </c>
      <c r="AN2" s="76" t="s">
        <v>430</v>
      </c>
      <c r="AO2" s="76" t="s">
        <v>431</v>
      </c>
      <c r="AP2" s="76" t="s">
        <v>432</v>
      </c>
      <c r="AQ2" s="76" t="s">
        <v>433</v>
      </c>
      <c r="AR2" s="76" t="s">
        <v>434</v>
      </c>
      <c r="AS2" s="76" t="s">
        <v>435</v>
      </c>
      <c r="AT2" s="76" t="s">
        <v>436</v>
      </c>
      <c r="AU2" s="76" t="s">
        <v>437</v>
      </c>
      <c r="AV2" s="76" t="s">
        <v>438</v>
      </c>
      <c r="AW2" s="76" t="s">
        <v>439</v>
      </c>
      <c r="AX2" s="76" t="s">
        <v>440</v>
      </c>
      <c r="AY2" s="76" t="s">
        <v>441</v>
      </c>
      <c r="AZ2" s="76" t="s">
        <v>442</v>
      </c>
      <c r="BA2" s="76" t="s">
        <v>443</v>
      </c>
      <c r="BB2" s="76" t="s">
        <v>444</v>
      </c>
      <c r="BC2" s="76" t="s">
        <v>445</v>
      </c>
      <c r="BD2" s="76" t="s">
        <v>446</v>
      </c>
      <c r="BE2" s="76" t="s">
        <v>447</v>
      </c>
      <c r="BF2" s="76" t="s">
        <v>448</v>
      </c>
      <c r="BG2" s="76" t="s">
        <v>449</v>
      </c>
      <c r="BH2" s="76" t="s">
        <v>450</v>
      </c>
      <c r="BI2" s="76" t="s">
        <v>451</v>
      </c>
      <c r="BJ2" s="76" t="s">
        <v>452</v>
      </c>
      <c r="BK2" s="76" t="s">
        <v>453</v>
      </c>
      <c r="BL2" s="76" t="s">
        <v>454</v>
      </c>
      <c r="BM2" s="76" t="s">
        <v>455</v>
      </c>
      <c r="BN2" s="76" t="s">
        <v>456</v>
      </c>
      <c r="BO2" s="76" t="s">
        <v>457</v>
      </c>
      <c r="BP2" s="76" t="s">
        <v>458</v>
      </c>
      <c r="BQ2" s="76" t="s">
        <v>459</v>
      </c>
      <c r="BR2" s="76" t="s">
        <v>460</v>
      </c>
      <c r="BS2" s="76" t="s">
        <v>461</v>
      </c>
      <c r="BT2" s="76" t="s">
        <v>462</v>
      </c>
      <c r="BU2" s="76" t="s">
        <v>463</v>
      </c>
      <c r="BV2" s="76" t="s">
        <v>464</v>
      </c>
      <c r="BW2" s="76" t="s">
        <v>465</v>
      </c>
      <c r="BX2" s="76" t="s">
        <v>466</v>
      </c>
      <c r="BY2" s="76" t="s">
        <v>467</v>
      </c>
      <c r="BZ2" s="76" t="s">
        <v>468</v>
      </c>
      <c r="CA2" s="76" t="s">
        <v>469</v>
      </c>
      <c r="CB2" s="76" t="s">
        <v>470</v>
      </c>
      <c r="CC2" s="76" t="s">
        <v>471</v>
      </c>
      <c r="CD2" s="76" t="s">
        <v>472</v>
      </c>
      <c r="CE2" s="76" t="s">
        <v>473</v>
      </c>
      <c r="CF2" s="76" t="s">
        <v>473</v>
      </c>
      <c r="CG2" s="76" t="s">
        <v>473</v>
      </c>
      <c r="CH2" s="76" t="s">
        <v>474</v>
      </c>
      <c r="CI2" s="76" t="s">
        <v>475</v>
      </c>
      <c r="CJ2" s="76" t="s">
        <v>476</v>
      </c>
      <c r="CK2" s="76" t="s">
        <v>477</v>
      </c>
      <c r="CL2" s="76" t="s">
        <v>570</v>
      </c>
      <c r="CM2" s="76" t="s">
        <v>574</v>
      </c>
      <c r="CN2" s="76" t="s">
        <v>573</v>
      </c>
      <c r="CO2" s="76" t="s">
        <v>571</v>
      </c>
      <c r="CP2" s="76" t="s">
        <v>572</v>
      </c>
      <c r="CQ2" s="123" t="s">
        <v>619</v>
      </c>
      <c r="CR2" s="127" t="s">
        <v>577</v>
      </c>
      <c r="CS2" s="127" t="s">
        <v>578</v>
      </c>
      <c r="CT2" s="127" t="s">
        <v>576</v>
      </c>
      <c r="CU2" s="228" t="s">
        <v>666</v>
      </c>
      <c r="CV2" s="127" t="s">
        <v>579</v>
      </c>
      <c r="CW2" s="127" t="s">
        <v>580</v>
      </c>
      <c r="CX2" s="275" t="s">
        <v>667</v>
      </c>
      <c r="CY2" s="275" t="s">
        <v>668</v>
      </c>
      <c r="CZ2" s="275" t="s">
        <v>669</v>
      </c>
      <c r="DA2" s="228" t="s">
        <v>670</v>
      </c>
      <c r="DB2" s="228" t="s">
        <v>671</v>
      </c>
      <c r="DC2" s="127" t="s">
        <v>582</v>
      </c>
      <c r="DD2" s="127" t="s">
        <v>583</v>
      </c>
      <c r="DE2" s="127" t="s">
        <v>581</v>
      </c>
      <c r="DF2" s="214" t="s">
        <v>584</v>
      </c>
      <c r="DG2" s="228" t="s">
        <v>658</v>
      </c>
      <c r="DH2" s="228" t="s">
        <v>659</v>
      </c>
      <c r="DI2" s="228" t="s">
        <v>661</v>
      </c>
      <c r="DJ2" s="228" t="s">
        <v>662</v>
      </c>
      <c r="DK2" s="228" t="s">
        <v>663</v>
      </c>
      <c r="DL2" s="228" t="s">
        <v>660</v>
      </c>
      <c r="DM2" s="228" t="s">
        <v>586</v>
      </c>
      <c r="DN2" s="127" t="s">
        <v>587</v>
      </c>
      <c r="DO2" s="228" t="s">
        <v>596</v>
      </c>
      <c r="DP2" s="127" t="s">
        <v>588</v>
      </c>
      <c r="DQ2" s="127" t="s">
        <v>589</v>
      </c>
      <c r="DR2" s="229" t="s">
        <v>597</v>
      </c>
      <c r="DS2" s="127" t="s">
        <v>590</v>
      </c>
      <c r="DT2" s="127" t="s">
        <v>591</v>
      </c>
      <c r="DU2" s="228" t="s">
        <v>672</v>
      </c>
      <c r="DV2" s="227" t="s">
        <v>674</v>
      </c>
      <c r="DW2" s="228" t="s">
        <v>675</v>
      </c>
      <c r="DX2" s="228" t="s">
        <v>673</v>
      </c>
      <c r="DY2" s="227" t="s">
        <v>592</v>
      </c>
      <c r="DZ2" s="228" t="s">
        <v>593</v>
      </c>
      <c r="EA2" s="228" t="s">
        <v>595</v>
      </c>
      <c r="EB2" s="227" t="s">
        <v>594</v>
      </c>
      <c r="EC2" s="228" t="s">
        <v>676</v>
      </c>
      <c r="ED2" s="229" t="s">
        <v>677</v>
      </c>
      <c r="EE2" s="228" t="s">
        <v>607</v>
      </c>
      <c r="EF2" s="228" t="s">
        <v>606</v>
      </c>
      <c r="EG2" s="229" t="s">
        <v>598</v>
      </c>
      <c r="EH2" s="228" t="s">
        <v>605</v>
      </c>
      <c r="EI2" s="228" t="s">
        <v>604</v>
      </c>
      <c r="EJ2" s="229" t="s">
        <v>599</v>
      </c>
      <c r="EK2" s="228" t="s">
        <v>603</v>
      </c>
      <c r="EL2" s="228" t="s">
        <v>602</v>
      </c>
      <c r="EM2" s="230" t="s">
        <v>601</v>
      </c>
      <c r="EN2" s="228" t="s">
        <v>608</v>
      </c>
      <c r="EO2" s="228" t="s">
        <v>600</v>
      </c>
      <c r="EP2" s="229" t="s">
        <v>636</v>
      </c>
      <c r="EQ2" s="228" t="s">
        <v>609</v>
      </c>
      <c r="ER2" s="228" t="s">
        <v>610</v>
      </c>
      <c r="ES2" s="228" t="s">
        <v>611</v>
      </c>
      <c r="ET2" s="232" t="s">
        <v>612</v>
      </c>
      <c r="EU2" s="232" t="s">
        <v>613</v>
      </c>
      <c r="EV2" s="231" t="s">
        <v>614</v>
      </c>
      <c r="EW2" s="231" t="s">
        <v>615</v>
      </c>
      <c r="EX2" s="231" t="s">
        <v>637</v>
      </c>
      <c r="EY2" s="231" t="s">
        <v>638</v>
      </c>
      <c r="EZ2" s="231" t="s">
        <v>639</v>
      </c>
      <c r="FA2" s="231" t="s">
        <v>640</v>
      </c>
      <c r="FB2" s="231" t="s">
        <v>641</v>
      </c>
      <c r="FC2" s="231" t="s">
        <v>642</v>
      </c>
      <c r="FD2" s="231" t="s">
        <v>643</v>
      </c>
      <c r="FE2" s="231" t="s">
        <v>644</v>
      </c>
      <c r="FF2" s="231" t="s">
        <v>616</v>
      </c>
      <c r="FG2" s="231" t="s">
        <v>645</v>
      </c>
      <c r="FH2" s="228" t="s">
        <v>646</v>
      </c>
      <c r="FI2" s="228" t="s">
        <v>647</v>
      </c>
      <c r="FJ2" s="228" t="s">
        <v>664</v>
      </c>
      <c r="FK2" s="228" t="s">
        <v>665</v>
      </c>
      <c r="FL2" s="228" t="s">
        <v>617</v>
      </c>
      <c r="FM2" s="228" t="s">
        <v>648</v>
      </c>
      <c r="FN2" s="228" t="s">
        <v>618</v>
      </c>
      <c r="FO2" s="228" t="s">
        <v>649</v>
      </c>
      <c r="FP2" s="228" t="s">
        <v>650</v>
      </c>
      <c r="FQ2" s="228" t="s">
        <v>651</v>
      </c>
      <c r="FR2" s="227" t="s">
        <v>652</v>
      </c>
      <c r="FS2" s="227" t="s">
        <v>653</v>
      </c>
      <c r="FT2" s="227" t="s">
        <v>654</v>
      </c>
      <c r="FU2" s="227" t="s">
        <v>655</v>
      </c>
      <c r="FV2" s="227" t="s">
        <v>656</v>
      </c>
      <c r="FW2" s="227" t="s">
        <v>657</v>
      </c>
      <c r="GK2" s="128"/>
      <c r="GL2" s="128"/>
      <c r="GM2" s="128"/>
    </row>
    <row r="3" spans="1:195" ht="12.75" x14ac:dyDescent="0.2">
      <c r="A3" s="5" t="s">
        <v>77</v>
      </c>
      <c r="B3" s="77">
        <f>'INV. FEB'!BX3</f>
        <v>14</v>
      </c>
      <c r="C3" s="10">
        <v>0</v>
      </c>
      <c r="D3" s="10">
        <v>1</v>
      </c>
      <c r="E3" s="10">
        <f t="shared" ref="E3:E56" si="0">B3+C3-D3</f>
        <v>13</v>
      </c>
      <c r="F3" s="10">
        <v>0</v>
      </c>
      <c r="G3" s="10">
        <v>0</v>
      </c>
      <c r="H3" s="10">
        <f t="shared" ref="H3:H56" si="1">E3+F3-G3</f>
        <v>13</v>
      </c>
      <c r="I3" s="10">
        <v>0</v>
      </c>
      <c r="J3" s="10">
        <v>0</v>
      </c>
      <c r="K3" s="10">
        <f t="shared" ref="K3:K56" si="2">H3+I3-J3</f>
        <v>13</v>
      </c>
      <c r="L3" s="10">
        <v>0</v>
      </c>
      <c r="M3" s="10">
        <v>0</v>
      </c>
      <c r="N3" s="10">
        <f t="shared" ref="N3:N56" si="3">K3+L3-M3</f>
        <v>13</v>
      </c>
      <c r="O3" s="10">
        <v>0</v>
      </c>
      <c r="P3" s="10">
        <v>0</v>
      </c>
      <c r="Q3" s="10">
        <f t="shared" ref="Q3:Q56" si="4">N3+O3-P3</f>
        <v>13</v>
      </c>
      <c r="R3" s="10">
        <v>0</v>
      </c>
      <c r="S3" s="10">
        <v>2</v>
      </c>
      <c r="T3" s="10">
        <f t="shared" ref="T3:T56" si="5">Q3+R3-S3</f>
        <v>11</v>
      </c>
      <c r="U3" s="10">
        <v>0</v>
      </c>
      <c r="V3" s="10">
        <v>1</v>
      </c>
      <c r="W3" s="10">
        <f t="shared" ref="W3:W56" si="6">T3+U3-V3</f>
        <v>10</v>
      </c>
      <c r="X3" s="10">
        <v>0</v>
      </c>
      <c r="Y3" s="10">
        <v>6</v>
      </c>
      <c r="Z3" s="10">
        <f t="shared" ref="Z3:Z57" si="7">W3+X3-Y3</f>
        <v>4</v>
      </c>
      <c r="AA3" s="78">
        <v>0</v>
      </c>
      <c r="AB3" s="78">
        <v>0</v>
      </c>
      <c r="AC3" s="78">
        <f t="shared" ref="AC3:AC57" si="8">Z3+AA3-AB3</f>
        <v>4</v>
      </c>
      <c r="AD3" s="79">
        <v>24</v>
      </c>
      <c r="AE3" s="78">
        <v>0</v>
      </c>
      <c r="AF3" s="78">
        <f t="shared" ref="AF3:AF57" si="9">AC3+AD3-AE3</f>
        <v>28</v>
      </c>
      <c r="AG3" s="78">
        <v>0</v>
      </c>
      <c r="AH3" s="79">
        <v>1</v>
      </c>
      <c r="AI3" s="78">
        <f t="shared" ref="AI3:AI57" si="10">AF3+AG3-AH3</f>
        <v>27</v>
      </c>
      <c r="AJ3" s="78">
        <v>0</v>
      </c>
      <c r="AK3" s="78">
        <v>0</v>
      </c>
      <c r="AL3" s="78">
        <f t="shared" ref="AL3:AL57" si="11">AI3+AJ3-AK3</f>
        <v>27</v>
      </c>
      <c r="AM3" s="78">
        <v>0</v>
      </c>
      <c r="AN3" s="79">
        <v>2</v>
      </c>
      <c r="AO3" s="78">
        <f t="shared" ref="AO3:AO57" si="12">AL3+AM3-AN3</f>
        <v>25</v>
      </c>
      <c r="AP3" s="78">
        <v>0</v>
      </c>
      <c r="AQ3" s="78">
        <v>0</v>
      </c>
      <c r="AR3" s="78">
        <f t="shared" ref="AR3:AR57" si="13">AO3+AP3-AQ3</f>
        <v>25</v>
      </c>
      <c r="AS3" s="79">
        <v>0</v>
      </c>
      <c r="AT3" s="79">
        <v>0</v>
      </c>
      <c r="AU3" s="78">
        <f t="shared" ref="AU3:AU57" si="14">AR3+AS3-AT3</f>
        <v>25</v>
      </c>
      <c r="AV3" s="79">
        <v>0</v>
      </c>
      <c r="AW3" s="79">
        <v>0</v>
      </c>
      <c r="AX3" s="78">
        <f t="shared" ref="AX3:AX57" si="15">AU3+AV3-AW3</f>
        <v>25</v>
      </c>
      <c r="AY3" s="79">
        <v>0</v>
      </c>
      <c r="AZ3" s="79">
        <v>0</v>
      </c>
      <c r="BA3" s="78">
        <f t="shared" ref="BA3:BA57" si="16">AX3+AY3-AZ3</f>
        <v>25</v>
      </c>
      <c r="BB3" s="79">
        <v>0</v>
      </c>
      <c r="BC3" s="79">
        <v>0</v>
      </c>
      <c r="BD3" s="78">
        <f t="shared" ref="BD3:BD57" si="17">BA3+BB3-BC3</f>
        <v>25</v>
      </c>
      <c r="BE3" s="79">
        <v>0</v>
      </c>
      <c r="BF3" s="79">
        <v>0</v>
      </c>
      <c r="BG3" s="78">
        <f t="shared" ref="BG3:BG57" si="18">BD3+BE3-BF3</f>
        <v>25</v>
      </c>
      <c r="BH3" s="79">
        <v>0</v>
      </c>
      <c r="BI3" s="79">
        <v>3</v>
      </c>
      <c r="BJ3" s="78">
        <f t="shared" ref="BJ3:BJ57" si="19">BG3+BH3-BI3</f>
        <v>22</v>
      </c>
      <c r="BK3" s="79">
        <v>0</v>
      </c>
      <c r="BL3" s="79">
        <v>0</v>
      </c>
      <c r="BM3" s="78">
        <f t="shared" ref="BM3:BM57" si="20">BJ3+BK3-BL3</f>
        <v>22</v>
      </c>
      <c r="BN3" s="79">
        <v>0</v>
      </c>
      <c r="BO3" s="79">
        <v>0</v>
      </c>
      <c r="BP3" s="78">
        <f t="shared" ref="BP3:BP50" si="21">BM3+BN3-BO3</f>
        <v>22</v>
      </c>
      <c r="BQ3" s="79">
        <v>0</v>
      </c>
      <c r="BR3" s="79">
        <v>2</v>
      </c>
      <c r="BS3" s="78">
        <f t="shared" ref="BS3:BS57" si="22">BP3+BQ3-BR3</f>
        <v>20</v>
      </c>
      <c r="BT3" s="79">
        <v>0</v>
      </c>
      <c r="BU3" s="79">
        <v>4</v>
      </c>
      <c r="BV3" s="78">
        <f t="shared" ref="BV3:BV57" si="23">BS3+BT3-BU3</f>
        <v>16</v>
      </c>
      <c r="BW3" s="79">
        <v>0</v>
      </c>
      <c r="BX3" s="79">
        <v>3</v>
      </c>
      <c r="BY3" s="78">
        <f t="shared" ref="BY3:BY57" si="24">BV3+BW3-BX3</f>
        <v>13</v>
      </c>
      <c r="BZ3" s="79">
        <v>0</v>
      </c>
      <c r="CA3" s="79">
        <v>0</v>
      </c>
      <c r="CB3" s="78">
        <f t="shared" ref="CB3:CB57" si="25">BY3+BZ3-CA3</f>
        <v>13</v>
      </c>
      <c r="CC3" s="79">
        <v>0</v>
      </c>
      <c r="CD3" s="79">
        <v>0</v>
      </c>
      <c r="CE3" s="78">
        <f t="shared" ref="CE3:CE57" si="26">CB3+CC3-CD3</f>
        <v>13</v>
      </c>
      <c r="CF3" s="79">
        <v>0</v>
      </c>
      <c r="CG3" s="79">
        <v>0</v>
      </c>
      <c r="CH3" s="78">
        <f t="shared" ref="CH3:CH57" si="27">CE3+CF3-CG3</f>
        <v>13</v>
      </c>
      <c r="CI3" s="79">
        <v>0</v>
      </c>
      <c r="CJ3" s="79">
        <v>0</v>
      </c>
      <c r="CK3" s="78">
        <f>CH3+CI3-CJ3</f>
        <v>13</v>
      </c>
      <c r="CL3" s="79">
        <v>0</v>
      </c>
      <c r="CM3" s="79">
        <v>1</v>
      </c>
      <c r="CN3" s="79">
        <f>CK3+CL3-CM3</f>
        <v>12</v>
      </c>
      <c r="CO3" s="79">
        <v>0</v>
      </c>
      <c r="CP3" s="79">
        <v>0</v>
      </c>
      <c r="CQ3" s="124">
        <f>CN3+CO3-CP3</f>
        <v>12</v>
      </c>
      <c r="CR3" s="128">
        <v>0</v>
      </c>
      <c r="CS3" s="128">
        <v>0</v>
      </c>
      <c r="CT3" s="128">
        <f>CQ3+CR3-CS3</f>
        <v>12</v>
      </c>
      <c r="CU3" s="128">
        <v>0</v>
      </c>
      <c r="CV3" s="128">
        <v>0</v>
      </c>
      <c r="CW3" s="128">
        <f>CT3+CU3-CU3</f>
        <v>12</v>
      </c>
      <c r="CX3" s="128">
        <v>0</v>
      </c>
      <c r="CY3" s="128">
        <v>0</v>
      </c>
      <c r="CZ3" s="128">
        <v>12</v>
      </c>
      <c r="DA3" s="128"/>
      <c r="DB3" s="128"/>
      <c r="DC3" s="128">
        <f>CZ3+DA3-DB3</f>
        <v>12</v>
      </c>
      <c r="DD3" s="128"/>
      <c r="DE3" s="128"/>
      <c r="DF3" s="215">
        <f>DC3+DD3-DE3</f>
        <v>12</v>
      </c>
      <c r="DG3" s="128"/>
      <c r="DH3" s="128"/>
      <c r="DI3" s="128">
        <f>DF3+DG3-DH3</f>
        <v>12</v>
      </c>
      <c r="DJ3" s="128"/>
      <c r="DK3" s="128"/>
      <c r="DL3" s="128">
        <f>DI3+DJ3-DK3</f>
        <v>12</v>
      </c>
      <c r="DM3" s="128"/>
      <c r="DN3" s="128"/>
      <c r="DO3" s="215">
        <f>DL3+DM3-DN3</f>
        <v>12</v>
      </c>
      <c r="DP3" s="128"/>
      <c r="DQ3" s="128"/>
      <c r="DR3" s="128">
        <f>DO3+DP3-DQ3</f>
        <v>12</v>
      </c>
      <c r="DS3" s="128"/>
      <c r="DT3" s="128"/>
      <c r="DU3" s="128">
        <f>DR3+DS3-DT3</f>
        <v>12</v>
      </c>
      <c r="DV3" s="128"/>
      <c r="DW3" s="128"/>
      <c r="DX3" s="128">
        <f>DU3+DV3-DW3</f>
        <v>12</v>
      </c>
      <c r="DY3" s="128"/>
      <c r="DZ3" s="128"/>
      <c r="EA3" s="215">
        <f>DX3+DY3-DZ3</f>
        <v>12</v>
      </c>
      <c r="EB3" s="128"/>
      <c r="EC3" s="128">
        <v>4</v>
      </c>
      <c r="ED3" s="215">
        <f>EA3+EB3-EC3</f>
        <v>8</v>
      </c>
      <c r="EE3" s="128"/>
      <c r="EF3" s="128"/>
      <c r="EG3" s="215">
        <f>ED3+EE3-EF3</f>
        <v>8</v>
      </c>
      <c r="EH3" s="128"/>
      <c r="EI3" s="128">
        <v>5</v>
      </c>
      <c r="EJ3" s="215">
        <f>EG3+EH3-EI3</f>
        <v>3</v>
      </c>
      <c r="EK3" s="128">
        <v>12</v>
      </c>
      <c r="EL3" s="128"/>
      <c r="EM3" s="215">
        <f>EJ3+EK3-EL3</f>
        <v>15</v>
      </c>
      <c r="EN3" s="128"/>
      <c r="EO3" s="128">
        <v>2</v>
      </c>
      <c r="EP3" s="215">
        <f>EM3+EN3-EO3</f>
        <v>13</v>
      </c>
      <c r="EQ3" s="128"/>
      <c r="ER3" s="128">
        <v>3</v>
      </c>
      <c r="ES3" s="128">
        <f>EP3+EQ3-ER3</f>
        <v>10</v>
      </c>
      <c r="ET3" s="128"/>
      <c r="EU3" s="128">
        <v>4</v>
      </c>
      <c r="EV3" s="128">
        <f>ES3+ET3-EU3</f>
        <v>6</v>
      </c>
      <c r="EW3" s="128"/>
      <c r="EX3" s="128"/>
      <c r="EY3" s="128">
        <f>EV3+EW3-EX3</f>
        <v>6</v>
      </c>
      <c r="EZ3" s="128"/>
      <c r="FA3" s="128">
        <v>1</v>
      </c>
      <c r="FB3" s="128">
        <f>EY3+EZ3-FA3</f>
        <v>5</v>
      </c>
      <c r="FC3" s="128"/>
      <c r="FD3" s="215"/>
      <c r="FE3" s="128">
        <f>FB3+FC3-FD3</f>
        <v>5</v>
      </c>
      <c r="FF3" s="128"/>
      <c r="FG3" s="128"/>
      <c r="FH3" s="128">
        <f>FE3+FF3-FG3</f>
        <v>5</v>
      </c>
      <c r="FI3" s="128"/>
      <c r="FJ3" s="128"/>
      <c r="FK3" s="128">
        <f>FH3+FI3-FJ3</f>
        <v>5</v>
      </c>
      <c r="FL3" s="128"/>
      <c r="FM3" s="128"/>
      <c r="FN3" s="128">
        <f t="shared" ref="FN3:FN34" si="28">FK3+FL3-FM3</f>
        <v>5</v>
      </c>
      <c r="FO3" s="128"/>
      <c r="FP3" s="128"/>
      <c r="FQ3" s="128">
        <f>FN3+FO3-FP3</f>
        <v>5</v>
      </c>
      <c r="FR3" s="128"/>
      <c r="FS3" s="128"/>
      <c r="FT3" s="128">
        <f>FQ3+FR3-FS3</f>
        <v>5</v>
      </c>
      <c r="FU3" s="128"/>
      <c r="FV3" s="128"/>
      <c r="FW3" s="128">
        <f>FT3+FU3-FV3</f>
        <v>5</v>
      </c>
    </row>
    <row r="4" spans="1:195" ht="12.75" x14ac:dyDescent="0.2">
      <c r="A4" s="13" t="s">
        <v>78</v>
      </c>
      <c r="B4" s="29">
        <f>'INV. FEB'!BX4</f>
        <v>12</v>
      </c>
      <c r="C4" s="10">
        <v>0</v>
      </c>
      <c r="D4" s="10">
        <v>0</v>
      </c>
      <c r="E4" s="9">
        <f t="shared" si="0"/>
        <v>12</v>
      </c>
      <c r="F4" s="10">
        <v>0</v>
      </c>
      <c r="G4" s="10">
        <v>1</v>
      </c>
      <c r="H4" s="9">
        <f t="shared" si="1"/>
        <v>11</v>
      </c>
      <c r="I4" s="10">
        <v>0</v>
      </c>
      <c r="J4" s="10">
        <v>0</v>
      </c>
      <c r="K4" s="9">
        <f t="shared" si="2"/>
        <v>11</v>
      </c>
      <c r="L4" s="10">
        <v>0</v>
      </c>
      <c r="M4" s="10">
        <v>1</v>
      </c>
      <c r="N4" s="9">
        <f t="shared" si="3"/>
        <v>10</v>
      </c>
      <c r="O4" s="10">
        <v>0</v>
      </c>
      <c r="P4" s="10">
        <v>0</v>
      </c>
      <c r="Q4" s="9">
        <f t="shared" si="4"/>
        <v>10</v>
      </c>
      <c r="R4" s="10">
        <v>0</v>
      </c>
      <c r="S4" s="10">
        <v>0</v>
      </c>
      <c r="T4" s="9">
        <f t="shared" si="5"/>
        <v>10</v>
      </c>
      <c r="U4" s="10">
        <v>0</v>
      </c>
      <c r="V4" s="10">
        <v>1</v>
      </c>
      <c r="W4" s="9">
        <f t="shared" si="6"/>
        <v>9</v>
      </c>
      <c r="X4" s="10">
        <v>0</v>
      </c>
      <c r="Y4" s="10">
        <v>0</v>
      </c>
      <c r="Z4" s="9">
        <f t="shared" si="7"/>
        <v>9</v>
      </c>
      <c r="AA4" s="78">
        <v>0</v>
      </c>
      <c r="AB4" s="79">
        <v>1</v>
      </c>
      <c r="AC4" s="18">
        <f t="shared" si="8"/>
        <v>8</v>
      </c>
      <c r="AD4" s="78">
        <v>0</v>
      </c>
      <c r="AE4" s="78">
        <v>0</v>
      </c>
      <c r="AF4" s="18">
        <f t="shared" si="9"/>
        <v>8</v>
      </c>
      <c r="AG4" s="78">
        <v>0</v>
      </c>
      <c r="AH4" s="79">
        <v>1</v>
      </c>
      <c r="AI4" s="18">
        <f t="shared" si="10"/>
        <v>7</v>
      </c>
      <c r="AJ4" s="78">
        <v>0</v>
      </c>
      <c r="AK4" s="79">
        <v>1</v>
      </c>
      <c r="AL4" s="18">
        <f t="shared" si="11"/>
        <v>6</v>
      </c>
      <c r="AM4" s="78">
        <v>0</v>
      </c>
      <c r="AN4" s="78">
        <v>0</v>
      </c>
      <c r="AO4" s="18">
        <f t="shared" si="12"/>
        <v>6</v>
      </c>
      <c r="AP4" s="78">
        <v>0</v>
      </c>
      <c r="AQ4" s="78">
        <v>0</v>
      </c>
      <c r="AR4" s="18">
        <f t="shared" si="13"/>
        <v>6</v>
      </c>
      <c r="AS4" s="79">
        <v>0</v>
      </c>
      <c r="AT4" s="80">
        <v>0</v>
      </c>
      <c r="AU4" s="18">
        <f t="shared" si="14"/>
        <v>6</v>
      </c>
      <c r="AV4" s="79">
        <v>0</v>
      </c>
      <c r="AW4" s="79">
        <v>0</v>
      </c>
      <c r="AX4" s="18">
        <f t="shared" si="15"/>
        <v>6</v>
      </c>
      <c r="AY4" s="79">
        <v>0</v>
      </c>
      <c r="AZ4" s="79">
        <v>2</v>
      </c>
      <c r="BA4" s="18">
        <f t="shared" si="16"/>
        <v>4</v>
      </c>
      <c r="BB4" s="79">
        <v>0</v>
      </c>
      <c r="BC4" s="79">
        <v>1</v>
      </c>
      <c r="BD4" s="18">
        <f t="shared" si="17"/>
        <v>3</v>
      </c>
      <c r="BE4" s="79">
        <v>0</v>
      </c>
      <c r="BF4" s="79">
        <v>1</v>
      </c>
      <c r="BG4" s="18">
        <f t="shared" si="18"/>
        <v>2</v>
      </c>
      <c r="BH4" s="79">
        <v>0</v>
      </c>
      <c r="BI4" s="79">
        <v>0</v>
      </c>
      <c r="BJ4" s="18">
        <f t="shared" si="19"/>
        <v>2</v>
      </c>
      <c r="BK4" s="79">
        <v>0</v>
      </c>
      <c r="BL4" s="79">
        <v>1</v>
      </c>
      <c r="BM4" s="18">
        <f t="shared" si="20"/>
        <v>1</v>
      </c>
      <c r="BN4" s="79">
        <v>0</v>
      </c>
      <c r="BO4" s="79">
        <v>0</v>
      </c>
      <c r="BP4" s="18">
        <f t="shared" si="21"/>
        <v>1</v>
      </c>
      <c r="BQ4" s="79">
        <v>0</v>
      </c>
      <c r="BR4" s="79">
        <v>0</v>
      </c>
      <c r="BS4" s="18">
        <f t="shared" si="22"/>
        <v>1</v>
      </c>
      <c r="BT4" s="79">
        <v>0</v>
      </c>
      <c r="BU4" s="79">
        <v>1</v>
      </c>
      <c r="BV4" s="18">
        <f t="shared" si="23"/>
        <v>0</v>
      </c>
      <c r="BW4" s="79">
        <v>12</v>
      </c>
      <c r="BX4" s="79">
        <v>1</v>
      </c>
      <c r="BY4" s="18">
        <f t="shared" si="24"/>
        <v>11</v>
      </c>
      <c r="BZ4" s="79">
        <v>0</v>
      </c>
      <c r="CA4" s="79">
        <v>1</v>
      </c>
      <c r="CB4" s="18">
        <f t="shared" si="25"/>
        <v>10</v>
      </c>
      <c r="CC4" s="79">
        <v>0</v>
      </c>
      <c r="CD4" s="79">
        <v>0</v>
      </c>
      <c r="CE4" s="18">
        <f t="shared" si="26"/>
        <v>10</v>
      </c>
      <c r="CF4" s="79">
        <v>0</v>
      </c>
      <c r="CG4" s="79">
        <v>0</v>
      </c>
      <c r="CH4" s="18">
        <f t="shared" si="27"/>
        <v>10</v>
      </c>
      <c r="CI4" s="79">
        <v>0</v>
      </c>
      <c r="CJ4" s="79">
        <v>0</v>
      </c>
      <c r="CK4" s="79">
        <f t="shared" ref="CK4:CK57" si="29">CH4+CI4-CJ4</f>
        <v>10</v>
      </c>
      <c r="CL4" s="79">
        <v>0</v>
      </c>
      <c r="CM4" s="79">
        <v>0</v>
      </c>
      <c r="CN4" s="80">
        <f t="shared" ref="CN4:CN57" si="30">CK4+CL4-CM4</f>
        <v>10</v>
      </c>
      <c r="CO4" s="79">
        <v>0</v>
      </c>
      <c r="CP4" s="79">
        <v>0</v>
      </c>
      <c r="CQ4" s="125">
        <v>7</v>
      </c>
      <c r="CR4" s="128">
        <v>0</v>
      </c>
      <c r="CS4" s="128">
        <v>0</v>
      </c>
      <c r="CT4" s="128">
        <v>9</v>
      </c>
      <c r="CU4" s="128">
        <v>0</v>
      </c>
      <c r="CV4" s="128">
        <v>1</v>
      </c>
      <c r="CW4" s="128">
        <f t="shared" ref="CW4:CW57" si="31">CT4+CU4-CV4</f>
        <v>8</v>
      </c>
      <c r="CX4" s="128"/>
      <c r="CY4" s="128"/>
      <c r="CZ4" s="128">
        <f t="shared" ref="CZ4:CZ57" si="32">CW4+CX4-CY4</f>
        <v>8</v>
      </c>
      <c r="DA4" s="128"/>
      <c r="DB4" s="128"/>
      <c r="DC4" s="128">
        <f t="shared" ref="DC4:DC57" si="33">CZ4+DA4-DB4</f>
        <v>8</v>
      </c>
      <c r="DD4" s="128"/>
      <c r="DE4" s="128"/>
      <c r="DF4" s="215">
        <f t="shared" ref="DF4:DF57" si="34">DC4+DD4-DE4</f>
        <v>8</v>
      </c>
      <c r="DG4" s="128"/>
      <c r="DH4" s="128">
        <v>1</v>
      </c>
      <c r="DI4" s="128">
        <f t="shared" ref="DI4:DI57" si="35">DF4+DG4-DH4</f>
        <v>7</v>
      </c>
      <c r="DJ4" s="128"/>
      <c r="DK4" s="128"/>
      <c r="DL4" s="128">
        <f t="shared" ref="DL4:DL57" si="36">DI4+DJ4-DK4</f>
        <v>7</v>
      </c>
      <c r="DM4" s="128"/>
      <c r="DN4" s="128">
        <v>2</v>
      </c>
      <c r="DO4" s="215">
        <f t="shared" ref="DO4:DO57" si="37">DL4+DM4-DN4</f>
        <v>5</v>
      </c>
      <c r="DP4" s="128"/>
      <c r="DQ4" s="128"/>
      <c r="DR4" s="215">
        <f t="shared" ref="DR4:DR57" si="38">DO4+DP4-DQ4</f>
        <v>5</v>
      </c>
      <c r="DS4" s="128"/>
      <c r="DT4" s="128"/>
      <c r="DU4" s="215">
        <f t="shared" ref="DU4:DU57" si="39">DR4+DS4-DT4</f>
        <v>5</v>
      </c>
      <c r="DV4" s="128"/>
      <c r="DW4" s="128"/>
      <c r="DX4" s="215">
        <f t="shared" ref="DX4:DX57" si="40">DU4+DV4-DW4</f>
        <v>5</v>
      </c>
      <c r="DY4" s="128">
        <v>12</v>
      </c>
      <c r="DZ4" s="128">
        <v>4</v>
      </c>
      <c r="EA4" s="215">
        <f t="shared" ref="EA4:EA57" si="41">DX4+DY4-DZ4</f>
        <v>13</v>
      </c>
      <c r="EB4" s="128">
        <v>12</v>
      </c>
      <c r="EC4" s="128">
        <v>4</v>
      </c>
      <c r="ED4" s="215">
        <f t="shared" ref="ED4:ED57" si="42">EA4+EB4-EC4</f>
        <v>21</v>
      </c>
      <c r="EE4" s="128"/>
      <c r="EF4" s="128"/>
      <c r="EG4" s="215">
        <f t="shared" ref="EG4:EG59" si="43">ED4+EE4-EF4</f>
        <v>21</v>
      </c>
      <c r="EH4" s="128"/>
      <c r="EI4" s="128"/>
      <c r="EJ4" s="215">
        <f>EG4+EH4-EI4</f>
        <v>21</v>
      </c>
      <c r="EK4" s="128"/>
      <c r="EL4" s="128"/>
      <c r="EM4" s="215">
        <f t="shared" ref="EM4:EM47" si="44">EJ4+EK4-EL4</f>
        <v>21</v>
      </c>
      <c r="EN4" s="128"/>
      <c r="EO4" s="128">
        <v>2</v>
      </c>
      <c r="EP4" s="215">
        <f t="shared" ref="EP4:EP47" si="45">EM4+EN4-EO4</f>
        <v>19</v>
      </c>
      <c r="EQ4" s="128"/>
      <c r="ER4" s="128">
        <v>2</v>
      </c>
      <c r="ES4" s="128">
        <f t="shared" ref="ES4:ES65" si="46">EP4+EQ4-ER4</f>
        <v>17</v>
      </c>
      <c r="ET4" s="128"/>
      <c r="EU4" s="128"/>
      <c r="EV4" s="128">
        <f t="shared" ref="EV4:EV65" si="47">ES4+ET4-EU4</f>
        <v>17</v>
      </c>
      <c r="EW4" s="128"/>
      <c r="EX4" s="128"/>
      <c r="EY4" s="128">
        <f t="shared" ref="EY4:EY65" si="48">EV4+EW4-EX4</f>
        <v>17</v>
      </c>
      <c r="EZ4" s="128"/>
      <c r="FA4" s="128">
        <v>1</v>
      </c>
      <c r="FB4" s="128">
        <f t="shared" ref="FB4:FB65" si="49">EY4+EZ4-FA4</f>
        <v>16</v>
      </c>
      <c r="FC4" s="128"/>
      <c r="FD4" s="215"/>
      <c r="FE4" s="128">
        <f t="shared" ref="FE4:FE65" si="50">FB4+FC4-FD4</f>
        <v>16</v>
      </c>
      <c r="FF4" s="128"/>
      <c r="FG4" s="128"/>
      <c r="FH4" s="128">
        <f t="shared" ref="FH4:FH65" si="51">FE4+FF4-FG4</f>
        <v>16</v>
      </c>
      <c r="FI4" s="128"/>
      <c r="FJ4" s="128"/>
      <c r="FK4" s="128">
        <f t="shared" ref="FK4:FK65" si="52">FH4+FI4-FJ4</f>
        <v>16</v>
      </c>
      <c r="FL4" s="128"/>
      <c r="FM4" s="128"/>
      <c r="FN4" s="128">
        <f t="shared" si="28"/>
        <v>16</v>
      </c>
      <c r="FO4" s="128"/>
      <c r="FP4" s="128"/>
      <c r="FQ4" s="128">
        <f t="shared" ref="FQ4:FQ65" si="53">FN4+FO4-FP4</f>
        <v>16</v>
      </c>
      <c r="FR4" s="128"/>
      <c r="FS4" s="128"/>
      <c r="FT4" s="128">
        <f t="shared" ref="FT4:FT25" si="54">FQ4+FR4-FS4</f>
        <v>16</v>
      </c>
      <c r="FU4" s="128"/>
      <c r="FV4" s="128"/>
      <c r="FW4" s="128">
        <f t="shared" ref="FW4:FW65" si="55">FT4+FU4-FV4</f>
        <v>16</v>
      </c>
    </row>
    <row r="5" spans="1:195" ht="12.75" x14ac:dyDescent="0.2">
      <c r="A5" s="13" t="s">
        <v>79</v>
      </c>
      <c r="B5" s="29">
        <f>'INV. FEB'!BX5</f>
        <v>14</v>
      </c>
      <c r="C5" s="10">
        <v>0</v>
      </c>
      <c r="D5" s="10">
        <v>1</v>
      </c>
      <c r="E5" s="9">
        <f t="shared" si="0"/>
        <v>13</v>
      </c>
      <c r="F5" s="10">
        <v>0</v>
      </c>
      <c r="G5" s="10">
        <v>0</v>
      </c>
      <c r="H5" s="9">
        <f t="shared" si="1"/>
        <v>13</v>
      </c>
      <c r="I5" s="10">
        <v>0</v>
      </c>
      <c r="J5" s="10">
        <v>0</v>
      </c>
      <c r="K5" s="9">
        <f t="shared" si="2"/>
        <v>13</v>
      </c>
      <c r="L5" s="10">
        <v>0</v>
      </c>
      <c r="M5" s="10">
        <v>0</v>
      </c>
      <c r="N5" s="9">
        <f t="shared" si="3"/>
        <v>13</v>
      </c>
      <c r="O5" s="10">
        <v>0</v>
      </c>
      <c r="P5" s="10">
        <v>0</v>
      </c>
      <c r="Q5" s="9">
        <f t="shared" si="4"/>
        <v>13</v>
      </c>
      <c r="R5" s="10">
        <v>0</v>
      </c>
      <c r="S5" s="10">
        <v>0</v>
      </c>
      <c r="T5" s="9">
        <f t="shared" si="5"/>
        <v>13</v>
      </c>
      <c r="U5" s="10">
        <v>0</v>
      </c>
      <c r="V5" s="10">
        <v>0</v>
      </c>
      <c r="W5" s="9">
        <f t="shared" si="6"/>
        <v>13</v>
      </c>
      <c r="X5" s="10">
        <v>0</v>
      </c>
      <c r="Y5" s="10">
        <v>0</v>
      </c>
      <c r="Z5" s="9">
        <f t="shared" si="7"/>
        <v>13</v>
      </c>
      <c r="AA5" s="78">
        <v>0</v>
      </c>
      <c r="AB5" s="78">
        <v>0</v>
      </c>
      <c r="AC5" s="18">
        <f t="shared" si="8"/>
        <v>13</v>
      </c>
      <c r="AD5" s="78">
        <v>0</v>
      </c>
      <c r="AE5" s="78">
        <v>0</v>
      </c>
      <c r="AF5" s="18">
        <f t="shared" si="9"/>
        <v>13</v>
      </c>
      <c r="AG5" s="78">
        <v>0</v>
      </c>
      <c r="AH5" s="78">
        <v>0</v>
      </c>
      <c r="AI5" s="18">
        <f t="shared" si="10"/>
        <v>13</v>
      </c>
      <c r="AJ5" s="78">
        <v>0</v>
      </c>
      <c r="AK5" s="78">
        <v>0</v>
      </c>
      <c r="AL5" s="18">
        <f t="shared" si="11"/>
        <v>13</v>
      </c>
      <c r="AM5" s="78">
        <v>0</v>
      </c>
      <c r="AN5" s="78">
        <v>0</v>
      </c>
      <c r="AO5" s="18">
        <f t="shared" si="12"/>
        <v>13</v>
      </c>
      <c r="AP5" s="78">
        <v>0</v>
      </c>
      <c r="AQ5" s="78">
        <v>0</v>
      </c>
      <c r="AR5" s="18">
        <f t="shared" si="13"/>
        <v>13</v>
      </c>
      <c r="AS5" s="79">
        <v>0</v>
      </c>
      <c r="AT5" s="80">
        <v>1</v>
      </c>
      <c r="AU5" s="18">
        <f t="shared" si="14"/>
        <v>12</v>
      </c>
      <c r="AV5" s="79">
        <v>0</v>
      </c>
      <c r="AW5" s="79">
        <v>0</v>
      </c>
      <c r="AX5" s="18">
        <f t="shared" si="15"/>
        <v>12</v>
      </c>
      <c r="AY5" s="79">
        <v>0</v>
      </c>
      <c r="AZ5" s="79">
        <v>6</v>
      </c>
      <c r="BA5" s="18">
        <f t="shared" si="16"/>
        <v>6</v>
      </c>
      <c r="BB5" s="79">
        <v>0</v>
      </c>
      <c r="BC5" s="79">
        <v>1</v>
      </c>
      <c r="BD5" s="18">
        <f t="shared" si="17"/>
        <v>5</v>
      </c>
      <c r="BE5" s="79">
        <v>0</v>
      </c>
      <c r="BF5" s="79">
        <v>1</v>
      </c>
      <c r="BG5" s="18">
        <f t="shared" si="18"/>
        <v>4</v>
      </c>
      <c r="BH5" s="79">
        <v>0</v>
      </c>
      <c r="BI5" s="79">
        <v>1</v>
      </c>
      <c r="BJ5" s="18">
        <f t="shared" si="19"/>
        <v>3</v>
      </c>
      <c r="BK5" s="79">
        <v>0</v>
      </c>
      <c r="BL5" s="79">
        <v>0</v>
      </c>
      <c r="BM5" s="18">
        <f t="shared" si="20"/>
        <v>3</v>
      </c>
      <c r="BN5" s="79">
        <v>0</v>
      </c>
      <c r="BO5" s="79">
        <v>0</v>
      </c>
      <c r="BP5" s="18">
        <f t="shared" si="21"/>
        <v>3</v>
      </c>
      <c r="BQ5" s="79">
        <v>0</v>
      </c>
      <c r="BR5" s="79">
        <v>2</v>
      </c>
      <c r="BS5" s="18">
        <f t="shared" si="22"/>
        <v>1</v>
      </c>
      <c r="BT5" s="79">
        <v>0</v>
      </c>
      <c r="BU5" s="79">
        <v>3</v>
      </c>
      <c r="BV5" s="18">
        <f t="shared" si="23"/>
        <v>-2</v>
      </c>
      <c r="BW5" s="79">
        <v>12</v>
      </c>
      <c r="BX5" s="79">
        <v>1</v>
      </c>
      <c r="BY5" s="18">
        <f t="shared" si="24"/>
        <v>9</v>
      </c>
      <c r="BZ5" s="79">
        <v>0</v>
      </c>
      <c r="CA5" s="79">
        <v>0</v>
      </c>
      <c r="CB5" s="18">
        <f t="shared" si="25"/>
        <v>9</v>
      </c>
      <c r="CC5" s="79">
        <v>0</v>
      </c>
      <c r="CD5" s="79">
        <v>0</v>
      </c>
      <c r="CE5" s="18">
        <f t="shared" si="26"/>
        <v>9</v>
      </c>
      <c r="CF5" s="79">
        <v>0</v>
      </c>
      <c r="CG5" s="79">
        <v>0</v>
      </c>
      <c r="CH5" s="18">
        <f t="shared" si="27"/>
        <v>9</v>
      </c>
      <c r="CI5" s="79">
        <v>0</v>
      </c>
      <c r="CJ5" s="79">
        <v>0</v>
      </c>
      <c r="CK5" s="79">
        <f t="shared" si="29"/>
        <v>9</v>
      </c>
      <c r="CL5" s="79">
        <v>0</v>
      </c>
      <c r="CM5" s="79">
        <v>2</v>
      </c>
      <c r="CN5" s="80">
        <f t="shared" si="30"/>
        <v>7</v>
      </c>
      <c r="CO5" s="79">
        <v>0</v>
      </c>
      <c r="CP5" s="79">
        <v>0</v>
      </c>
      <c r="CQ5" s="125">
        <f t="shared" ref="CQ5:CQ57" si="56">CN5+CO5-CP5</f>
        <v>7</v>
      </c>
      <c r="CR5" s="128">
        <v>0</v>
      </c>
      <c r="CS5" s="128">
        <v>0</v>
      </c>
      <c r="CT5" s="128">
        <v>6</v>
      </c>
      <c r="CU5" s="128">
        <v>0</v>
      </c>
      <c r="CV5" s="128">
        <v>0</v>
      </c>
      <c r="CW5" s="128">
        <f t="shared" si="31"/>
        <v>6</v>
      </c>
      <c r="CX5" s="128"/>
      <c r="CY5" s="128"/>
      <c r="CZ5" s="128">
        <f t="shared" si="32"/>
        <v>6</v>
      </c>
      <c r="DA5" s="128"/>
      <c r="DB5" s="128"/>
      <c r="DC5" s="128">
        <f t="shared" si="33"/>
        <v>6</v>
      </c>
      <c r="DD5" s="128"/>
      <c r="DE5" s="128"/>
      <c r="DF5" s="215">
        <f t="shared" si="34"/>
        <v>6</v>
      </c>
      <c r="DG5" s="128"/>
      <c r="DH5" s="128">
        <v>1</v>
      </c>
      <c r="DI5" s="128">
        <f t="shared" si="35"/>
        <v>5</v>
      </c>
      <c r="DJ5" s="128">
        <v>12</v>
      </c>
      <c r="DK5" s="128">
        <v>2</v>
      </c>
      <c r="DL5" s="128">
        <f t="shared" si="36"/>
        <v>15</v>
      </c>
      <c r="DM5" s="128"/>
      <c r="DN5" s="128">
        <v>1</v>
      </c>
      <c r="DO5" s="215">
        <f t="shared" si="37"/>
        <v>14</v>
      </c>
      <c r="DP5" s="128"/>
      <c r="DQ5" s="128">
        <v>2</v>
      </c>
      <c r="DR5" s="215">
        <f t="shared" si="38"/>
        <v>12</v>
      </c>
      <c r="DS5" s="128"/>
      <c r="DT5" s="128">
        <v>1</v>
      </c>
      <c r="DU5" s="215">
        <f t="shared" si="39"/>
        <v>11</v>
      </c>
      <c r="DV5" s="128"/>
      <c r="DW5" s="128"/>
      <c r="DX5" s="215">
        <f t="shared" si="40"/>
        <v>11</v>
      </c>
      <c r="DY5" s="128"/>
      <c r="DZ5" s="128"/>
      <c r="EA5" s="215">
        <f t="shared" si="41"/>
        <v>11</v>
      </c>
      <c r="EB5" s="128"/>
      <c r="EC5" s="128"/>
      <c r="ED5" s="215">
        <f t="shared" si="42"/>
        <v>11</v>
      </c>
      <c r="EE5" s="128"/>
      <c r="EF5" s="128"/>
      <c r="EG5" s="215">
        <f t="shared" si="43"/>
        <v>11</v>
      </c>
      <c r="EH5" s="128"/>
      <c r="EI5" s="128"/>
      <c r="EJ5" s="215">
        <f t="shared" ref="EJ5:EJ65" si="57">EG5+EH5-EI5</f>
        <v>11</v>
      </c>
      <c r="EK5" s="128"/>
      <c r="EL5" s="128"/>
      <c r="EM5" s="215">
        <f t="shared" si="44"/>
        <v>11</v>
      </c>
      <c r="EN5" s="128"/>
      <c r="EO5" s="128"/>
      <c r="EP5" s="215">
        <f t="shared" si="45"/>
        <v>11</v>
      </c>
      <c r="EQ5" s="128"/>
      <c r="ER5" s="128">
        <v>2</v>
      </c>
      <c r="ES5" s="128">
        <f t="shared" si="46"/>
        <v>9</v>
      </c>
      <c r="ET5" s="128"/>
      <c r="EU5" s="128"/>
      <c r="EV5" s="128">
        <f t="shared" si="47"/>
        <v>9</v>
      </c>
      <c r="EW5" s="128"/>
      <c r="EX5" s="128">
        <v>1</v>
      </c>
      <c r="EY5" s="128">
        <f t="shared" si="48"/>
        <v>8</v>
      </c>
      <c r="EZ5" s="128"/>
      <c r="FA5" s="128"/>
      <c r="FB5" s="128">
        <f t="shared" si="49"/>
        <v>8</v>
      </c>
      <c r="FC5" s="128"/>
      <c r="FD5" s="215"/>
      <c r="FE5" s="128">
        <f t="shared" si="50"/>
        <v>8</v>
      </c>
      <c r="FF5" s="128"/>
      <c r="FG5" s="128"/>
      <c r="FH5" s="128">
        <f t="shared" si="51"/>
        <v>8</v>
      </c>
      <c r="FI5" s="128"/>
      <c r="FJ5" s="128"/>
      <c r="FK5" s="128">
        <f t="shared" si="52"/>
        <v>8</v>
      </c>
      <c r="FL5" s="128"/>
      <c r="FM5" s="128"/>
      <c r="FN5" s="128">
        <f t="shared" si="28"/>
        <v>8</v>
      </c>
      <c r="FO5" s="128"/>
      <c r="FP5" s="128"/>
      <c r="FQ5" s="128">
        <f t="shared" si="53"/>
        <v>8</v>
      </c>
      <c r="FR5" s="128"/>
      <c r="FS5" s="128"/>
      <c r="FT5" s="128">
        <f t="shared" si="54"/>
        <v>8</v>
      </c>
      <c r="FU5" s="128"/>
      <c r="FV5" s="128"/>
      <c r="FW5" s="128">
        <f t="shared" si="55"/>
        <v>8</v>
      </c>
    </row>
    <row r="6" spans="1:195" ht="12.75" x14ac:dyDescent="0.2">
      <c r="A6" s="5" t="s">
        <v>80</v>
      </c>
      <c r="B6" s="29">
        <f>'INV. FEB'!BX6</f>
        <v>3</v>
      </c>
      <c r="C6" s="10">
        <v>0</v>
      </c>
      <c r="D6" s="10">
        <v>2</v>
      </c>
      <c r="E6" s="9">
        <f t="shared" si="0"/>
        <v>1</v>
      </c>
      <c r="F6" s="10">
        <v>0</v>
      </c>
      <c r="G6" s="10">
        <v>0</v>
      </c>
      <c r="H6" s="9">
        <f t="shared" si="1"/>
        <v>1</v>
      </c>
      <c r="I6" s="10">
        <v>3</v>
      </c>
      <c r="J6" s="10">
        <v>0</v>
      </c>
      <c r="K6" s="9">
        <f t="shared" si="2"/>
        <v>4</v>
      </c>
      <c r="L6" s="10">
        <v>0</v>
      </c>
      <c r="M6" s="10">
        <v>0</v>
      </c>
      <c r="N6" s="9">
        <f t="shared" si="3"/>
        <v>4</v>
      </c>
      <c r="O6" s="10">
        <v>0</v>
      </c>
      <c r="P6" s="10">
        <v>0</v>
      </c>
      <c r="Q6" s="9">
        <f t="shared" si="4"/>
        <v>4</v>
      </c>
      <c r="R6" s="10">
        <v>0</v>
      </c>
      <c r="S6" s="10">
        <v>0</v>
      </c>
      <c r="T6" s="9">
        <f t="shared" si="5"/>
        <v>4</v>
      </c>
      <c r="U6" s="10">
        <v>0</v>
      </c>
      <c r="V6" s="10">
        <v>0</v>
      </c>
      <c r="W6" s="9">
        <f t="shared" si="6"/>
        <v>4</v>
      </c>
      <c r="X6" s="10">
        <v>0</v>
      </c>
      <c r="Y6" s="10">
        <v>0</v>
      </c>
      <c r="Z6" s="9">
        <f t="shared" si="7"/>
        <v>4</v>
      </c>
      <c r="AA6" s="78">
        <v>0</v>
      </c>
      <c r="AB6" s="78">
        <v>0</v>
      </c>
      <c r="AC6" s="18">
        <f t="shared" si="8"/>
        <v>4</v>
      </c>
      <c r="AD6" s="78">
        <v>0</v>
      </c>
      <c r="AE6" s="78">
        <v>0</v>
      </c>
      <c r="AF6" s="18">
        <f t="shared" si="9"/>
        <v>4</v>
      </c>
      <c r="AG6" s="78">
        <v>0</v>
      </c>
      <c r="AH6" s="78">
        <v>0</v>
      </c>
      <c r="AI6" s="18">
        <f t="shared" si="10"/>
        <v>4</v>
      </c>
      <c r="AJ6" s="78">
        <v>0</v>
      </c>
      <c r="AK6" s="78">
        <v>0</v>
      </c>
      <c r="AL6" s="18">
        <f t="shared" si="11"/>
        <v>4</v>
      </c>
      <c r="AM6" s="78">
        <v>0</v>
      </c>
      <c r="AN6" s="78">
        <v>0</v>
      </c>
      <c r="AO6" s="18">
        <f t="shared" si="12"/>
        <v>4</v>
      </c>
      <c r="AP6" s="78">
        <v>0</v>
      </c>
      <c r="AQ6" s="78">
        <v>0</v>
      </c>
      <c r="AR6" s="18">
        <f t="shared" si="13"/>
        <v>4</v>
      </c>
      <c r="AS6" s="79">
        <v>0</v>
      </c>
      <c r="AT6" s="80">
        <v>1</v>
      </c>
      <c r="AU6" s="18">
        <f t="shared" si="14"/>
        <v>3</v>
      </c>
      <c r="AV6" s="79">
        <v>0</v>
      </c>
      <c r="AW6" s="79">
        <v>0</v>
      </c>
      <c r="AX6" s="18">
        <f t="shared" si="15"/>
        <v>3</v>
      </c>
      <c r="AY6" s="79">
        <v>0</v>
      </c>
      <c r="AZ6" s="79">
        <v>0</v>
      </c>
      <c r="BA6" s="18">
        <f t="shared" si="16"/>
        <v>3</v>
      </c>
      <c r="BB6" s="79">
        <v>0</v>
      </c>
      <c r="BC6" s="79">
        <v>0</v>
      </c>
      <c r="BD6" s="18">
        <f t="shared" si="17"/>
        <v>3</v>
      </c>
      <c r="BE6" s="79">
        <v>0</v>
      </c>
      <c r="BF6" s="79">
        <v>0</v>
      </c>
      <c r="BG6" s="18">
        <f t="shared" si="18"/>
        <v>3</v>
      </c>
      <c r="BH6" s="79">
        <v>0</v>
      </c>
      <c r="BI6" s="79">
        <v>0</v>
      </c>
      <c r="BJ6" s="18">
        <f t="shared" si="19"/>
        <v>3</v>
      </c>
      <c r="BK6" s="79">
        <v>0</v>
      </c>
      <c r="BL6" s="79">
        <v>0</v>
      </c>
      <c r="BM6" s="18">
        <f t="shared" si="20"/>
        <v>3</v>
      </c>
      <c r="BN6" s="79">
        <v>0</v>
      </c>
      <c r="BO6" s="79">
        <v>0</v>
      </c>
      <c r="BP6" s="18">
        <f t="shared" si="21"/>
        <v>3</v>
      </c>
      <c r="BQ6" s="79">
        <v>0</v>
      </c>
      <c r="BR6" s="79">
        <v>0</v>
      </c>
      <c r="BS6" s="18">
        <f t="shared" si="22"/>
        <v>3</v>
      </c>
      <c r="BT6" s="79">
        <v>0</v>
      </c>
      <c r="BU6" s="79">
        <v>0</v>
      </c>
      <c r="BV6" s="18">
        <f t="shared" si="23"/>
        <v>3</v>
      </c>
      <c r="BW6" s="79">
        <v>0</v>
      </c>
      <c r="BX6" s="79">
        <v>3</v>
      </c>
      <c r="BY6" s="18">
        <f t="shared" si="24"/>
        <v>0</v>
      </c>
      <c r="BZ6" s="79">
        <v>3</v>
      </c>
      <c r="CA6" s="79">
        <v>0</v>
      </c>
      <c r="CB6" s="18">
        <f t="shared" si="25"/>
        <v>3</v>
      </c>
      <c r="CC6" s="79">
        <v>0</v>
      </c>
      <c r="CD6" s="79">
        <v>0</v>
      </c>
      <c r="CE6" s="18">
        <v>3</v>
      </c>
      <c r="CF6" s="79">
        <v>0</v>
      </c>
      <c r="CG6" s="79">
        <v>0</v>
      </c>
      <c r="CH6" s="18">
        <f t="shared" si="27"/>
        <v>3</v>
      </c>
      <c r="CI6" s="79">
        <v>0</v>
      </c>
      <c r="CJ6" s="79">
        <v>0</v>
      </c>
      <c r="CK6" s="79">
        <f t="shared" si="29"/>
        <v>3</v>
      </c>
      <c r="CL6" s="79">
        <v>0</v>
      </c>
      <c r="CM6" s="79">
        <v>0</v>
      </c>
      <c r="CN6" s="80">
        <f t="shared" si="30"/>
        <v>3</v>
      </c>
      <c r="CO6" s="79">
        <v>0</v>
      </c>
      <c r="CP6" s="79">
        <v>0</v>
      </c>
      <c r="CQ6" s="125">
        <f t="shared" si="56"/>
        <v>3</v>
      </c>
      <c r="CR6" s="128">
        <v>0</v>
      </c>
      <c r="CS6" s="128">
        <v>0</v>
      </c>
      <c r="CT6" s="128">
        <f t="shared" ref="CT6:CT57" si="58">CQ6+CR6-CS6</f>
        <v>3</v>
      </c>
      <c r="CU6" s="128">
        <v>0</v>
      </c>
      <c r="CV6" s="128">
        <v>0</v>
      </c>
      <c r="CW6" s="128">
        <f t="shared" si="31"/>
        <v>3</v>
      </c>
      <c r="CX6" s="128"/>
      <c r="CY6" s="128"/>
      <c r="CZ6" s="128">
        <f t="shared" si="32"/>
        <v>3</v>
      </c>
      <c r="DA6" s="128"/>
      <c r="DB6" s="128"/>
      <c r="DC6" s="128">
        <f t="shared" si="33"/>
        <v>3</v>
      </c>
      <c r="DD6" s="128"/>
      <c r="DE6" s="128"/>
      <c r="DF6" s="215">
        <f t="shared" si="34"/>
        <v>3</v>
      </c>
      <c r="DG6" s="128"/>
      <c r="DH6" s="128"/>
      <c r="DI6" s="128">
        <f t="shared" si="35"/>
        <v>3</v>
      </c>
      <c r="DJ6" s="128"/>
      <c r="DK6" s="128"/>
      <c r="DL6" s="128">
        <f t="shared" si="36"/>
        <v>3</v>
      </c>
      <c r="DM6" s="128"/>
      <c r="DN6" s="128"/>
      <c r="DO6" s="215">
        <f t="shared" si="37"/>
        <v>3</v>
      </c>
      <c r="DP6" s="128"/>
      <c r="DQ6" s="128"/>
      <c r="DR6" s="215">
        <f t="shared" si="38"/>
        <v>3</v>
      </c>
      <c r="DS6" s="128"/>
      <c r="DT6" s="128"/>
      <c r="DU6" s="215">
        <f t="shared" si="39"/>
        <v>3</v>
      </c>
      <c r="DV6" s="128"/>
      <c r="DW6" s="128"/>
      <c r="DX6" s="215">
        <f t="shared" si="40"/>
        <v>3</v>
      </c>
      <c r="DY6" s="128"/>
      <c r="DZ6" s="128"/>
      <c r="EA6" s="215">
        <f t="shared" si="41"/>
        <v>3</v>
      </c>
      <c r="EB6" s="128"/>
      <c r="EC6" s="128"/>
      <c r="ED6" s="215">
        <f t="shared" si="42"/>
        <v>3</v>
      </c>
      <c r="EE6" s="128"/>
      <c r="EF6" s="128"/>
      <c r="EG6" s="215">
        <f t="shared" si="43"/>
        <v>3</v>
      </c>
      <c r="EH6" s="128"/>
      <c r="EI6" s="128"/>
      <c r="EJ6" s="215">
        <f t="shared" si="57"/>
        <v>3</v>
      </c>
      <c r="EK6" s="128"/>
      <c r="EL6" s="128"/>
      <c r="EM6" s="215">
        <f t="shared" si="44"/>
        <v>3</v>
      </c>
      <c r="EN6" s="128"/>
      <c r="EO6" s="128"/>
      <c r="EP6" s="215">
        <f t="shared" si="45"/>
        <v>3</v>
      </c>
      <c r="EQ6" s="128"/>
      <c r="ER6" s="128"/>
      <c r="ES6" s="128">
        <f t="shared" si="46"/>
        <v>3</v>
      </c>
      <c r="ET6" s="128"/>
      <c r="EU6" s="128"/>
      <c r="EV6" s="128">
        <f t="shared" si="47"/>
        <v>3</v>
      </c>
      <c r="EW6" s="128"/>
      <c r="EX6" s="128"/>
      <c r="EY6" s="128">
        <f t="shared" si="48"/>
        <v>3</v>
      </c>
      <c r="EZ6" s="128"/>
      <c r="FA6" s="128"/>
      <c r="FB6" s="128">
        <f t="shared" si="49"/>
        <v>3</v>
      </c>
      <c r="FC6" s="128"/>
      <c r="FD6" s="215"/>
      <c r="FE6" s="128">
        <f t="shared" si="50"/>
        <v>3</v>
      </c>
      <c r="FF6" s="128"/>
      <c r="FG6" s="128"/>
      <c r="FH6" s="128">
        <f t="shared" si="51"/>
        <v>3</v>
      </c>
      <c r="FI6" s="128"/>
      <c r="FJ6" s="128"/>
      <c r="FK6" s="128">
        <f t="shared" si="52"/>
        <v>3</v>
      </c>
      <c r="FL6" s="128"/>
      <c r="FM6" s="128"/>
      <c r="FN6" s="128">
        <f t="shared" si="28"/>
        <v>3</v>
      </c>
      <c r="FO6" s="128"/>
      <c r="FP6" s="128"/>
      <c r="FQ6" s="128">
        <f t="shared" si="53"/>
        <v>3</v>
      </c>
      <c r="FR6" s="128"/>
      <c r="FS6" s="128"/>
      <c r="FT6" s="128">
        <f t="shared" si="54"/>
        <v>3</v>
      </c>
      <c r="FU6" s="128"/>
      <c r="FV6" s="128"/>
      <c r="FW6" s="128">
        <f t="shared" si="55"/>
        <v>3</v>
      </c>
    </row>
    <row r="7" spans="1:195" ht="12.75" x14ac:dyDescent="0.2">
      <c r="A7" s="13" t="s">
        <v>81</v>
      </c>
      <c r="B7" s="29">
        <f>'INV. FEB'!BX7</f>
        <v>1</v>
      </c>
      <c r="C7" s="10">
        <v>0</v>
      </c>
      <c r="D7" s="10">
        <v>0</v>
      </c>
      <c r="E7" s="9">
        <f t="shared" si="0"/>
        <v>1</v>
      </c>
      <c r="F7" s="10">
        <v>0</v>
      </c>
      <c r="G7" s="10">
        <v>0</v>
      </c>
      <c r="H7" s="9">
        <f t="shared" si="1"/>
        <v>1</v>
      </c>
      <c r="I7" s="10">
        <v>0</v>
      </c>
      <c r="J7" s="10">
        <v>0</v>
      </c>
      <c r="K7" s="9">
        <f t="shared" si="2"/>
        <v>1</v>
      </c>
      <c r="L7" s="10">
        <v>0</v>
      </c>
      <c r="M7" s="10">
        <v>0</v>
      </c>
      <c r="N7" s="9">
        <f t="shared" si="3"/>
        <v>1</v>
      </c>
      <c r="O7" s="10">
        <v>0</v>
      </c>
      <c r="P7" s="10">
        <v>0</v>
      </c>
      <c r="Q7" s="9">
        <f t="shared" si="4"/>
        <v>1</v>
      </c>
      <c r="R7" s="10">
        <v>0</v>
      </c>
      <c r="S7" s="10">
        <v>0</v>
      </c>
      <c r="T7" s="9">
        <f t="shared" si="5"/>
        <v>1</v>
      </c>
      <c r="U7" s="10">
        <v>0</v>
      </c>
      <c r="V7" s="10">
        <v>0</v>
      </c>
      <c r="W7" s="9">
        <f t="shared" si="6"/>
        <v>1</v>
      </c>
      <c r="X7" s="10">
        <v>0</v>
      </c>
      <c r="Y7" s="10">
        <v>0</v>
      </c>
      <c r="Z7" s="9">
        <f t="shared" si="7"/>
        <v>1</v>
      </c>
      <c r="AA7" s="78">
        <v>0</v>
      </c>
      <c r="AB7" s="78">
        <v>0</v>
      </c>
      <c r="AC7" s="18">
        <f t="shared" si="8"/>
        <v>1</v>
      </c>
      <c r="AD7" s="78">
        <v>0</v>
      </c>
      <c r="AE7" s="78">
        <v>0</v>
      </c>
      <c r="AF7" s="18">
        <f t="shared" si="9"/>
        <v>1</v>
      </c>
      <c r="AG7" s="78">
        <v>0</v>
      </c>
      <c r="AH7" s="78">
        <v>0</v>
      </c>
      <c r="AI7" s="18">
        <f t="shared" si="10"/>
        <v>1</v>
      </c>
      <c r="AJ7" s="78">
        <v>0</v>
      </c>
      <c r="AK7" s="78">
        <v>0</v>
      </c>
      <c r="AL7" s="18">
        <f t="shared" si="11"/>
        <v>1</v>
      </c>
      <c r="AM7" s="78">
        <v>0</v>
      </c>
      <c r="AN7" s="78">
        <v>0</v>
      </c>
      <c r="AO7" s="18">
        <f t="shared" si="12"/>
        <v>1</v>
      </c>
      <c r="AP7" s="78">
        <v>0</v>
      </c>
      <c r="AQ7" s="78">
        <v>0</v>
      </c>
      <c r="AR7" s="18">
        <f t="shared" si="13"/>
        <v>1</v>
      </c>
      <c r="AS7" s="79">
        <v>0</v>
      </c>
      <c r="AT7" s="79">
        <v>0</v>
      </c>
      <c r="AU7" s="18">
        <f t="shared" si="14"/>
        <v>1</v>
      </c>
      <c r="AV7" s="79">
        <v>0</v>
      </c>
      <c r="AW7" s="79">
        <v>0</v>
      </c>
      <c r="AX7" s="18">
        <f t="shared" si="15"/>
        <v>1</v>
      </c>
      <c r="AY7" s="79">
        <v>0</v>
      </c>
      <c r="AZ7" s="79">
        <v>0</v>
      </c>
      <c r="BA7" s="18">
        <f t="shared" si="16"/>
        <v>1</v>
      </c>
      <c r="BB7" s="79">
        <v>0</v>
      </c>
      <c r="BC7" s="79">
        <v>0</v>
      </c>
      <c r="BD7" s="18">
        <f t="shared" si="17"/>
        <v>1</v>
      </c>
      <c r="BE7" s="79">
        <v>0</v>
      </c>
      <c r="BF7" s="79">
        <v>0</v>
      </c>
      <c r="BG7" s="18">
        <f t="shared" si="18"/>
        <v>1</v>
      </c>
      <c r="BH7" s="79">
        <v>0</v>
      </c>
      <c r="BI7" s="79">
        <v>0</v>
      </c>
      <c r="BJ7" s="18">
        <f t="shared" si="19"/>
        <v>1</v>
      </c>
      <c r="BK7" s="79">
        <v>0</v>
      </c>
      <c r="BL7" s="79">
        <v>0</v>
      </c>
      <c r="BM7" s="18">
        <f t="shared" si="20"/>
        <v>1</v>
      </c>
      <c r="BN7" s="79">
        <v>0</v>
      </c>
      <c r="BO7" s="79">
        <v>0</v>
      </c>
      <c r="BP7" s="18">
        <f t="shared" si="21"/>
        <v>1</v>
      </c>
      <c r="BQ7" s="79">
        <v>0</v>
      </c>
      <c r="BR7" s="79">
        <v>0</v>
      </c>
      <c r="BS7" s="18">
        <f t="shared" si="22"/>
        <v>1</v>
      </c>
      <c r="BT7" s="79">
        <v>0</v>
      </c>
      <c r="BU7" s="79">
        <v>0</v>
      </c>
      <c r="BV7" s="18">
        <f t="shared" si="23"/>
        <v>1</v>
      </c>
      <c r="BW7" s="79">
        <v>0</v>
      </c>
      <c r="BX7" s="79">
        <v>0</v>
      </c>
      <c r="BY7" s="18">
        <f t="shared" si="24"/>
        <v>1</v>
      </c>
      <c r="BZ7" s="79">
        <v>0</v>
      </c>
      <c r="CA7" s="79">
        <v>0</v>
      </c>
      <c r="CB7" s="18">
        <f t="shared" si="25"/>
        <v>1</v>
      </c>
      <c r="CC7" s="79">
        <v>0</v>
      </c>
      <c r="CD7" s="79">
        <v>0</v>
      </c>
      <c r="CE7" s="18">
        <v>1</v>
      </c>
      <c r="CF7" s="79">
        <v>0</v>
      </c>
      <c r="CG7" s="79">
        <v>0</v>
      </c>
      <c r="CH7" s="18">
        <f t="shared" si="27"/>
        <v>1</v>
      </c>
      <c r="CI7" s="79">
        <v>0</v>
      </c>
      <c r="CJ7" s="79">
        <v>0</v>
      </c>
      <c r="CK7" s="79">
        <f t="shared" si="29"/>
        <v>1</v>
      </c>
      <c r="CL7" s="79">
        <v>0</v>
      </c>
      <c r="CM7" s="79">
        <v>0</v>
      </c>
      <c r="CN7" s="80">
        <f t="shared" si="30"/>
        <v>1</v>
      </c>
      <c r="CO7" s="79">
        <v>0</v>
      </c>
      <c r="CP7" s="79">
        <v>0</v>
      </c>
      <c r="CQ7" s="125">
        <f t="shared" si="56"/>
        <v>1</v>
      </c>
      <c r="CR7" s="128">
        <v>0</v>
      </c>
      <c r="CS7" s="128">
        <v>0</v>
      </c>
      <c r="CT7" s="128">
        <f t="shared" si="58"/>
        <v>1</v>
      </c>
      <c r="CU7" s="128">
        <v>0</v>
      </c>
      <c r="CV7" s="128">
        <v>0</v>
      </c>
      <c r="CW7" s="128">
        <f t="shared" si="31"/>
        <v>1</v>
      </c>
      <c r="CX7" s="128"/>
      <c r="CY7" s="128"/>
      <c r="CZ7" s="128">
        <f t="shared" si="32"/>
        <v>1</v>
      </c>
      <c r="DA7" s="128"/>
      <c r="DB7" s="128"/>
      <c r="DC7" s="128">
        <f t="shared" si="33"/>
        <v>1</v>
      </c>
      <c r="DD7" s="128"/>
      <c r="DE7" s="128"/>
      <c r="DF7" s="215">
        <f t="shared" si="34"/>
        <v>1</v>
      </c>
      <c r="DG7" s="128"/>
      <c r="DH7" s="128"/>
      <c r="DI7" s="128">
        <f t="shared" si="35"/>
        <v>1</v>
      </c>
      <c r="DJ7" s="128"/>
      <c r="DK7" s="128"/>
      <c r="DL7" s="128">
        <f t="shared" si="36"/>
        <v>1</v>
      </c>
      <c r="DM7" s="128"/>
      <c r="DN7" s="128"/>
      <c r="DO7" s="215">
        <f t="shared" si="37"/>
        <v>1</v>
      </c>
      <c r="DP7" s="128"/>
      <c r="DQ7" s="128"/>
      <c r="DR7" s="215">
        <f t="shared" si="38"/>
        <v>1</v>
      </c>
      <c r="DS7" s="128"/>
      <c r="DT7" s="128"/>
      <c r="DU7" s="215">
        <f t="shared" si="39"/>
        <v>1</v>
      </c>
      <c r="DV7" s="128"/>
      <c r="DW7" s="128"/>
      <c r="DX7" s="215">
        <f t="shared" si="40"/>
        <v>1</v>
      </c>
      <c r="DY7" s="128"/>
      <c r="DZ7" s="128"/>
      <c r="EA7" s="215">
        <f t="shared" si="41"/>
        <v>1</v>
      </c>
      <c r="EB7" s="128"/>
      <c r="EC7" s="128"/>
      <c r="ED7" s="215">
        <f t="shared" si="42"/>
        <v>1</v>
      </c>
      <c r="EE7" s="128"/>
      <c r="EF7" s="128"/>
      <c r="EG7" s="215">
        <f t="shared" si="43"/>
        <v>1</v>
      </c>
      <c r="EH7" s="128"/>
      <c r="EI7" s="128"/>
      <c r="EJ7" s="215">
        <f t="shared" si="57"/>
        <v>1</v>
      </c>
      <c r="EK7" s="128"/>
      <c r="EL7" s="128"/>
      <c r="EM7" s="215">
        <f t="shared" si="44"/>
        <v>1</v>
      </c>
      <c r="EN7" s="128"/>
      <c r="EO7" s="128"/>
      <c r="EP7" s="215">
        <f t="shared" si="45"/>
        <v>1</v>
      </c>
      <c r="EQ7" s="128"/>
      <c r="ER7" s="128"/>
      <c r="ES7" s="128">
        <f t="shared" si="46"/>
        <v>1</v>
      </c>
      <c r="ET7" s="128"/>
      <c r="EU7" s="128"/>
      <c r="EV7" s="128">
        <f t="shared" si="47"/>
        <v>1</v>
      </c>
      <c r="EW7" s="128"/>
      <c r="EX7" s="128"/>
      <c r="EY7" s="128">
        <f t="shared" si="48"/>
        <v>1</v>
      </c>
      <c r="EZ7" s="128"/>
      <c r="FA7" s="128"/>
      <c r="FB7" s="128">
        <f t="shared" si="49"/>
        <v>1</v>
      </c>
      <c r="FC7" s="128"/>
      <c r="FD7" s="215"/>
      <c r="FE7" s="128">
        <f t="shared" si="50"/>
        <v>1</v>
      </c>
      <c r="FF7" s="128"/>
      <c r="FG7" s="128"/>
      <c r="FH7" s="128">
        <f t="shared" si="51"/>
        <v>1</v>
      </c>
      <c r="FI7" s="128"/>
      <c r="FJ7" s="128"/>
      <c r="FK7" s="128">
        <f t="shared" si="52"/>
        <v>1</v>
      </c>
      <c r="FL7" s="128"/>
      <c r="FM7" s="128"/>
      <c r="FN7" s="128">
        <f t="shared" si="28"/>
        <v>1</v>
      </c>
      <c r="FO7" s="128"/>
      <c r="FP7" s="128"/>
      <c r="FQ7" s="128">
        <f t="shared" si="53"/>
        <v>1</v>
      </c>
      <c r="FR7" s="128"/>
      <c r="FS7" s="128"/>
      <c r="FT7" s="128">
        <f t="shared" si="54"/>
        <v>1</v>
      </c>
      <c r="FU7" s="128"/>
      <c r="FV7" s="128"/>
      <c r="FW7" s="128">
        <f t="shared" si="55"/>
        <v>1</v>
      </c>
    </row>
    <row r="8" spans="1:195" ht="12.75" x14ac:dyDescent="0.2">
      <c r="A8" s="13" t="s">
        <v>82</v>
      </c>
      <c r="B8" s="29">
        <f>'INV. FEB'!BX8</f>
        <v>4</v>
      </c>
      <c r="C8" s="10">
        <v>0</v>
      </c>
      <c r="D8" s="10">
        <v>0</v>
      </c>
      <c r="E8" s="9">
        <f t="shared" si="0"/>
        <v>4</v>
      </c>
      <c r="F8" s="10">
        <v>0</v>
      </c>
      <c r="G8" s="10">
        <v>0</v>
      </c>
      <c r="H8" s="9">
        <f t="shared" si="1"/>
        <v>4</v>
      </c>
      <c r="I8" s="10">
        <v>0</v>
      </c>
      <c r="J8" s="10">
        <v>0</v>
      </c>
      <c r="K8" s="9">
        <f t="shared" si="2"/>
        <v>4</v>
      </c>
      <c r="L8" s="10">
        <v>0</v>
      </c>
      <c r="M8" s="10">
        <v>0</v>
      </c>
      <c r="N8" s="9">
        <f t="shared" si="3"/>
        <v>4</v>
      </c>
      <c r="O8" s="10">
        <v>0</v>
      </c>
      <c r="P8" s="10">
        <v>0</v>
      </c>
      <c r="Q8" s="9">
        <f t="shared" si="4"/>
        <v>4</v>
      </c>
      <c r="R8" s="10">
        <v>0</v>
      </c>
      <c r="S8" s="10">
        <v>0</v>
      </c>
      <c r="T8" s="9">
        <f t="shared" si="5"/>
        <v>4</v>
      </c>
      <c r="U8" s="10">
        <v>0</v>
      </c>
      <c r="V8" s="10">
        <v>0</v>
      </c>
      <c r="W8" s="9">
        <f t="shared" si="6"/>
        <v>4</v>
      </c>
      <c r="X8" s="10">
        <v>0</v>
      </c>
      <c r="Y8" s="10">
        <v>0</v>
      </c>
      <c r="Z8" s="9">
        <f t="shared" si="7"/>
        <v>4</v>
      </c>
      <c r="AA8" s="78">
        <v>0</v>
      </c>
      <c r="AB8" s="78">
        <v>0</v>
      </c>
      <c r="AC8" s="18">
        <f t="shared" si="8"/>
        <v>4</v>
      </c>
      <c r="AD8" s="78">
        <v>0</v>
      </c>
      <c r="AE8" s="78">
        <v>0</v>
      </c>
      <c r="AF8" s="18">
        <f t="shared" si="9"/>
        <v>4</v>
      </c>
      <c r="AG8" s="78">
        <v>0</v>
      </c>
      <c r="AH8" s="78">
        <v>0</v>
      </c>
      <c r="AI8" s="18">
        <f t="shared" si="10"/>
        <v>4</v>
      </c>
      <c r="AJ8" s="78">
        <v>0</v>
      </c>
      <c r="AK8" s="78">
        <v>0</v>
      </c>
      <c r="AL8" s="18">
        <f t="shared" si="11"/>
        <v>4</v>
      </c>
      <c r="AM8" s="78">
        <v>0</v>
      </c>
      <c r="AN8" s="78">
        <v>0</v>
      </c>
      <c r="AO8" s="18">
        <f t="shared" si="12"/>
        <v>4</v>
      </c>
      <c r="AP8" s="78">
        <v>0</v>
      </c>
      <c r="AQ8" s="78">
        <v>0</v>
      </c>
      <c r="AR8" s="18">
        <f t="shared" si="13"/>
        <v>4</v>
      </c>
      <c r="AS8" s="79">
        <v>0</v>
      </c>
      <c r="AT8" s="79">
        <v>0</v>
      </c>
      <c r="AU8" s="18">
        <f t="shared" si="14"/>
        <v>4</v>
      </c>
      <c r="AV8" s="79">
        <v>0</v>
      </c>
      <c r="AW8" s="79">
        <v>0</v>
      </c>
      <c r="AX8" s="18">
        <f t="shared" si="15"/>
        <v>4</v>
      </c>
      <c r="AY8" s="79">
        <v>0</v>
      </c>
      <c r="AZ8" s="79">
        <v>0</v>
      </c>
      <c r="BA8" s="18">
        <f t="shared" si="16"/>
        <v>4</v>
      </c>
      <c r="BB8" s="79">
        <v>0</v>
      </c>
      <c r="BC8" s="79">
        <v>0</v>
      </c>
      <c r="BD8" s="18">
        <f t="shared" si="17"/>
        <v>4</v>
      </c>
      <c r="BE8" s="79">
        <v>0</v>
      </c>
      <c r="BF8" s="79">
        <v>0</v>
      </c>
      <c r="BG8" s="18">
        <f t="shared" si="18"/>
        <v>4</v>
      </c>
      <c r="BH8" s="79">
        <v>0</v>
      </c>
      <c r="BI8" s="79">
        <v>0</v>
      </c>
      <c r="BJ8" s="18">
        <f t="shared" si="19"/>
        <v>4</v>
      </c>
      <c r="BK8" s="79">
        <v>0</v>
      </c>
      <c r="BL8" s="79">
        <v>0</v>
      </c>
      <c r="BM8" s="18">
        <f t="shared" si="20"/>
        <v>4</v>
      </c>
      <c r="BN8" s="79">
        <v>0</v>
      </c>
      <c r="BO8" s="79">
        <v>0</v>
      </c>
      <c r="BP8" s="18">
        <f t="shared" si="21"/>
        <v>4</v>
      </c>
      <c r="BQ8" s="79">
        <v>0</v>
      </c>
      <c r="BR8" s="79">
        <v>0</v>
      </c>
      <c r="BS8" s="18">
        <f t="shared" si="22"/>
        <v>4</v>
      </c>
      <c r="BT8" s="79">
        <v>0</v>
      </c>
      <c r="BU8" s="79">
        <v>0</v>
      </c>
      <c r="BV8" s="18">
        <f t="shared" si="23"/>
        <v>4</v>
      </c>
      <c r="BW8" s="79">
        <v>0</v>
      </c>
      <c r="BX8" s="79">
        <v>0</v>
      </c>
      <c r="BY8" s="18">
        <f t="shared" si="24"/>
        <v>4</v>
      </c>
      <c r="BZ8" s="79">
        <v>0</v>
      </c>
      <c r="CA8" s="79">
        <v>0</v>
      </c>
      <c r="CB8" s="18">
        <f t="shared" si="25"/>
        <v>4</v>
      </c>
      <c r="CC8" s="79">
        <v>0</v>
      </c>
      <c r="CD8" s="79">
        <v>0</v>
      </c>
      <c r="CE8" s="18">
        <v>4</v>
      </c>
      <c r="CF8" s="79">
        <v>0</v>
      </c>
      <c r="CG8" s="79">
        <v>0</v>
      </c>
      <c r="CH8" s="18">
        <f t="shared" si="27"/>
        <v>4</v>
      </c>
      <c r="CI8" s="79">
        <v>0</v>
      </c>
      <c r="CJ8" s="79">
        <v>0</v>
      </c>
      <c r="CK8" s="79">
        <f t="shared" si="29"/>
        <v>4</v>
      </c>
      <c r="CL8" s="79">
        <v>0</v>
      </c>
      <c r="CM8" s="79">
        <v>0</v>
      </c>
      <c r="CN8" s="80">
        <f t="shared" si="30"/>
        <v>4</v>
      </c>
      <c r="CO8" s="79">
        <v>0</v>
      </c>
      <c r="CP8" s="79">
        <v>0</v>
      </c>
      <c r="CQ8" s="125">
        <f t="shared" si="56"/>
        <v>4</v>
      </c>
      <c r="CR8" s="128">
        <v>0</v>
      </c>
      <c r="CS8" s="128">
        <v>0</v>
      </c>
      <c r="CT8" s="128">
        <f t="shared" si="58"/>
        <v>4</v>
      </c>
      <c r="CU8" s="128">
        <v>0</v>
      </c>
      <c r="CV8" s="128">
        <v>0</v>
      </c>
      <c r="CW8" s="128">
        <f t="shared" si="31"/>
        <v>4</v>
      </c>
      <c r="CX8" s="128"/>
      <c r="CY8" s="128"/>
      <c r="CZ8" s="128">
        <f t="shared" si="32"/>
        <v>4</v>
      </c>
      <c r="DA8" s="128"/>
      <c r="DB8" s="128"/>
      <c r="DC8" s="128">
        <f t="shared" si="33"/>
        <v>4</v>
      </c>
      <c r="DD8" s="128"/>
      <c r="DE8" s="128"/>
      <c r="DF8" s="215">
        <f t="shared" si="34"/>
        <v>4</v>
      </c>
      <c r="DG8" s="128"/>
      <c r="DH8" s="128"/>
      <c r="DI8" s="128">
        <f t="shared" si="35"/>
        <v>4</v>
      </c>
      <c r="DJ8" s="128"/>
      <c r="DK8" s="128"/>
      <c r="DL8" s="128">
        <f t="shared" si="36"/>
        <v>4</v>
      </c>
      <c r="DM8" s="128"/>
      <c r="DN8" s="128"/>
      <c r="DO8" s="215">
        <f t="shared" si="37"/>
        <v>4</v>
      </c>
      <c r="DP8" s="128"/>
      <c r="DQ8" s="128"/>
      <c r="DR8" s="215">
        <f t="shared" si="38"/>
        <v>4</v>
      </c>
      <c r="DS8" s="128"/>
      <c r="DT8" s="128"/>
      <c r="DU8" s="215">
        <f t="shared" si="39"/>
        <v>4</v>
      </c>
      <c r="DV8" s="128"/>
      <c r="DW8" s="128"/>
      <c r="DX8" s="215">
        <f t="shared" si="40"/>
        <v>4</v>
      </c>
      <c r="DY8" s="128"/>
      <c r="DZ8" s="128"/>
      <c r="EA8" s="215">
        <f t="shared" si="41"/>
        <v>4</v>
      </c>
      <c r="EB8" s="128"/>
      <c r="EC8" s="128"/>
      <c r="ED8" s="215">
        <f t="shared" si="42"/>
        <v>4</v>
      </c>
      <c r="EE8" s="128"/>
      <c r="EF8" s="128"/>
      <c r="EG8" s="215">
        <f t="shared" si="43"/>
        <v>4</v>
      </c>
      <c r="EH8" s="128"/>
      <c r="EI8" s="128"/>
      <c r="EJ8" s="215">
        <f t="shared" si="57"/>
        <v>4</v>
      </c>
      <c r="EK8" s="128"/>
      <c r="EL8" s="128"/>
      <c r="EM8" s="215">
        <f t="shared" si="44"/>
        <v>4</v>
      </c>
      <c r="EN8" s="128"/>
      <c r="EO8" s="128"/>
      <c r="EP8" s="215">
        <f t="shared" si="45"/>
        <v>4</v>
      </c>
      <c r="EQ8" s="128"/>
      <c r="ER8" s="128"/>
      <c r="ES8" s="128">
        <f t="shared" si="46"/>
        <v>4</v>
      </c>
      <c r="ET8" s="128"/>
      <c r="EU8" s="128"/>
      <c r="EV8" s="128">
        <f t="shared" si="47"/>
        <v>4</v>
      </c>
      <c r="EW8" s="128"/>
      <c r="EX8" s="128"/>
      <c r="EY8" s="128">
        <f t="shared" si="48"/>
        <v>4</v>
      </c>
      <c r="EZ8" s="128"/>
      <c r="FA8" s="128"/>
      <c r="FB8" s="128">
        <f t="shared" si="49"/>
        <v>4</v>
      </c>
      <c r="FC8" s="128"/>
      <c r="FD8" s="215"/>
      <c r="FE8" s="128">
        <f t="shared" si="50"/>
        <v>4</v>
      </c>
      <c r="FF8" s="128"/>
      <c r="FG8" s="128"/>
      <c r="FH8" s="128">
        <f t="shared" si="51"/>
        <v>4</v>
      </c>
      <c r="FI8" s="128"/>
      <c r="FJ8" s="128"/>
      <c r="FK8" s="128">
        <f t="shared" si="52"/>
        <v>4</v>
      </c>
      <c r="FL8" s="128"/>
      <c r="FM8" s="128"/>
      <c r="FN8" s="128">
        <f t="shared" si="28"/>
        <v>4</v>
      </c>
      <c r="FO8" s="128"/>
      <c r="FP8" s="128"/>
      <c r="FQ8" s="128">
        <f t="shared" si="53"/>
        <v>4</v>
      </c>
      <c r="FR8" s="128"/>
      <c r="FS8" s="128"/>
      <c r="FT8" s="128">
        <f t="shared" si="54"/>
        <v>4</v>
      </c>
      <c r="FU8" s="128"/>
      <c r="FV8" s="128"/>
      <c r="FW8" s="128">
        <f t="shared" si="55"/>
        <v>4</v>
      </c>
    </row>
    <row r="9" spans="1:195" ht="12.75" x14ac:dyDescent="0.2">
      <c r="A9" s="13" t="s">
        <v>83</v>
      </c>
      <c r="B9" s="29">
        <f>'INV. FEB'!BX9</f>
        <v>9</v>
      </c>
      <c r="C9" s="10">
        <v>0</v>
      </c>
      <c r="D9" s="10">
        <v>0</v>
      </c>
      <c r="E9" s="9">
        <f t="shared" si="0"/>
        <v>9</v>
      </c>
      <c r="F9" s="10">
        <v>0</v>
      </c>
      <c r="G9" s="10">
        <v>0</v>
      </c>
      <c r="H9" s="9">
        <f t="shared" si="1"/>
        <v>9</v>
      </c>
      <c r="I9" s="10">
        <v>0</v>
      </c>
      <c r="J9" s="10">
        <v>0</v>
      </c>
      <c r="K9" s="9">
        <f t="shared" si="2"/>
        <v>9</v>
      </c>
      <c r="L9" s="10">
        <v>0</v>
      </c>
      <c r="M9" s="10">
        <v>0</v>
      </c>
      <c r="N9" s="9">
        <f t="shared" si="3"/>
        <v>9</v>
      </c>
      <c r="O9" s="10">
        <v>0</v>
      </c>
      <c r="P9" s="10">
        <v>0</v>
      </c>
      <c r="Q9" s="9">
        <f t="shared" si="4"/>
        <v>9</v>
      </c>
      <c r="R9" s="10">
        <v>0</v>
      </c>
      <c r="S9" s="10">
        <v>0</v>
      </c>
      <c r="T9" s="9">
        <f t="shared" si="5"/>
        <v>9</v>
      </c>
      <c r="U9" s="10">
        <v>0</v>
      </c>
      <c r="V9" s="10">
        <v>0</v>
      </c>
      <c r="W9" s="9">
        <f t="shared" si="6"/>
        <v>9</v>
      </c>
      <c r="X9" s="10">
        <v>0</v>
      </c>
      <c r="Y9" s="10">
        <v>0</v>
      </c>
      <c r="Z9" s="9">
        <f t="shared" si="7"/>
        <v>9</v>
      </c>
      <c r="AA9" s="78">
        <v>0</v>
      </c>
      <c r="AB9" s="78">
        <v>0</v>
      </c>
      <c r="AC9" s="18">
        <f t="shared" si="8"/>
        <v>9</v>
      </c>
      <c r="AD9" s="78">
        <v>0</v>
      </c>
      <c r="AE9" s="78">
        <v>0</v>
      </c>
      <c r="AF9" s="18">
        <f t="shared" si="9"/>
        <v>9</v>
      </c>
      <c r="AG9" s="78">
        <v>0</v>
      </c>
      <c r="AH9" s="78">
        <v>0</v>
      </c>
      <c r="AI9" s="18">
        <f t="shared" si="10"/>
        <v>9</v>
      </c>
      <c r="AJ9" s="78">
        <v>0</v>
      </c>
      <c r="AK9" s="78">
        <v>0</v>
      </c>
      <c r="AL9" s="18">
        <f t="shared" si="11"/>
        <v>9</v>
      </c>
      <c r="AM9" s="78">
        <v>0</v>
      </c>
      <c r="AN9" s="78">
        <v>0</v>
      </c>
      <c r="AO9" s="18">
        <f t="shared" si="12"/>
        <v>9</v>
      </c>
      <c r="AP9" s="78">
        <v>0</v>
      </c>
      <c r="AQ9" s="78">
        <v>0</v>
      </c>
      <c r="AR9" s="18">
        <f t="shared" si="13"/>
        <v>9</v>
      </c>
      <c r="AS9" s="79">
        <v>0</v>
      </c>
      <c r="AT9" s="79">
        <v>0</v>
      </c>
      <c r="AU9" s="18">
        <f t="shared" si="14"/>
        <v>9</v>
      </c>
      <c r="AV9" s="79">
        <v>0</v>
      </c>
      <c r="AW9" s="79">
        <v>0</v>
      </c>
      <c r="AX9" s="18">
        <f t="shared" si="15"/>
        <v>9</v>
      </c>
      <c r="AY9" s="79">
        <v>0</v>
      </c>
      <c r="AZ9" s="79">
        <v>0</v>
      </c>
      <c r="BA9" s="18">
        <f t="shared" si="16"/>
        <v>9</v>
      </c>
      <c r="BB9" s="79">
        <v>0</v>
      </c>
      <c r="BC9" s="79">
        <v>0</v>
      </c>
      <c r="BD9" s="18">
        <f t="shared" si="17"/>
        <v>9</v>
      </c>
      <c r="BE9" s="79">
        <v>0</v>
      </c>
      <c r="BF9" s="79">
        <v>0</v>
      </c>
      <c r="BG9" s="18">
        <f t="shared" si="18"/>
        <v>9</v>
      </c>
      <c r="BH9" s="79">
        <v>0</v>
      </c>
      <c r="BI9" s="79">
        <v>0</v>
      </c>
      <c r="BJ9" s="18">
        <f t="shared" si="19"/>
        <v>9</v>
      </c>
      <c r="BK9" s="79">
        <v>0</v>
      </c>
      <c r="BL9" s="79">
        <v>0</v>
      </c>
      <c r="BM9" s="18">
        <f t="shared" si="20"/>
        <v>9</v>
      </c>
      <c r="BN9" s="79">
        <v>0</v>
      </c>
      <c r="BO9" s="79">
        <v>0</v>
      </c>
      <c r="BP9" s="18">
        <f t="shared" si="21"/>
        <v>9</v>
      </c>
      <c r="BQ9" s="79">
        <v>0</v>
      </c>
      <c r="BR9" s="79">
        <v>0</v>
      </c>
      <c r="BS9" s="18">
        <f t="shared" si="22"/>
        <v>9</v>
      </c>
      <c r="BT9" s="79">
        <v>0</v>
      </c>
      <c r="BU9" s="79">
        <v>0</v>
      </c>
      <c r="BV9" s="18">
        <f t="shared" si="23"/>
        <v>9</v>
      </c>
      <c r="BW9" s="79">
        <v>0</v>
      </c>
      <c r="BX9" s="79">
        <v>0</v>
      </c>
      <c r="BY9" s="18">
        <f t="shared" si="24"/>
        <v>9</v>
      </c>
      <c r="BZ9" s="79">
        <v>0</v>
      </c>
      <c r="CA9" s="79">
        <v>0</v>
      </c>
      <c r="CB9" s="18">
        <f t="shared" si="25"/>
        <v>9</v>
      </c>
      <c r="CC9" s="79">
        <v>0</v>
      </c>
      <c r="CD9" s="79">
        <v>0</v>
      </c>
      <c r="CE9" s="18">
        <v>9</v>
      </c>
      <c r="CF9" s="79">
        <v>0</v>
      </c>
      <c r="CG9" s="79">
        <v>0</v>
      </c>
      <c r="CH9" s="18">
        <f t="shared" si="27"/>
        <v>9</v>
      </c>
      <c r="CI9" s="79">
        <v>0</v>
      </c>
      <c r="CJ9" s="79">
        <v>0</v>
      </c>
      <c r="CK9" s="79">
        <f t="shared" si="29"/>
        <v>9</v>
      </c>
      <c r="CL9" s="79">
        <v>0</v>
      </c>
      <c r="CM9" s="79">
        <v>0</v>
      </c>
      <c r="CN9" s="80">
        <f t="shared" si="30"/>
        <v>9</v>
      </c>
      <c r="CO9" s="79">
        <v>0</v>
      </c>
      <c r="CP9" s="79">
        <v>0</v>
      </c>
      <c r="CQ9" s="125">
        <f t="shared" si="56"/>
        <v>9</v>
      </c>
      <c r="CR9" s="128">
        <v>0</v>
      </c>
      <c r="CS9" s="128">
        <v>0</v>
      </c>
      <c r="CT9" s="128">
        <f t="shared" si="58"/>
        <v>9</v>
      </c>
      <c r="CU9" s="128">
        <v>0</v>
      </c>
      <c r="CV9" s="128">
        <v>0</v>
      </c>
      <c r="CW9" s="128">
        <f t="shared" si="31"/>
        <v>9</v>
      </c>
      <c r="CX9" s="128"/>
      <c r="CY9" s="128"/>
      <c r="CZ9" s="128">
        <f t="shared" si="32"/>
        <v>9</v>
      </c>
      <c r="DA9" s="128"/>
      <c r="DB9" s="128"/>
      <c r="DC9" s="128">
        <f t="shared" si="33"/>
        <v>9</v>
      </c>
      <c r="DD9" s="128"/>
      <c r="DE9" s="128"/>
      <c r="DF9" s="215">
        <f t="shared" si="34"/>
        <v>9</v>
      </c>
      <c r="DG9" s="128"/>
      <c r="DH9" s="128"/>
      <c r="DI9" s="128">
        <f t="shared" si="35"/>
        <v>9</v>
      </c>
      <c r="DJ9" s="128"/>
      <c r="DK9" s="128"/>
      <c r="DL9" s="128">
        <f t="shared" si="36"/>
        <v>9</v>
      </c>
      <c r="DM9" s="128"/>
      <c r="DN9" s="128"/>
      <c r="DO9" s="215">
        <f t="shared" si="37"/>
        <v>9</v>
      </c>
      <c r="DP9" s="128"/>
      <c r="DQ9" s="128"/>
      <c r="DR9" s="215">
        <f t="shared" si="38"/>
        <v>9</v>
      </c>
      <c r="DS9" s="128"/>
      <c r="DT9" s="128"/>
      <c r="DU9" s="215">
        <f t="shared" si="39"/>
        <v>9</v>
      </c>
      <c r="DV9" s="128"/>
      <c r="DW9" s="128"/>
      <c r="DX9" s="215">
        <f t="shared" si="40"/>
        <v>9</v>
      </c>
      <c r="DY9" s="128"/>
      <c r="DZ9" s="128"/>
      <c r="EA9" s="215">
        <f t="shared" si="41"/>
        <v>9</v>
      </c>
      <c r="EB9" s="128"/>
      <c r="EC9" s="128"/>
      <c r="ED9" s="215">
        <f t="shared" si="42"/>
        <v>9</v>
      </c>
      <c r="EE9" s="128"/>
      <c r="EF9" s="128"/>
      <c r="EG9" s="215">
        <f t="shared" si="43"/>
        <v>9</v>
      </c>
      <c r="EH9" s="128"/>
      <c r="EI9" s="128"/>
      <c r="EJ9" s="215">
        <f t="shared" si="57"/>
        <v>9</v>
      </c>
      <c r="EK9" s="128"/>
      <c r="EL9" s="128"/>
      <c r="EM9" s="215">
        <f t="shared" si="44"/>
        <v>9</v>
      </c>
      <c r="EN9" s="128"/>
      <c r="EO9" s="128"/>
      <c r="EP9" s="215">
        <f t="shared" si="45"/>
        <v>9</v>
      </c>
      <c r="EQ9" s="128"/>
      <c r="ER9" s="128"/>
      <c r="ES9" s="128">
        <f t="shared" si="46"/>
        <v>9</v>
      </c>
      <c r="ET9" s="128"/>
      <c r="EU9" s="128"/>
      <c r="EV9" s="128">
        <f t="shared" si="47"/>
        <v>9</v>
      </c>
      <c r="EW9" s="128"/>
      <c r="EX9" s="128"/>
      <c r="EY9" s="128">
        <f t="shared" si="48"/>
        <v>9</v>
      </c>
      <c r="EZ9" s="128"/>
      <c r="FA9" s="128"/>
      <c r="FB9" s="128">
        <f t="shared" si="49"/>
        <v>9</v>
      </c>
      <c r="FC9" s="128"/>
      <c r="FD9" s="215"/>
      <c r="FE9" s="128">
        <f t="shared" si="50"/>
        <v>9</v>
      </c>
      <c r="FF9" s="128"/>
      <c r="FG9" s="128"/>
      <c r="FH9" s="128">
        <f t="shared" si="51"/>
        <v>9</v>
      </c>
      <c r="FI9" s="128"/>
      <c r="FJ9" s="128"/>
      <c r="FK9" s="128">
        <f t="shared" si="52"/>
        <v>9</v>
      </c>
      <c r="FL9" s="128"/>
      <c r="FM9" s="128"/>
      <c r="FN9" s="128">
        <f t="shared" si="28"/>
        <v>9</v>
      </c>
      <c r="FO9" s="128"/>
      <c r="FP9" s="128"/>
      <c r="FQ9" s="128">
        <f t="shared" si="53"/>
        <v>9</v>
      </c>
      <c r="FR9" s="128"/>
      <c r="FS9" s="128"/>
      <c r="FT9" s="128">
        <f t="shared" si="54"/>
        <v>9</v>
      </c>
      <c r="FU9" s="128"/>
      <c r="FV9" s="128"/>
      <c r="FW9" s="128">
        <f t="shared" si="55"/>
        <v>9</v>
      </c>
    </row>
    <row r="10" spans="1:195" ht="12.75" x14ac:dyDescent="0.2">
      <c r="A10" s="16" t="s">
        <v>84</v>
      </c>
      <c r="B10" s="29">
        <f>'INV. FEB'!BX10</f>
        <v>11</v>
      </c>
      <c r="C10" s="10">
        <v>0</v>
      </c>
      <c r="D10" s="10">
        <v>0</v>
      </c>
      <c r="E10" s="9">
        <f t="shared" si="0"/>
        <v>11</v>
      </c>
      <c r="F10" s="10">
        <v>0</v>
      </c>
      <c r="G10" s="10">
        <v>0</v>
      </c>
      <c r="H10" s="9">
        <f t="shared" si="1"/>
        <v>11</v>
      </c>
      <c r="I10" s="10">
        <v>0</v>
      </c>
      <c r="J10" s="10">
        <v>0</v>
      </c>
      <c r="K10" s="9">
        <f t="shared" si="2"/>
        <v>11</v>
      </c>
      <c r="L10" s="10">
        <v>0</v>
      </c>
      <c r="M10" s="10">
        <v>0</v>
      </c>
      <c r="N10" s="9">
        <f t="shared" si="3"/>
        <v>11</v>
      </c>
      <c r="O10" s="10">
        <v>0</v>
      </c>
      <c r="P10" s="10">
        <v>0</v>
      </c>
      <c r="Q10" s="9">
        <f t="shared" si="4"/>
        <v>11</v>
      </c>
      <c r="R10" s="10">
        <v>0</v>
      </c>
      <c r="S10" s="10">
        <v>0</v>
      </c>
      <c r="T10" s="9">
        <f t="shared" si="5"/>
        <v>11</v>
      </c>
      <c r="U10" s="10">
        <v>0</v>
      </c>
      <c r="V10" s="10">
        <v>0</v>
      </c>
      <c r="W10" s="9">
        <f t="shared" si="6"/>
        <v>11</v>
      </c>
      <c r="X10" s="10">
        <v>0</v>
      </c>
      <c r="Y10" s="10">
        <v>2</v>
      </c>
      <c r="Z10" s="9">
        <f t="shared" si="7"/>
        <v>9</v>
      </c>
      <c r="AA10" s="78">
        <v>0</v>
      </c>
      <c r="AB10" s="79">
        <v>1</v>
      </c>
      <c r="AC10" s="18">
        <f t="shared" si="8"/>
        <v>8</v>
      </c>
      <c r="AD10" s="78">
        <v>0</v>
      </c>
      <c r="AE10" s="78">
        <v>0</v>
      </c>
      <c r="AF10" s="18">
        <f t="shared" si="9"/>
        <v>8</v>
      </c>
      <c r="AG10" s="78">
        <v>0</v>
      </c>
      <c r="AH10" s="79">
        <v>1</v>
      </c>
      <c r="AI10" s="18">
        <f t="shared" si="10"/>
        <v>7</v>
      </c>
      <c r="AJ10" s="78">
        <v>0</v>
      </c>
      <c r="AK10" s="78">
        <v>0</v>
      </c>
      <c r="AL10" s="18">
        <f t="shared" si="11"/>
        <v>7</v>
      </c>
      <c r="AM10" s="78">
        <v>0</v>
      </c>
      <c r="AN10" s="78">
        <v>0</v>
      </c>
      <c r="AO10" s="18">
        <f t="shared" si="12"/>
        <v>7</v>
      </c>
      <c r="AP10" s="78">
        <v>0</v>
      </c>
      <c r="AQ10" s="78">
        <v>0</v>
      </c>
      <c r="AR10" s="18">
        <f t="shared" si="13"/>
        <v>7</v>
      </c>
      <c r="AS10" s="79">
        <v>0</v>
      </c>
      <c r="AT10" s="79">
        <v>0</v>
      </c>
      <c r="AU10" s="18">
        <f t="shared" si="14"/>
        <v>7</v>
      </c>
      <c r="AV10" s="79">
        <v>0</v>
      </c>
      <c r="AW10" s="79">
        <v>0</v>
      </c>
      <c r="AX10" s="18">
        <f t="shared" si="15"/>
        <v>7</v>
      </c>
      <c r="AY10" s="79">
        <v>0</v>
      </c>
      <c r="AZ10" s="79">
        <v>2</v>
      </c>
      <c r="BA10" s="18">
        <f t="shared" si="16"/>
        <v>5</v>
      </c>
      <c r="BB10" s="79">
        <v>0</v>
      </c>
      <c r="BC10" s="79">
        <v>0</v>
      </c>
      <c r="BD10" s="18">
        <f t="shared" si="17"/>
        <v>5</v>
      </c>
      <c r="BE10" s="79">
        <v>0</v>
      </c>
      <c r="BF10" s="79">
        <v>0</v>
      </c>
      <c r="BG10" s="18">
        <f t="shared" si="18"/>
        <v>5</v>
      </c>
      <c r="BH10" s="79">
        <v>0</v>
      </c>
      <c r="BI10" s="79">
        <v>0</v>
      </c>
      <c r="BJ10" s="18">
        <f t="shared" si="19"/>
        <v>5</v>
      </c>
      <c r="BK10" s="79">
        <v>0</v>
      </c>
      <c r="BL10" s="79">
        <v>2</v>
      </c>
      <c r="BM10" s="18">
        <f t="shared" si="20"/>
        <v>3</v>
      </c>
      <c r="BN10" s="79">
        <v>0</v>
      </c>
      <c r="BO10" s="79">
        <v>0</v>
      </c>
      <c r="BP10" s="18">
        <f t="shared" si="21"/>
        <v>3</v>
      </c>
      <c r="BQ10" s="79">
        <v>0</v>
      </c>
      <c r="BR10" s="79">
        <v>0</v>
      </c>
      <c r="BS10" s="18">
        <f t="shared" si="22"/>
        <v>3</v>
      </c>
      <c r="BT10" s="79">
        <v>0</v>
      </c>
      <c r="BU10" s="79">
        <v>0</v>
      </c>
      <c r="BV10" s="18">
        <f t="shared" si="23"/>
        <v>3</v>
      </c>
      <c r="BW10" s="79">
        <v>0</v>
      </c>
      <c r="BX10" s="79">
        <v>0</v>
      </c>
      <c r="BY10" s="18">
        <f t="shared" si="24"/>
        <v>3</v>
      </c>
      <c r="BZ10" s="79">
        <v>0</v>
      </c>
      <c r="CA10" s="79">
        <v>0</v>
      </c>
      <c r="CB10" s="18">
        <f t="shared" si="25"/>
        <v>3</v>
      </c>
      <c r="CC10" s="79">
        <v>0</v>
      </c>
      <c r="CD10" s="79">
        <v>0</v>
      </c>
      <c r="CE10" s="18">
        <v>3</v>
      </c>
      <c r="CF10" s="79">
        <v>0</v>
      </c>
      <c r="CG10" s="79">
        <v>0</v>
      </c>
      <c r="CH10" s="18">
        <f t="shared" si="27"/>
        <v>3</v>
      </c>
      <c r="CI10" s="79">
        <v>0</v>
      </c>
      <c r="CJ10" s="79">
        <v>0</v>
      </c>
      <c r="CK10" s="79">
        <f t="shared" si="29"/>
        <v>3</v>
      </c>
      <c r="CL10" s="79">
        <v>0</v>
      </c>
      <c r="CM10" s="79">
        <v>0</v>
      </c>
      <c r="CN10" s="80">
        <f t="shared" si="30"/>
        <v>3</v>
      </c>
      <c r="CO10" s="79">
        <v>5</v>
      </c>
      <c r="CP10" s="79">
        <v>0</v>
      </c>
      <c r="CQ10" s="125">
        <v>6</v>
      </c>
      <c r="CR10" s="128">
        <v>0</v>
      </c>
      <c r="CS10" s="128">
        <v>0</v>
      </c>
      <c r="CT10" s="128">
        <f t="shared" si="58"/>
        <v>6</v>
      </c>
      <c r="CU10" s="128">
        <v>0</v>
      </c>
      <c r="CV10" s="128">
        <v>0</v>
      </c>
      <c r="CW10" s="128">
        <f t="shared" si="31"/>
        <v>6</v>
      </c>
      <c r="CX10" s="128"/>
      <c r="CY10" s="128"/>
      <c r="CZ10" s="128">
        <f t="shared" si="32"/>
        <v>6</v>
      </c>
      <c r="DA10" s="128"/>
      <c r="DB10" s="128"/>
      <c r="DC10" s="128">
        <f t="shared" si="33"/>
        <v>6</v>
      </c>
      <c r="DD10" s="128"/>
      <c r="DE10" s="128">
        <v>1</v>
      </c>
      <c r="DF10" s="215">
        <f t="shared" si="34"/>
        <v>5</v>
      </c>
      <c r="DG10" s="128"/>
      <c r="DH10" s="128"/>
      <c r="DI10" s="128">
        <f t="shared" si="35"/>
        <v>5</v>
      </c>
      <c r="DJ10" s="128"/>
      <c r="DK10" s="128"/>
      <c r="DL10" s="128">
        <f t="shared" si="36"/>
        <v>5</v>
      </c>
      <c r="DM10" s="128"/>
      <c r="DN10" s="128"/>
      <c r="DO10" s="215">
        <f t="shared" si="37"/>
        <v>5</v>
      </c>
      <c r="DP10" s="128"/>
      <c r="DQ10" s="128"/>
      <c r="DR10" s="215">
        <f t="shared" si="38"/>
        <v>5</v>
      </c>
      <c r="DS10" s="128"/>
      <c r="DT10" s="128"/>
      <c r="DU10" s="215">
        <f t="shared" si="39"/>
        <v>5</v>
      </c>
      <c r="DV10" s="128"/>
      <c r="DW10" s="128"/>
      <c r="DX10" s="215">
        <f t="shared" si="40"/>
        <v>5</v>
      </c>
      <c r="DY10" s="128"/>
      <c r="DZ10" s="128"/>
      <c r="EA10" s="215">
        <f t="shared" si="41"/>
        <v>5</v>
      </c>
      <c r="EB10" s="128"/>
      <c r="EC10" s="128"/>
      <c r="ED10" s="215">
        <f t="shared" si="42"/>
        <v>5</v>
      </c>
      <c r="EE10" s="128"/>
      <c r="EF10" s="128"/>
      <c r="EG10" s="215">
        <f t="shared" si="43"/>
        <v>5</v>
      </c>
      <c r="EH10" s="128"/>
      <c r="EI10" s="128"/>
      <c r="EJ10" s="215">
        <f t="shared" si="57"/>
        <v>5</v>
      </c>
      <c r="EK10" s="128"/>
      <c r="EL10" s="128"/>
      <c r="EM10" s="215">
        <f t="shared" si="44"/>
        <v>5</v>
      </c>
      <c r="EN10" s="128"/>
      <c r="EO10" s="128"/>
      <c r="EP10" s="215">
        <f t="shared" si="45"/>
        <v>5</v>
      </c>
      <c r="EQ10" s="128"/>
      <c r="ER10" s="128"/>
      <c r="ES10" s="128">
        <f t="shared" si="46"/>
        <v>5</v>
      </c>
      <c r="ET10" s="128"/>
      <c r="EU10" s="128"/>
      <c r="EV10" s="128">
        <f t="shared" si="47"/>
        <v>5</v>
      </c>
      <c r="EW10" s="128"/>
      <c r="EX10" s="128"/>
      <c r="EY10" s="128">
        <f t="shared" si="48"/>
        <v>5</v>
      </c>
      <c r="EZ10" s="128"/>
      <c r="FA10" s="128"/>
      <c r="FB10" s="128">
        <f t="shared" si="49"/>
        <v>5</v>
      </c>
      <c r="FC10" s="128"/>
      <c r="FD10" s="215"/>
      <c r="FE10" s="128">
        <f t="shared" si="50"/>
        <v>5</v>
      </c>
      <c r="FF10" s="128"/>
      <c r="FG10" s="128"/>
      <c r="FH10" s="128">
        <f t="shared" si="51"/>
        <v>5</v>
      </c>
      <c r="FI10" s="128"/>
      <c r="FJ10" s="128"/>
      <c r="FK10" s="128">
        <f t="shared" si="52"/>
        <v>5</v>
      </c>
      <c r="FL10" s="128"/>
      <c r="FM10" s="128"/>
      <c r="FN10" s="128">
        <f t="shared" si="28"/>
        <v>5</v>
      </c>
      <c r="FO10" s="128"/>
      <c r="FP10" s="128"/>
      <c r="FQ10" s="128">
        <f t="shared" si="53"/>
        <v>5</v>
      </c>
      <c r="FR10" s="128"/>
      <c r="FS10" s="128"/>
      <c r="FT10" s="128">
        <f t="shared" si="54"/>
        <v>5</v>
      </c>
      <c r="FU10" s="128"/>
      <c r="FV10" s="128"/>
      <c r="FW10" s="128">
        <f t="shared" si="55"/>
        <v>5</v>
      </c>
    </row>
    <row r="11" spans="1:195" ht="12.75" x14ac:dyDescent="0.2">
      <c r="A11" s="13" t="s">
        <v>85</v>
      </c>
      <c r="B11" s="29">
        <f>'INV. FEB'!BX11</f>
        <v>14</v>
      </c>
      <c r="C11" s="10">
        <v>0</v>
      </c>
      <c r="D11" s="10">
        <v>0</v>
      </c>
      <c r="E11" s="9">
        <f t="shared" si="0"/>
        <v>14</v>
      </c>
      <c r="F11" s="10">
        <v>0</v>
      </c>
      <c r="G11" s="10">
        <v>0</v>
      </c>
      <c r="H11" s="9">
        <f t="shared" si="1"/>
        <v>14</v>
      </c>
      <c r="I11" s="10">
        <v>0</v>
      </c>
      <c r="J11" s="10">
        <v>0</v>
      </c>
      <c r="K11" s="9">
        <f t="shared" si="2"/>
        <v>14</v>
      </c>
      <c r="L11" s="10">
        <v>0</v>
      </c>
      <c r="M11" s="10">
        <v>0</v>
      </c>
      <c r="N11" s="9">
        <f t="shared" si="3"/>
        <v>14</v>
      </c>
      <c r="O11" s="10">
        <v>0</v>
      </c>
      <c r="P11" s="10">
        <v>0</v>
      </c>
      <c r="Q11" s="9">
        <f t="shared" si="4"/>
        <v>14</v>
      </c>
      <c r="R11" s="10">
        <v>0</v>
      </c>
      <c r="S11" s="10">
        <v>0</v>
      </c>
      <c r="T11" s="9">
        <f t="shared" si="5"/>
        <v>14</v>
      </c>
      <c r="U11" s="10">
        <v>0</v>
      </c>
      <c r="V11" s="10">
        <v>0</v>
      </c>
      <c r="W11" s="9">
        <f t="shared" si="6"/>
        <v>14</v>
      </c>
      <c r="X11" s="10">
        <v>0</v>
      </c>
      <c r="Y11" s="10">
        <v>0</v>
      </c>
      <c r="Z11" s="9">
        <f t="shared" si="7"/>
        <v>14</v>
      </c>
      <c r="AA11" s="78">
        <v>0</v>
      </c>
      <c r="AB11" s="79">
        <v>1</v>
      </c>
      <c r="AC11" s="18">
        <f t="shared" si="8"/>
        <v>13</v>
      </c>
      <c r="AD11" s="78">
        <v>0</v>
      </c>
      <c r="AE11" s="78">
        <v>0</v>
      </c>
      <c r="AF11" s="18">
        <f t="shared" si="9"/>
        <v>13</v>
      </c>
      <c r="AG11" s="78">
        <v>0</v>
      </c>
      <c r="AH11" s="78">
        <v>0</v>
      </c>
      <c r="AI11" s="18">
        <f t="shared" si="10"/>
        <v>13</v>
      </c>
      <c r="AJ11" s="78">
        <v>0</v>
      </c>
      <c r="AK11" s="78">
        <v>0</v>
      </c>
      <c r="AL11" s="18">
        <f t="shared" si="11"/>
        <v>13</v>
      </c>
      <c r="AM11" s="78">
        <v>0</v>
      </c>
      <c r="AN11" s="78">
        <v>0</v>
      </c>
      <c r="AO11" s="18">
        <f t="shared" si="12"/>
        <v>13</v>
      </c>
      <c r="AP11" s="78">
        <v>0</v>
      </c>
      <c r="AQ11" s="79">
        <v>1</v>
      </c>
      <c r="AR11" s="18">
        <f t="shared" si="13"/>
        <v>12</v>
      </c>
      <c r="AS11" s="79">
        <v>0</v>
      </c>
      <c r="AT11" s="79">
        <v>0</v>
      </c>
      <c r="AU11" s="18">
        <f t="shared" si="14"/>
        <v>12</v>
      </c>
      <c r="AV11" s="79">
        <v>0</v>
      </c>
      <c r="AW11" s="79">
        <v>0</v>
      </c>
      <c r="AX11" s="18">
        <f t="shared" si="15"/>
        <v>12</v>
      </c>
      <c r="AY11" s="79">
        <v>0</v>
      </c>
      <c r="AZ11" s="79">
        <v>0</v>
      </c>
      <c r="BA11" s="18">
        <f t="shared" si="16"/>
        <v>12</v>
      </c>
      <c r="BB11" s="79">
        <v>0</v>
      </c>
      <c r="BC11" s="79">
        <v>0</v>
      </c>
      <c r="BD11" s="18">
        <f t="shared" si="17"/>
        <v>12</v>
      </c>
      <c r="BE11" s="79">
        <v>0</v>
      </c>
      <c r="BF11" s="79">
        <v>0</v>
      </c>
      <c r="BG11" s="18">
        <f t="shared" si="18"/>
        <v>12</v>
      </c>
      <c r="BH11" s="79">
        <v>0</v>
      </c>
      <c r="BI11" s="79">
        <v>1</v>
      </c>
      <c r="BJ11" s="18">
        <f t="shared" si="19"/>
        <v>11</v>
      </c>
      <c r="BK11" s="79">
        <v>0</v>
      </c>
      <c r="BL11" s="79">
        <v>0</v>
      </c>
      <c r="BM11" s="18">
        <f t="shared" si="20"/>
        <v>11</v>
      </c>
      <c r="BN11" s="79">
        <v>0</v>
      </c>
      <c r="BO11" s="79">
        <v>0</v>
      </c>
      <c r="BP11" s="18">
        <f t="shared" si="21"/>
        <v>11</v>
      </c>
      <c r="BQ11" s="79">
        <v>0</v>
      </c>
      <c r="BR11" s="79">
        <v>0</v>
      </c>
      <c r="BS11" s="18">
        <f t="shared" si="22"/>
        <v>11</v>
      </c>
      <c r="BT11" s="79">
        <v>0</v>
      </c>
      <c r="BU11" s="79">
        <v>0</v>
      </c>
      <c r="BV11" s="18">
        <f t="shared" si="23"/>
        <v>11</v>
      </c>
      <c r="BW11" s="79">
        <v>0</v>
      </c>
      <c r="BX11" s="79">
        <v>0</v>
      </c>
      <c r="BY11" s="18">
        <f t="shared" si="24"/>
        <v>11</v>
      </c>
      <c r="BZ11" s="79">
        <v>0</v>
      </c>
      <c r="CA11" s="79">
        <v>0</v>
      </c>
      <c r="CB11" s="18">
        <f t="shared" si="25"/>
        <v>11</v>
      </c>
      <c r="CC11" s="79">
        <v>0</v>
      </c>
      <c r="CD11" s="79">
        <v>0</v>
      </c>
      <c r="CE11" s="18">
        <v>11</v>
      </c>
      <c r="CF11" s="79">
        <v>0</v>
      </c>
      <c r="CG11" s="79">
        <v>0</v>
      </c>
      <c r="CH11" s="18">
        <f t="shared" si="27"/>
        <v>11</v>
      </c>
      <c r="CI11" s="79">
        <v>0</v>
      </c>
      <c r="CJ11" s="79">
        <v>0</v>
      </c>
      <c r="CK11" s="79">
        <f t="shared" si="29"/>
        <v>11</v>
      </c>
      <c r="CL11" s="79">
        <v>0</v>
      </c>
      <c r="CM11" s="79">
        <v>0</v>
      </c>
      <c r="CN11" s="80">
        <f t="shared" si="30"/>
        <v>11</v>
      </c>
      <c r="CO11" s="79">
        <v>0</v>
      </c>
      <c r="CP11" s="79">
        <v>0</v>
      </c>
      <c r="CQ11" s="125">
        <f t="shared" si="56"/>
        <v>11</v>
      </c>
      <c r="CR11" s="128">
        <v>0</v>
      </c>
      <c r="CS11" s="128">
        <v>0</v>
      </c>
      <c r="CT11" s="128">
        <f t="shared" si="58"/>
        <v>11</v>
      </c>
      <c r="CU11" s="128">
        <v>0</v>
      </c>
      <c r="CV11" s="128">
        <v>0</v>
      </c>
      <c r="CW11" s="128">
        <f t="shared" si="31"/>
        <v>11</v>
      </c>
      <c r="CX11" s="128"/>
      <c r="CY11" s="128"/>
      <c r="CZ11" s="128">
        <f t="shared" si="32"/>
        <v>11</v>
      </c>
      <c r="DA11" s="128"/>
      <c r="DB11" s="128"/>
      <c r="DC11" s="128">
        <f t="shared" si="33"/>
        <v>11</v>
      </c>
      <c r="DD11" s="128"/>
      <c r="DE11" s="128"/>
      <c r="DF11" s="215">
        <f t="shared" si="34"/>
        <v>11</v>
      </c>
      <c r="DG11" s="128"/>
      <c r="DH11" s="128"/>
      <c r="DI11" s="128">
        <f t="shared" si="35"/>
        <v>11</v>
      </c>
      <c r="DJ11" s="128"/>
      <c r="DK11" s="128"/>
      <c r="DL11" s="128">
        <f t="shared" si="36"/>
        <v>11</v>
      </c>
      <c r="DM11" s="128"/>
      <c r="DN11" s="128"/>
      <c r="DO11" s="215">
        <f t="shared" si="37"/>
        <v>11</v>
      </c>
      <c r="DP11" s="128"/>
      <c r="DQ11" s="128"/>
      <c r="DR11" s="215">
        <f t="shared" si="38"/>
        <v>11</v>
      </c>
      <c r="DS11" s="128"/>
      <c r="DT11" s="128"/>
      <c r="DU11" s="215">
        <f t="shared" si="39"/>
        <v>11</v>
      </c>
      <c r="DV11" s="128"/>
      <c r="DW11" s="128"/>
      <c r="DX11" s="215">
        <f t="shared" si="40"/>
        <v>11</v>
      </c>
      <c r="DY11" s="128"/>
      <c r="DZ11" s="128"/>
      <c r="EA11" s="215">
        <f t="shared" si="41"/>
        <v>11</v>
      </c>
      <c r="EB11" s="128"/>
      <c r="EC11" s="128"/>
      <c r="ED11" s="215">
        <f t="shared" si="42"/>
        <v>11</v>
      </c>
      <c r="EE11" s="128"/>
      <c r="EF11" s="128"/>
      <c r="EG11" s="215">
        <f t="shared" si="43"/>
        <v>11</v>
      </c>
      <c r="EH11" s="128"/>
      <c r="EI11" s="128"/>
      <c r="EJ11" s="215">
        <f t="shared" si="57"/>
        <v>11</v>
      </c>
      <c r="EK11" s="128"/>
      <c r="EL11" s="128"/>
      <c r="EM11" s="215">
        <f t="shared" si="44"/>
        <v>11</v>
      </c>
      <c r="EN11" s="128"/>
      <c r="EO11" s="128"/>
      <c r="EP11" s="215">
        <f t="shared" si="45"/>
        <v>11</v>
      </c>
      <c r="EQ11" s="128"/>
      <c r="ER11" s="128"/>
      <c r="ES11" s="128">
        <f t="shared" si="46"/>
        <v>11</v>
      </c>
      <c r="ET11" s="128"/>
      <c r="EU11" s="128"/>
      <c r="EV11" s="128">
        <f t="shared" si="47"/>
        <v>11</v>
      </c>
      <c r="EW11" s="128"/>
      <c r="EX11" s="128"/>
      <c r="EY11" s="128">
        <f t="shared" si="48"/>
        <v>11</v>
      </c>
      <c r="EZ11" s="128"/>
      <c r="FA11" s="128"/>
      <c r="FB11" s="128">
        <f t="shared" si="49"/>
        <v>11</v>
      </c>
      <c r="FC11" s="128"/>
      <c r="FD11" s="215"/>
      <c r="FE11" s="128">
        <f t="shared" si="50"/>
        <v>11</v>
      </c>
      <c r="FF11" s="128"/>
      <c r="FG11" s="128"/>
      <c r="FH11" s="128">
        <f t="shared" si="51"/>
        <v>11</v>
      </c>
      <c r="FI11" s="128"/>
      <c r="FJ11" s="128"/>
      <c r="FK11" s="128">
        <f t="shared" si="52"/>
        <v>11</v>
      </c>
      <c r="FL11" s="128"/>
      <c r="FM11" s="128"/>
      <c r="FN11" s="128">
        <f t="shared" si="28"/>
        <v>11</v>
      </c>
      <c r="FO11" s="128"/>
      <c r="FP11" s="128"/>
      <c r="FQ11" s="128">
        <f t="shared" si="53"/>
        <v>11</v>
      </c>
      <c r="FR11" s="128"/>
      <c r="FS11" s="128"/>
      <c r="FT11" s="128">
        <f t="shared" si="54"/>
        <v>11</v>
      </c>
      <c r="FU11" s="128"/>
      <c r="FV11" s="128"/>
      <c r="FW11" s="128">
        <f t="shared" si="55"/>
        <v>11</v>
      </c>
    </row>
    <row r="12" spans="1:195" ht="12.75" x14ac:dyDescent="0.2">
      <c r="A12" s="13" t="s">
        <v>86</v>
      </c>
      <c r="B12" s="29">
        <f>'INV. FEB'!BX12</f>
        <v>5</v>
      </c>
      <c r="C12" s="10">
        <v>0</v>
      </c>
      <c r="D12" s="10">
        <v>0</v>
      </c>
      <c r="E12" s="9">
        <f t="shared" si="0"/>
        <v>5</v>
      </c>
      <c r="F12" s="10">
        <v>0</v>
      </c>
      <c r="G12" s="10">
        <v>0</v>
      </c>
      <c r="H12" s="9">
        <f t="shared" si="1"/>
        <v>5</v>
      </c>
      <c r="I12" s="10">
        <v>0</v>
      </c>
      <c r="J12" s="10">
        <v>0</v>
      </c>
      <c r="K12" s="9">
        <f t="shared" si="2"/>
        <v>5</v>
      </c>
      <c r="L12" s="10">
        <v>0</v>
      </c>
      <c r="M12" s="10">
        <v>0</v>
      </c>
      <c r="N12" s="9">
        <f t="shared" si="3"/>
        <v>5</v>
      </c>
      <c r="O12" s="10">
        <v>0</v>
      </c>
      <c r="P12" s="10">
        <v>0</v>
      </c>
      <c r="Q12" s="9">
        <f t="shared" si="4"/>
        <v>5</v>
      </c>
      <c r="R12" s="10">
        <v>0</v>
      </c>
      <c r="S12" s="10">
        <v>0</v>
      </c>
      <c r="T12" s="9">
        <f t="shared" si="5"/>
        <v>5</v>
      </c>
      <c r="U12" s="10">
        <v>0</v>
      </c>
      <c r="V12" s="10">
        <v>0</v>
      </c>
      <c r="W12" s="9">
        <f t="shared" si="6"/>
        <v>5</v>
      </c>
      <c r="X12" s="10">
        <v>0</v>
      </c>
      <c r="Y12" s="10">
        <v>0</v>
      </c>
      <c r="Z12" s="9">
        <f t="shared" si="7"/>
        <v>5</v>
      </c>
      <c r="AA12" s="78">
        <v>0</v>
      </c>
      <c r="AB12" s="78">
        <v>0</v>
      </c>
      <c r="AC12" s="18">
        <f t="shared" si="8"/>
        <v>5</v>
      </c>
      <c r="AD12" s="78">
        <v>0</v>
      </c>
      <c r="AE12" s="78">
        <v>0</v>
      </c>
      <c r="AF12" s="18">
        <f t="shared" si="9"/>
        <v>5</v>
      </c>
      <c r="AG12" s="78">
        <v>0</v>
      </c>
      <c r="AH12" s="78">
        <v>0</v>
      </c>
      <c r="AI12" s="18">
        <f t="shared" si="10"/>
        <v>5</v>
      </c>
      <c r="AJ12" s="78">
        <v>0</v>
      </c>
      <c r="AK12" s="78">
        <v>0</v>
      </c>
      <c r="AL12" s="18">
        <f t="shared" si="11"/>
        <v>5</v>
      </c>
      <c r="AM12" s="78">
        <v>0</v>
      </c>
      <c r="AN12" s="78">
        <v>0</v>
      </c>
      <c r="AO12" s="18">
        <f t="shared" si="12"/>
        <v>5</v>
      </c>
      <c r="AP12" s="78">
        <v>0</v>
      </c>
      <c r="AQ12" s="78">
        <v>0</v>
      </c>
      <c r="AR12" s="18">
        <f t="shared" si="13"/>
        <v>5</v>
      </c>
      <c r="AS12" s="79">
        <v>0</v>
      </c>
      <c r="AT12" s="79">
        <v>0</v>
      </c>
      <c r="AU12" s="18">
        <f t="shared" si="14"/>
        <v>5</v>
      </c>
      <c r="AV12" s="79">
        <v>0</v>
      </c>
      <c r="AW12" s="79">
        <v>0</v>
      </c>
      <c r="AX12" s="18">
        <f t="shared" si="15"/>
        <v>5</v>
      </c>
      <c r="AY12" s="79">
        <v>0</v>
      </c>
      <c r="AZ12" s="79">
        <v>0</v>
      </c>
      <c r="BA12" s="18">
        <f t="shared" si="16"/>
        <v>5</v>
      </c>
      <c r="BB12" s="79">
        <v>0</v>
      </c>
      <c r="BC12" s="79">
        <v>0</v>
      </c>
      <c r="BD12" s="18">
        <f t="shared" si="17"/>
        <v>5</v>
      </c>
      <c r="BE12" s="79">
        <v>0</v>
      </c>
      <c r="BF12" s="79">
        <v>0</v>
      </c>
      <c r="BG12" s="18">
        <f t="shared" si="18"/>
        <v>5</v>
      </c>
      <c r="BH12" s="79">
        <v>0</v>
      </c>
      <c r="BI12" s="79">
        <v>0</v>
      </c>
      <c r="BJ12" s="18">
        <f t="shared" si="19"/>
        <v>5</v>
      </c>
      <c r="BK12" s="79">
        <v>0</v>
      </c>
      <c r="BL12" s="79">
        <v>0</v>
      </c>
      <c r="BM12" s="18">
        <f t="shared" si="20"/>
        <v>5</v>
      </c>
      <c r="BN12" s="79">
        <v>0</v>
      </c>
      <c r="BO12" s="79">
        <v>0</v>
      </c>
      <c r="BP12" s="18">
        <f t="shared" si="21"/>
        <v>5</v>
      </c>
      <c r="BQ12" s="79">
        <v>0</v>
      </c>
      <c r="BR12" s="79">
        <v>0</v>
      </c>
      <c r="BS12" s="18">
        <f t="shared" si="22"/>
        <v>5</v>
      </c>
      <c r="BT12" s="79">
        <v>0</v>
      </c>
      <c r="BU12" s="79">
        <v>0</v>
      </c>
      <c r="BV12" s="18">
        <f t="shared" si="23"/>
        <v>5</v>
      </c>
      <c r="BW12" s="79">
        <v>0</v>
      </c>
      <c r="BX12" s="79">
        <v>0</v>
      </c>
      <c r="BY12" s="18">
        <f t="shared" si="24"/>
        <v>5</v>
      </c>
      <c r="BZ12" s="79">
        <v>0</v>
      </c>
      <c r="CA12" s="79">
        <v>0</v>
      </c>
      <c r="CB12" s="18">
        <f t="shared" si="25"/>
        <v>5</v>
      </c>
      <c r="CC12" s="79">
        <v>0</v>
      </c>
      <c r="CD12" s="79">
        <v>0</v>
      </c>
      <c r="CE12" s="18">
        <v>5</v>
      </c>
      <c r="CF12" s="79">
        <v>0</v>
      </c>
      <c r="CG12" s="79">
        <v>0</v>
      </c>
      <c r="CH12" s="18">
        <f t="shared" si="27"/>
        <v>5</v>
      </c>
      <c r="CI12" s="79">
        <v>0</v>
      </c>
      <c r="CJ12" s="79">
        <v>0</v>
      </c>
      <c r="CK12" s="79">
        <f t="shared" si="29"/>
        <v>5</v>
      </c>
      <c r="CL12" s="79">
        <v>0</v>
      </c>
      <c r="CM12" s="79">
        <v>1</v>
      </c>
      <c r="CN12" s="80">
        <v>5</v>
      </c>
      <c r="CO12" s="79">
        <v>0</v>
      </c>
      <c r="CP12" s="79">
        <v>0</v>
      </c>
      <c r="CQ12" s="125">
        <v>1</v>
      </c>
      <c r="CR12" s="128">
        <v>0</v>
      </c>
      <c r="CS12" s="128">
        <v>0</v>
      </c>
      <c r="CT12" s="128">
        <f t="shared" si="58"/>
        <v>1</v>
      </c>
      <c r="CU12" s="128">
        <v>0</v>
      </c>
      <c r="CV12" s="128">
        <v>0</v>
      </c>
      <c r="CW12" s="128">
        <f t="shared" si="31"/>
        <v>1</v>
      </c>
      <c r="CX12" s="128"/>
      <c r="CY12" s="128"/>
      <c r="CZ12" s="128">
        <f t="shared" si="32"/>
        <v>1</v>
      </c>
      <c r="DA12" s="128"/>
      <c r="DB12" s="128"/>
      <c r="DC12" s="128">
        <f t="shared" si="33"/>
        <v>1</v>
      </c>
      <c r="DD12" s="128"/>
      <c r="DE12" s="128"/>
      <c r="DF12" s="215">
        <f t="shared" si="34"/>
        <v>1</v>
      </c>
      <c r="DG12" s="128"/>
      <c r="DH12" s="128"/>
      <c r="DI12" s="128">
        <f t="shared" si="35"/>
        <v>1</v>
      </c>
      <c r="DJ12" s="128"/>
      <c r="DK12" s="128"/>
      <c r="DL12" s="128">
        <f t="shared" si="36"/>
        <v>1</v>
      </c>
      <c r="DM12" s="128"/>
      <c r="DN12" s="128"/>
      <c r="DO12" s="215">
        <f t="shared" si="37"/>
        <v>1</v>
      </c>
      <c r="DP12" s="128"/>
      <c r="DQ12" s="128"/>
      <c r="DR12" s="215">
        <f t="shared" si="38"/>
        <v>1</v>
      </c>
      <c r="DS12" s="128"/>
      <c r="DT12" s="128"/>
      <c r="DU12" s="215">
        <f t="shared" si="39"/>
        <v>1</v>
      </c>
      <c r="DV12" s="128"/>
      <c r="DW12" s="128"/>
      <c r="DX12" s="215">
        <f t="shared" si="40"/>
        <v>1</v>
      </c>
      <c r="DY12" s="128"/>
      <c r="DZ12" s="128"/>
      <c r="EA12" s="215">
        <f t="shared" si="41"/>
        <v>1</v>
      </c>
      <c r="EB12" s="128"/>
      <c r="EC12" s="128"/>
      <c r="ED12" s="215">
        <f t="shared" si="42"/>
        <v>1</v>
      </c>
      <c r="EE12" s="128"/>
      <c r="EF12" s="128"/>
      <c r="EG12" s="215">
        <f t="shared" si="43"/>
        <v>1</v>
      </c>
      <c r="EH12" s="128"/>
      <c r="EI12" s="128"/>
      <c r="EJ12" s="215">
        <f t="shared" si="57"/>
        <v>1</v>
      </c>
      <c r="EK12" s="128"/>
      <c r="EL12" s="128"/>
      <c r="EM12" s="215">
        <f t="shared" si="44"/>
        <v>1</v>
      </c>
      <c r="EN12" s="128"/>
      <c r="EO12" s="128"/>
      <c r="EP12" s="215">
        <f t="shared" si="45"/>
        <v>1</v>
      </c>
      <c r="EQ12" s="128"/>
      <c r="ER12" s="128"/>
      <c r="ES12" s="128">
        <f t="shared" si="46"/>
        <v>1</v>
      </c>
      <c r="ET12" s="128"/>
      <c r="EU12" s="128"/>
      <c r="EV12" s="128">
        <f t="shared" si="47"/>
        <v>1</v>
      </c>
      <c r="EW12" s="128"/>
      <c r="EX12" s="128"/>
      <c r="EY12" s="128">
        <f t="shared" si="48"/>
        <v>1</v>
      </c>
      <c r="EZ12" s="128"/>
      <c r="FA12" s="128"/>
      <c r="FB12" s="128">
        <f t="shared" si="49"/>
        <v>1</v>
      </c>
      <c r="FC12" s="128"/>
      <c r="FD12" s="215"/>
      <c r="FE12" s="128">
        <f t="shared" si="50"/>
        <v>1</v>
      </c>
      <c r="FF12" s="128"/>
      <c r="FG12" s="128"/>
      <c r="FH12" s="128">
        <f t="shared" si="51"/>
        <v>1</v>
      </c>
      <c r="FI12" s="128"/>
      <c r="FJ12" s="128"/>
      <c r="FK12" s="128">
        <f t="shared" si="52"/>
        <v>1</v>
      </c>
      <c r="FL12" s="128"/>
      <c r="FM12" s="128"/>
      <c r="FN12" s="128">
        <f t="shared" si="28"/>
        <v>1</v>
      </c>
      <c r="FO12" s="128"/>
      <c r="FP12" s="128"/>
      <c r="FQ12" s="128">
        <f t="shared" si="53"/>
        <v>1</v>
      </c>
      <c r="FR12" s="128"/>
      <c r="FS12" s="128"/>
      <c r="FT12" s="128">
        <f t="shared" si="54"/>
        <v>1</v>
      </c>
      <c r="FU12" s="128"/>
      <c r="FV12" s="128"/>
      <c r="FW12" s="128">
        <f t="shared" si="55"/>
        <v>1</v>
      </c>
    </row>
    <row r="13" spans="1:195" ht="12.75" x14ac:dyDescent="0.2">
      <c r="A13" s="13" t="s">
        <v>87</v>
      </c>
      <c r="B13" s="29">
        <f>'INV. FEB'!BX13</f>
        <v>7</v>
      </c>
      <c r="C13" s="10">
        <v>0</v>
      </c>
      <c r="D13" s="10">
        <v>1</v>
      </c>
      <c r="E13" s="9">
        <f t="shared" si="0"/>
        <v>6</v>
      </c>
      <c r="F13" s="10">
        <v>0</v>
      </c>
      <c r="G13" s="10">
        <v>0</v>
      </c>
      <c r="H13" s="9">
        <f t="shared" si="1"/>
        <v>6</v>
      </c>
      <c r="I13" s="10">
        <v>0</v>
      </c>
      <c r="J13" s="10">
        <v>0</v>
      </c>
      <c r="K13" s="9">
        <f t="shared" si="2"/>
        <v>6</v>
      </c>
      <c r="L13" s="10">
        <v>0</v>
      </c>
      <c r="M13" s="10">
        <v>0</v>
      </c>
      <c r="N13" s="9">
        <f t="shared" si="3"/>
        <v>6</v>
      </c>
      <c r="O13" s="10">
        <v>0</v>
      </c>
      <c r="P13" s="10">
        <v>0</v>
      </c>
      <c r="Q13" s="9">
        <f t="shared" si="4"/>
        <v>6</v>
      </c>
      <c r="R13" s="10">
        <v>0</v>
      </c>
      <c r="S13" s="10">
        <v>0</v>
      </c>
      <c r="T13" s="9">
        <f t="shared" si="5"/>
        <v>6</v>
      </c>
      <c r="U13" s="10">
        <v>0</v>
      </c>
      <c r="V13" s="10">
        <v>0</v>
      </c>
      <c r="W13" s="9">
        <f t="shared" si="6"/>
        <v>6</v>
      </c>
      <c r="X13" s="10">
        <v>0</v>
      </c>
      <c r="Y13" s="10">
        <v>0</v>
      </c>
      <c r="Z13" s="9">
        <f t="shared" si="7"/>
        <v>6</v>
      </c>
      <c r="AA13" s="78">
        <v>0</v>
      </c>
      <c r="AB13" s="78">
        <v>0</v>
      </c>
      <c r="AC13" s="18">
        <f t="shared" si="8"/>
        <v>6</v>
      </c>
      <c r="AD13" s="78">
        <v>0</v>
      </c>
      <c r="AE13" s="78">
        <v>0</v>
      </c>
      <c r="AF13" s="18">
        <f t="shared" si="9"/>
        <v>6</v>
      </c>
      <c r="AG13" s="78">
        <v>0</v>
      </c>
      <c r="AH13" s="78">
        <v>0</v>
      </c>
      <c r="AI13" s="18">
        <f t="shared" si="10"/>
        <v>6</v>
      </c>
      <c r="AJ13" s="78">
        <v>0</v>
      </c>
      <c r="AK13" s="78">
        <v>0</v>
      </c>
      <c r="AL13" s="18">
        <f t="shared" si="11"/>
        <v>6</v>
      </c>
      <c r="AM13" s="78">
        <v>0</v>
      </c>
      <c r="AN13" s="78">
        <v>0</v>
      </c>
      <c r="AO13" s="18">
        <f t="shared" si="12"/>
        <v>6</v>
      </c>
      <c r="AP13" s="78">
        <v>0</v>
      </c>
      <c r="AQ13" s="78">
        <v>0</v>
      </c>
      <c r="AR13" s="18">
        <f t="shared" si="13"/>
        <v>6</v>
      </c>
      <c r="AS13" s="79">
        <v>0</v>
      </c>
      <c r="AT13" s="79">
        <v>0</v>
      </c>
      <c r="AU13" s="18">
        <f t="shared" si="14"/>
        <v>6</v>
      </c>
      <c r="AV13" s="79">
        <v>0</v>
      </c>
      <c r="AW13" s="79">
        <v>0</v>
      </c>
      <c r="AX13" s="18">
        <f t="shared" si="15"/>
        <v>6</v>
      </c>
      <c r="AY13" s="79">
        <v>0</v>
      </c>
      <c r="AZ13" s="79">
        <v>0</v>
      </c>
      <c r="BA13" s="18">
        <f t="shared" si="16"/>
        <v>6</v>
      </c>
      <c r="BB13" s="79">
        <v>0</v>
      </c>
      <c r="BC13" s="79">
        <v>0</v>
      </c>
      <c r="BD13" s="18">
        <f t="shared" si="17"/>
        <v>6</v>
      </c>
      <c r="BE13" s="79">
        <v>0</v>
      </c>
      <c r="BF13" s="79">
        <v>0</v>
      </c>
      <c r="BG13" s="18">
        <f t="shared" si="18"/>
        <v>6</v>
      </c>
      <c r="BH13" s="79">
        <v>0</v>
      </c>
      <c r="BI13" s="79">
        <v>0</v>
      </c>
      <c r="BJ13" s="18">
        <f t="shared" si="19"/>
        <v>6</v>
      </c>
      <c r="BK13" s="79">
        <v>0</v>
      </c>
      <c r="BL13" s="79">
        <v>0</v>
      </c>
      <c r="BM13" s="18">
        <f t="shared" si="20"/>
        <v>6</v>
      </c>
      <c r="BN13" s="79">
        <v>0</v>
      </c>
      <c r="BO13" s="79">
        <v>0</v>
      </c>
      <c r="BP13" s="18">
        <f t="shared" si="21"/>
        <v>6</v>
      </c>
      <c r="BQ13" s="79">
        <v>0</v>
      </c>
      <c r="BR13" s="79">
        <v>0</v>
      </c>
      <c r="BS13" s="18">
        <f t="shared" si="22"/>
        <v>6</v>
      </c>
      <c r="BT13" s="79">
        <v>0</v>
      </c>
      <c r="BU13" s="79">
        <v>4</v>
      </c>
      <c r="BV13" s="18">
        <f t="shared" si="23"/>
        <v>2</v>
      </c>
      <c r="BW13" s="79">
        <v>0</v>
      </c>
      <c r="BX13" s="79">
        <v>3</v>
      </c>
      <c r="BY13" s="18">
        <f t="shared" si="24"/>
        <v>-1</v>
      </c>
      <c r="BZ13" s="79">
        <v>6</v>
      </c>
      <c r="CA13" s="79">
        <v>0</v>
      </c>
      <c r="CB13" s="18">
        <f t="shared" si="25"/>
        <v>5</v>
      </c>
      <c r="CC13" s="79">
        <v>0</v>
      </c>
      <c r="CD13" s="79">
        <v>0</v>
      </c>
      <c r="CE13" s="18">
        <v>5</v>
      </c>
      <c r="CF13" s="79">
        <v>0</v>
      </c>
      <c r="CG13" s="79">
        <v>0</v>
      </c>
      <c r="CH13" s="18">
        <f t="shared" si="27"/>
        <v>5</v>
      </c>
      <c r="CI13" s="79">
        <v>0</v>
      </c>
      <c r="CJ13" s="79">
        <v>0</v>
      </c>
      <c r="CK13" s="79">
        <f t="shared" si="29"/>
        <v>5</v>
      </c>
      <c r="CL13" s="79">
        <v>0</v>
      </c>
      <c r="CM13" s="79">
        <v>4</v>
      </c>
      <c r="CN13" s="80">
        <f t="shared" si="30"/>
        <v>1</v>
      </c>
      <c r="CO13" s="79">
        <v>0</v>
      </c>
      <c r="CP13" s="79">
        <v>0</v>
      </c>
      <c r="CQ13" s="125">
        <f t="shared" si="56"/>
        <v>1</v>
      </c>
      <c r="CR13" s="128">
        <v>0</v>
      </c>
      <c r="CS13" s="128">
        <v>0</v>
      </c>
      <c r="CT13" s="128">
        <f t="shared" si="58"/>
        <v>1</v>
      </c>
      <c r="CU13" s="128">
        <v>0</v>
      </c>
      <c r="CV13" s="128">
        <v>0</v>
      </c>
      <c r="CW13" s="128">
        <f t="shared" si="31"/>
        <v>1</v>
      </c>
      <c r="CX13" s="128"/>
      <c r="CY13" s="128"/>
      <c r="CZ13" s="128">
        <f t="shared" si="32"/>
        <v>1</v>
      </c>
      <c r="DA13" s="128"/>
      <c r="DB13" s="128"/>
      <c r="DC13" s="128">
        <f t="shared" si="33"/>
        <v>1</v>
      </c>
      <c r="DD13" s="128"/>
      <c r="DE13" s="128"/>
      <c r="DF13" s="215">
        <f t="shared" si="34"/>
        <v>1</v>
      </c>
      <c r="DG13" s="128"/>
      <c r="DH13" s="128"/>
      <c r="DI13" s="128">
        <f t="shared" si="35"/>
        <v>1</v>
      </c>
      <c r="DJ13" s="128">
        <v>12</v>
      </c>
      <c r="DK13" s="128"/>
      <c r="DL13" s="128">
        <f t="shared" si="36"/>
        <v>13</v>
      </c>
      <c r="DM13" s="128"/>
      <c r="DN13" s="128"/>
      <c r="DO13" s="215">
        <f t="shared" si="37"/>
        <v>13</v>
      </c>
      <c r="DP13" s="128"/>
      <c r="DQ13" s="128"/>
      <c r="DR13" s="215">
        <f t="shared" si="38"/>
        <v>13</v>
      </c>
      <c r="DS13" s="128"/>
      <c r="DT13" s="128"/>
      <c r="DU13" s="215">
        <f t="shared" si="39"/>
        <v>13</v>
      </c>
      <c r="DV13" s="128"/>
      <c r="DW13" s="128"/>
      <c r="DX13" s="215">
        <f t="shared" si="40"/>
        <v>13</v>
      </c>
      <c r="DY13" s="128"/>
      <c r="DZ13" s="128"/>
      <c r="EA13" s="215">
        <f t="shared" si="41"/>
        <v>13</v>
      </c>
      <c r="EB13" s="128"/>
      <c r="EC13" s="128"/>
      <c r="ED13" s="215">
        <f t="shared" si="42"/>
        <v>13</v>
      </c>
      <c r="EE13" s="128"/>
      <c r="EF13" s="128"/>
      <c r="EG13" s="215">
        <f t="shared" si="43"/>
        <v>13</v>
      </c>
      <c r="EH13" s="128"/>
      <c r="EI13" s="128"/>
      <c r="EJ13" s="215">
        <f t="shared" si="57"/>
        <v>13</v>
      </c>
      <c r="EK13" s="128"/>
      <c r="EL13" s="128"/>
      <c r="EM13" s="215">
        <f t="shared" si="44"/>
        <v>13</v>
      </c>
      <c r="EN13" s="128"/>
      <c r="EO13" s="128"/>
      <c r="EP13" s="215">
        <f t="shared" si="45"/>
        <v>13</v>
      </c>
      <c r="EQ13" s="128"/>
      <c r="ER13" s="128"/>
      <c r="ES13" s="128">
        <f t="shared" si="46"/>
        <v>13</v>
      </c>
      <c r="ET13" s="128"/>
      <c r="EU13" s="128"/>
      <c r="EV13" s="128">
        <f t="shared" si="47"/>
        <v>13</v>
      </c>
      <c r="EW13" s="128"/>
      <c r="EX13" s="128"/>
      <c r="EY13" s="128">
        <f t="shared" si="48"/>
        <v>13</v>
      </c>
      <c r="EZ13" s="128"/>
      <c r="FA13" s="128"/>
      <c r="FB13" s="128">
        <f t="shared" si="49"/>
        <v>13</v>
      </c>
      <c r="FC13" s="128"/>
      <c r="FD13" s="215"/>
      <c r="FE13" s="128">
        <f t="shared" si="50"/>
        <v>13</v>
      </c>
      <c r="FF13" s="128"/>
      <c r="FG13" s="128"/>
      <c r="FH13" s="128">
        <f t="shared" si="51"/>
        <v>13</v>
      </c>
      <c r="FI13" s="128"/>
      <c r="FJ13" s="128"/>
      <c r="FK13" s="128">
        <f t="shared" si="52"/>
        <v>13</v>
      </c>
      <c r="FL13" s="128"/>
      <c r="FM13" s="128"/>
      <c r="FN13" s="128">
        <f t="shared" si="28"/>
        <v>13</v>
      </c>
      <c r="FO13" s="128"/>
      <c r="FP13" s="128"/>
      <c r="FQ13" s="128">
        <f t="shared" si="53"/>
        <v>13</v>
      </c>
      <c r="FR13" s="128"/>
      <c r="FS13" s="128"/>
      <c r="FT13" s="128">
        <f t="shared" si="54"/>
        <v>13</v>
      </c>
      <c r="FU13" s="128"/>
      <c r="FV13" s="128"/>
      <c r="FW13" s="128">
        <f t="shared" si="55"/>
        <v>13</v>
      </c>
    </row>
    <row r="14" spans="1:195" ht="12.75" x14ac:dyDescent="0.2">
      <c r="A14" s="13" t="s">
        <v>88</v>
      </c>
      <c r="B14" s="29">
        <f>'INV. FEB'!BX14</f>
        <v>10</v>
      </c>
      <c r="C14" s="10">
        <v>0</v>
      </c>
      <c r="D14" s="10">
        <v>0</v>
      </c>
      <c r="E14" s="9">
        <f t="shared" si="0"/>
        <v>10</v>
      </c>
      <c r="F14" s="10">
        <v>0</v>
      </c>
      <c r="G14" s="10">
        <v>0</v>
      </c>
      <c r="H14" s="9">
        <f t="shared" si="1"/>
        <v>10</v>
      </c>
      <c r="I14" s="10">
        <v>0</v>
      </c>
      <c r="J14" s="10">
        <v>0</v>
      </c>
      <c r="K14" s="9">
        <f t="shared" si="2"/>
        <v>10</v>
      </c>
      <c r="L14" s="10">
        <v>0</v>
      </c>
      <c r="M14" s="10">
        <v>0</v>
      </c>
      <c r="N14" s="9">
        <f t="shared" si="3"/>
        <v>10</v>
      </c>
      <c r="O14" s="10">
        <v>0</v>
      </c>
      <c r="P14" s="10">
        <v>0</v>
      </c>
      <c r="Q14" s="9">
        <f t="shared" si="4"/>
        <v>10</v>
      </c>
      <c r="R14" s="10">
        <v>0</v>
      </c>
      <c r="S14" s="10">
        <v>0</v>
      </c>
      <c r="T14" s="9">
        <f t="shared" si="5"/>
        <v>10</v>
      </c>
      <c r="U14" s="10">
        <v>0</v>
      </c>
      <c r="V14" s="10">
        <v>0</v>
      </c>
      <c r="W14" s="9">
        <f t="shared" si="6"/>
        <v>10</v>
      </c>
      <c r="X14" s="10">
        <v>0</v>
      </c>
      <c r="Y14" s="10">
        <v>0</v>
      </c>
      <c r="Z14" s="9">
        <f t="shared" si="7"/>
        <v>10</v>
      </c>
      <c r="AA14" s="78">
        <v>0</v>
      </c>
      <c r="AB14" s="78">
        <v>0</v>
      </c>
      <c r="AC14" s="18">
        <f t="shared" si="8"/>
        <v>10</v>
      </c>
      <c r="AD14" s="78">
        <v>0</v>
      </c>
      <c r="AE14" s="78">
        <v>0</v>
      </c>
      <c r="AF14" s="18">
        <f t="shared" si="9"/>
        <v>10</v>
      </c>
      <c r="AG14" s="78">
        <v>0</v>
      </c>
      <c r="AH14" s="78">
        <v>0</v>
      </c>
      <c r="AI14" s="18">
        <f t="shared" si="10"/>
        <v>10</v>
      </c>
      <c r="AJ14" s="78">
        <v>0</v>
      </c>
      <c r="AK14" s="78">
        <v>0</v>
      </c>
      <c r="AL14" s="18">
        <f t="shared" si="11"/>
        <v>10</v>
      </c>
      <c r="AM14" s="78">
        <v>0</v>
      </c>
      <c r="AN14" s="78">
        <v>0</v>
      </c>
      <c r="AO14" s="18">
        <f t="shared" si="12"/>
        <v>10</v>
      </c>
      <c r="AP14" s="78">
        <v>0</v>
      </c>
      <c r="AQ14" s="78">
        <v>0</v>
      </c>
      <c r="AR14" s="18">
        <f t="shared" si="13"/>
        <v>10</v>
      </c>
      <c r="AS14" s="79">
        <v>0</v>
      </c>
      <c r="AT14" s="79">
        <v>0</v>
      </c>
      <c r="AU14" s="18">
        <f t="shared" si="14"/>
        <v>10</v>
      </c>
      <c r="AV14" s="79">
        <v>0</v>
      </c>
      <c r="AW14" s="79">
        <v>0</v>
      </c>
      <c r="AX14" s="18">
        <f t="shared" si="15"/>
        <v>10</v>
      </c>
      <c r="AY14" s="79">
        <v>0</v>
      </c>
      <c r="AZ14" s="79">
        <v>0</v>
      </c>
      <c r="BA14" s="18">
        <f t="shared" si="16"/>
        <v>10</v>
      </c>
      <c r="BB14" s="79">
        <v>0</v>
      </c>
      <c r="BC14" s="79">
        <v>0</v>
      </c>
      <c r="BD14" s="18">
        <f t="shared" si="17"/>
        <v>10</v>
      </c>
      <c r="BE14" s="79">
        <v>0</v>
      </c>
      <c r="BF14" s="79">
        <v>0</v>
      </c>
      <c r="BG14" s="18">
        <f t="shared" si="18"/>
        <v>10</v>
      </c>
      <c r="BH14" s="79">
        <v>0</v>
      </c>
      <c r="BI14" s="79">
        <v>0</v>
      </c>
      <c r="BJ14" s="18">
        <f t="shared" si="19"/>
        <v>10</v>
      </c>
      <c r="BK14" s="79">
        <v>0</v>
      </c>
      <c r="BL14" s="79">
        <v>0</v>
      </c>
      <c r="BM14" s="18">
        <f t="shared" si="20"/>
        <v>10</v>
      </c>
      <c r="BN14" s="79">
        <v>0</v>
      </c>
      <c r="BO14" s="79">
        <v>0</v>
      </c>
      <c r="BP14" s="18">
        <f t="shared" si="21"/>
        <v>10</v>
      </c>
      <c r="BQ14" s="79">
        <v>0</v>
      </c>
      <c r="BR14" s="79">
        <v>0</v>
      </c>
      <c r="BS14" s="18">
        <f t="shared" si="22"/>
        <v>10</v>
      </c>
      <c r="BT14" s="79">
        <v>0</v>
      </c>
      <c r="BU14" s="79">
        <v>0</v>
      </c>
      <c r="BV14" s="18">
        <f t="shared" si="23"/>
        <v>10</v>
      </c>
      <c r="BW14" s="79">
        <v>0</v>
      </c>
      <c r="BX14" s="79">
        <v>0</v>
      </c>
      <c r="BY14" s="18">
        <f t="shared" si="24"/>
        <v>10</v>
      </c>
      <c r="BZ14" s="79">
        <v>0</v>
      </c>
      <c r="CA14" s="79">
        <v>0</v>
      </c>
      <c r="CB14" s="18">
        <f t="shared" si="25"/>
        <v>10</v>
      </c>
      <c r="CC14" s="79">
        <v>0</v>
      </c>
      <c r="CD14" s="79">
        <v>0</v>
      </c>
      <c r="CE14" s="18">
        <v>10</v>
      </c>
      <c r="CF14" s="79">
        <v>0</v>
      </c>
      <c r="CG14" s="79">
        <v>0</v>
      </c>
      <c r="CH14" s="18">
        <f t="shared" si="27"/>
        <v>10</v>
      </c>
      <c r="CI14" s="79">
        <v>0</v>
      </c>
      <c r="CJ14" s="79">
        <v>0</v>
      </c>
      <c r="CK14" s="79">
        <f t="shared" si="29"/>
        <v>10</v>
      </c>
      <c r="CL14" s="79">
        <v>0</v>
      </c>
      <c r="CM14" s="79">
        <v>0</v>
      </c>
      <c r="CN14" s="80">
        <f t="shared" si="30"/>
        <v>10</v>
      </c>
      <c r="CO14" s="79">
        <v>0</v>
      </c>
      <c r="CP14" s="79">
        <v>0</v>
      </c>
      <c r="CQ14" s="125">
        <f t="shared" si="56"/>
        <v>10</v>
      </c>
      <c r="CR14" s="128">
        <v>0</v>
      </c>
      <c r="CS14" s="128">
        <v>0</v>
      </c>
      <c r="CT14" s="128">
        <f t="shared" si="58"/>
        <v>10</v>
      </c>
      <c r="CU14" s="128">
        <v>0</v>
      </c>
      <c r="CV14" s="128">
        <v>0</v>
      </c>
      <c r="CW14" s="128">
        <f t="shared" si="31"/>
        <v>10</v>
      </c>
      <c r="CX14" s="128"/>
      <c r="CY14" s="128"/>
      <c r="CZ14" s="128">
        <f t="shared" si="32"/>
        <v>10</v>
      </c>
      <c r="DA14" s="128"/>
      <c r="DB14" s="128"/>
      <c r="DC14" s="128">
        <f t="shared" si="33"/>
        <v>10</v>
      </c>
      <c r="DD14" s="128"/>
      <c r="DE14" s="128"/>
      <c r="DF14" s="215">
        <f t="shared" si="34"/>
        <v>10</v>
      </c>
      <c r="DG14" s="128"/>
      <c r="DH14" s="128"/>
      <c r="DI14" s="128">
        <f t="shared" si="35"/>
        <v>10</v>
      </c>
      <c r="DJ14" s="128"/>
      <c r="DK14" s="128"/>
      <c r="DL14" s="128">
        <f t="shared" si="36"/>
        <v>10</v>
      </c>
      <c r="DM14" s="128"/>
      <c r="DN14" s="128"/>
      <c r="DO14" s="215">
        <f t="shared" si="37"/>
        <v>10</v>
      </c>
      <c r="DP14" s="128"/>
      <c r="DQ14" s="128"/>
      <c r="DR14" s="215">
        <f t="shared" si="38"/>
        <v>10</v>
      </c>
      <c r="DS14" s="128"/>
      <c r="DT14" s="128"/>
      <c r="DU14" s="215">
        <f t="shared" si="39"/>
        <v>10</v>
      </c>
      <c r="DV14" s="128"/>
      <c r="DW14" s="128"/>
      <c r="DX14" s="215">
        <f t="shared" si="40"/>
        <v>10</v>
      </c>
      <c r="DY14" s="128"/>
      <c r="DZ14" s="128"/>
      <c r="EA14" s="215">
        <f t="shared" si="41"/>
        <v>10</v>
      </c>
      <c r="EB14" s="128"/>
      <c r="EC14" s="128"/>
      <c r="ED14" s="215">
        <f t="shared" si="42"/>
        <v>10</v>
      </c>
      <c r="EE14" s="128"/>
      <c r="EF14" s="128"/>
      <c r="EG14" s="215">
        <f t="shared" si="43"/>
        <v>10</v>
      </c>
      <c r="EH14" s="128"/>
      <c r="EI14" s="128"/>
      <c r="EJ14" s="215">
        <f t="shared" si="57"/>
        <v>10</v>
      </c>
      <c r="EK14" s="128"/>
      <c r="EL14" s="128"/>
      <c r="EM14" s="215">
        <f t="shared" si="44"/>
        <v>10</v>
      </c>
      <c r="EN14" s="128"/>
      <c r="EO14" s="128"/>
      <c r="EP14" s="215">
        <f t="shared" si="45"/>
        <v>10</v>
      </c>
      <c r="EQ14" s="128"/>
      <c r="ER14" s="128"/>
      <c r="ES14" s="128">
        <f t="shared" si="46"/>
        <v>10</v>
      </c>
      <c r="ET14" s="128"/>
      <c r="EU14" s="128"/>
      <c r="EV14" s="128">
        <f t="shared" si="47"/>
        <v>10</v>
      </c>
      <c r="EW14" s="128"/>
      <c r="EX14" s="128"/>
      <c r="EY14" s="128">
        <f t="shared" si="48"/>
        <v>10</v>
      </c>
      <c r="EZ14" s="128"/>
      <c r="FA14" s="128"/>
      <c r="FB14" s="128">
        <f t="shared" si="49"/>
        <v>10</v>
      </c>
      <c r="FC14" s="128"/>
      <c r="FD14" s="215"/>
      <c r="FE14" s="128">
        <f t="shared" si="50"/>
        <v>10</v>
      </c>
      <c r="FF14" s="128"/>
      <c r="FG14" s="128"/>
      <c r="FH14" s="128">
        <f t="shared" si="51"/>
        <v>10</v>
      </c>
      <c r="FI14" s="128"/>
      <c r="FJ14" s="128"/>
      <c r="FK14" s="128">
        <f t="shared" si="52"/>
        <v>10</v>
      </c>
      <c r="FL14" s="128"/>
      <c r="FM14" s="128"/>
      <c r="FN14" s="128">
        <f t="shared" si="28"/>
        <v>10</v>
      </c>
      <c r="FO14" s="128"/>
      <c r="FP14" s="128"/>
      <c r="FQ14" s="128">
        <f t="shared" si="53"/>
        <v>10</v>
      </c>
      <c r="FR14" s="128"/>
      <c r="FS14" s="128"/>
      <c r="FT14" s="128">
        <f t="shared" si="54"/>
        <v>10</v>
      </c>
      <c r="FU14" s="128"/>
      <c r="FV14" s="128"/>
      <c r="FW14" s="128">
        <f t="shared" si="55"/>
        <v>10</v>
      </c>
    </row>
    <row r="15" spans="1:195" ht="12.75" x14ac:dyDescent="0.2">
      <c r="A15" s="13" t="s">
        <v>89</v>
      </c>
      <c r="B15" s="29">
        <f>'INV. FEB'!BX15</f>
        <v>0</v>
      </c>
      <c r="C15" s="10">
        <v>0</v>
      </c>
      <c r="D15" s="10">
        <v>0</v>
      </c>
      <c r="E15" s="9">
        <f t="shared" si="0"/>
        <v>0</v>
      </c>
      <c r="F15" s="10">
        <v>0</v>
      </c>
      <c r="G15" s="10">
        <v>0</v>
      </c>
      <c r="H15" s="9">
        <f t="shared" si="1"/>
        <v>0</v>
      </c>
      <c r="I15" s="10">
        <v>0</v>
      </c>
      <c r="J15" s="10">
        <v>0</v>
      </c>
      <c r="K15" s="9">
        <f t="shared" si="2"/>
        <v>0</v>
      </c>
      <c r="L15" s="10">
        <v>0</v>
      </c>
      <c r="M15" s="10">
        <v>0</v>
      </c>
      <c r="N15" s="9">
        <f t="shared" si="3"/>
        <v>0</v>
      </c>
      <c r="O15" s="10">
        <v>0</v>
      </c>
      <c r="P15" s="10">
        <v>0</v>
      </c>
      <c r="Q15" s="9">
        <f t="shared" si="4"/>
        <v>0</v>
      </c>
      <c r="R15" s="10">
        <v>0</v>
      </c>
      <c r="S15" s="10">
        <v>0</v>
      </c>
      <c r="T15" s="9">
        <f t="shared" si="5"/>
        <v>0</v>
      </c>
      <c r="U15" s="10">
        <v>0</v>
      </c>
      <c r="V15" s="10">
        <v>0</v>
      </c>
      <c r="W15" s="9">
        <f t="shared" si="6"/>
        <v>0</v>
      </c>
      <c r="X15" s="10">
        <v>0</v>
      </c>
      <c r="Y15" s="10">
        <v>0</v>
      </c>
      <c r="Z15" s="9">
        <f t="shared" si="7"/>
        <v>0</v>
      </c>
      <c r="AA15" s="78">
        <v>0</v>
      </c>
      <c r="AB15" s="78">
        <v>0</v>
      </c>
      <c r="AC15" s="18">
        <f t="shared" si="8"/>
        <v>0</v>
      </c>
      <c r="AD15" s="78">
        <v>0</v>
      </c>
      <c r="AE15" s="78">
        <v>0</v>
      </c>
      <c r="AF15" s="18">
        <f t="shared" si="9"/>
        <v>0</v>
      </c>
      <c r="AG15" s="78">
        <v>0</v>
      </c>
      <c r="AH15" s="78">
        <v>0</v>
      </c>
      <c r="AI15" s="18">
        <f t="shared" si="10"/>
        <v>0</v>
      </c>
      <c r="AJ15" s="78">
        <v>0</v>
      </c>
      <c r="AK15" s="78">
        <v>0</v>
      </c>
      <c r="AL15" s="18">
        <f t="shared" si="11"/>
        <v>0</v>
      </c>
      <c r="AM15" s="78">
        <v>0</v>
      </c>
      <c r="AN15" s="78">
        <v>0</v>
      </c>
      <c r="AO15" s="18">
        <f t="shared" si="12"/>
        <v>0</v>
      </c>
      <c r="AP15" s="78">
        <v>0</v>
      </c>
      <c r="AQ15" s="78">
        <v>0</v>
      </c>
      <c r="AR15" s="18">
        <f t="shared" si="13"/>
        <v>0</v>
      </c>
      <c r="AS15" s="79">
        <v>0</v>
      </c>
      <c r="AT15" s="79">
        <v>0</v>
      </c>
      <c r="AU15" s="18">
        <f t="shared" si="14"/>
        <v>0</v>
      </c>
      <c r="AV15" s="79">
        <v>0</v>
      </c>
      <c r="AW15" s="79">
        <v>0</v>
      </c>
      <c r="AX15" s="18">
        <f t="shared" si="15"/>
        <v>0</v>
      </c>
      <c r="AY15" s="79">
        <v>0</v>
      </c>
      <c r="AZ15" s="79">
        <v>0</v>
      </c>
      <c r="BA15" s="18">
        <f t="shared" si="16"/>
        <v>0</v>
      </c>
      <c r="BB15" s="79">
        <v>0</v>
      </c>
      <c r="BC15" s="79">
        <v>0</v>
      </c>
      <c r="BD15" s="18">
        <f t="shared" si="17"/>
        <v>0</v>
      </c>
      <c r="BE15" s="79">
        <v>0</v>
      </c>
      <c r="BF15" s="79">
        <v>0</v>
      </c>
      <c r="BG15" s="18">
        <f t="shared" si="18"/>
        <v>0</v>
      </c>
      <c r="BH15" s="79">
        <v>0</v>
      </c>
      <c r="BI15" s="79">
        <v>0</v>
      </c>
      <c r="BJ15" s="18">
        <f t="shared" si="19"/>
        <v>0</v>
      </c>
      <c r="BK15" s="79">
        <v>0</v>
      </c>
      <c r="BL15" s="79">
        <v>0</v>
      </c>
      <c r="BM15" s="18">
        <f t="shared" si="20"/>
        <v>0</v>
      </c>
      <c r="BN15" s="79">
        <v>0</v>
      </c>
      <c r="BO15" s="79">
        <v>0</v>
      </c>
      <c r="BP15" s="18">
        <f t="shared" si="21"/>
        <v>0</v>
      </c>
      <c r="BQ15" s="79">
        <v>0</v>
      </c>
      <c r="BR15" s="79">
        <v>0</v>
      </c>
      <c r="BS15" s="18">
        <f t="shared" si="22"/>
        <v>0</v>
      </c>
      <c r="BT15" s="79">
        <v>0</v>
      </c>
      <c r="BU15" s="79">
        <v>0</v>
      </c>
      <c r="BV15" s="18">
        <f t="shared" si="23"/>
        <v>0</v>
      </c>
      <c r="BW15" s="79">
        <v>0</v>
      </c>
      <c r="BX15" s="79">
        <v>0</v>
      </c>
      <c r="BY15" s="18">
        <f t="shared" si="24"/>
        <v>0</v>
      </c>
      <c r="BZ15" s="79">
        <v>0</v>
      </c>
      <c r="CA15" s="79">
        <v>0</v>
      </c>
      <c r="CB15" s="18">
        <f t="shared" si="25"/>
        <v>0</v>
      </c>
      <c r="CC15" s="79">
        <v>0</v>
      </c>
      <c r="CD15" s="79">
        <v>0</v>
      </c>
      <c r="CE15" s="18">
        <v>0</v>
      </c>
      <c r="CF15" s="79">
        <v>0</v>
      </c>
      <c r="CG15" s="79">
        <v>0</v>
      </c>
      <c r="CH15" s="18">
        <f t="shared" si="27"/>
        <v>0</v>
      </c>
      <c r="CI15" s="79">
        <v>0</v>
      </c>
      <c r="CJ15" s="79">
        <v>0</v>
      </c>
      <c r="CK15" s="79">
        <f t="shared" si="29"/>
        <v>0</v>
      </c>
      <c r="CL15" s="79">
        <v>0</v>
      </c>
      <c r="CM15" s="79">
        <v>0</v>
      </c>
      <c r="CN15" s="80">
        <f t="shared" si="30"/>
        <v>0</v>
      </c>
      <c r="CO15" s="79">
        <v>0</v>
      </c>
      <c r="CP15" s="79">
        <v>0</v>
      </c>
      <c r="CQ15" s="125">
        <f t="shared" si="56"/>
        <v>0</v>
      </c>
      <c r="CR15" s="128">
        <v>0</v>
      </c>
      <c r="CS15" s="128">
        <v>0</v>
      </c>
      <c r="CT15" s="128">
        <f t="shared" si="58"/>
        <v>0</v>
      </c>
      <c r="CU15" s="128">
        <v>0</v>
      </c>
      <c r="CV15" s="128">
        <v>0</v>
      </c>
      <c r="CW15" s="128">
        <f t="shared" si="31"/>
        <v>0</v>
      </c>
      <c r="CX15" s="128"/>
      <c r="CY15" s="128"/>
      <c r="CZ15" s="128">
        <f t="shared" si="32"/>
        <v>0</v>
      </c>
      <c r="DA15" s="128"/>
      <c r="DB15" s="128"/>
      <c r="DC15" s="128">
        <f t="shared" si="33"/>
        <v>0</v>
      </c>
      <c r="DD15" s="128"/>
      <c r="DE15" s="128"/>
      <c r="DF15" s="215">
        <f t="shared" si="34"/>
        <v>0</v>
      </c>
      <c r="DG15" s="128"/>
      <c r="DH15" s="128"/>
      <c r="DI15" s="128">
        <f t="shared" si="35"/>
        <v>0</v>
      </c>
      <c r="DJ15" s="128"/>
      <c r="DK15" s="128"/>
      <c r="DL15" s="128">
        <f t="shared" si="36"/>
        <v>0</v>
      </c>
      <c r="DM15" s="128"/>
      <c r="DN15" s="128"/>
      <c r="DO15" s="215">
        <f t="shared" si="37"/>
        <v>0</v>
      </c>
      <c r="DP15" s="128"/>
      <c r="DQ15" s="128"/>
      <c r="DR15" s="215">
        <f t="shared" si="38"/>
        <v>0</v>
      </c>
      <c r="DS15" s="128"/>
      <c r="DT15" s="128"/>
      <c r="DU15" s="215">
        <f t="shared" si="39"/>
        <v>0</v>
      </c>
      <c r="DV15" s="128"/>
      <c r="DW15" s="128"/>
      <c r="DX15" s="215">
        <f t="shared" si="40"/>
        <v>0</v>
      </c>
      <c r="DY15" s="128"/>
      <c r="DZ15" s="128"/>
      <c r="EA15" s="215">
        <f t="shared" si="41"/>
        <v>0</v>
      </c>
      <c r="EB15" s="128"/>
      <c r="EC15" s="128"/>
      <c r="ED15" s="215">
        <f t="shared" si="42"/>
        <v>0</v>
      </c>
      <c r="EE15" s="128"/>
      <c r="EF15" s="128"/>
      <c r="EG15" s="215">
        <f t="shared" si="43"/>
        <v>0</v>
      </c>
      <c r="EH15" s="128"/>
      <c r="EI15" s="128"/>
      <c r="EJ15" s="215">
        <f t="shared" si="57"/>
        <v>0</v>
      </c>
      <c r="EK15" s="128"/>
      <c r="EL15" s="128"/>
      <c r="EM15" s="215">
        <f t="shared" si="44"/>
        <v>0</v>
      </c>
      <c r="EN15" s="128"/>
      <c r="EO15" s="128"/>
      <c r="EP15" s="215">
        <f t="shared" si="45"/>
        <v>0</v>
      </c>
      <c r="EQ15" s="128"/>
      <c r="ER15" s="128"/>
      <c r="ES15" s="128">
        <f t="shared" si="46"/>
        <v>0</v>
      </c>
      <c r="ET15" s="128"/>
      <c r="EU15" s="128"/>
      <c r="EV15" s="128">
        <f t="shared" si="47"/>
        <v>0</v>
      </c>
      <c r="EW15" s="128"/>
      <c r="EX15" s="128"/>
      <c r="EY15" s="128">
        <f t="shared" si="48"/>
        <v>0</v>
      </c>
      <c r="EZ15" s="128"/>
      <c r="FA15" s="128"/>
      <c r="FB15" s="128">
        <f t="shared" si="49"/>
        <v>0</v>
      </c>
      <c r="FC15" s="128"/>
      <c r="FD15" s="215"/>
      <c r="FE15" s="128">
        <f t="shared" si="50"/>
        <v>0</v>
      </c>
      <c r="FF15" s="128"/>
      <c r="FG15" s="128"/>
      <c r="FH15" s="128">
        <f t="shared" si="51"/>
        <v>0</v>
      </c>
      <c r="FI15" s="128"/>
      <c r="FJ15" s="128"/>
      <c r="FK15" s="128">
        <f t="shared" si="52"/>
        <v>0</v>
      </c>
      <c r="FL15" s="128"/>
      <c r="FM15" s="128"/>
      <c r="FN15" s="128">
        <f t="shared" si="28"/>
        <v>0</v>
      </c>
      <c r="FO15" s="128"/>
      <c r="FP15" s="128"/>
      <c r="FQ15" s="128">
        <f t="shared" si="53"/>
        <v>0</v>
      </c>
      <c r="FR15" s="128"/>
      <c r="FS15" s="128"/>
      <c r="FT15" s="128">
        <f t="shared" si="54"/>
        <v>0</v>
      </c>
      <c r="FU15" s="128"/>
      <c r="FV15" s="128"/>
      <c r="FW15" s="128">
        <f t="shared" si="55"/>
        <v>0</v>
      </c>
    </row>
    <row r="16" spans="1:195" ht="12.75" x14ac:dyDescent="0.2">
      <c r="A16" s="13" t="s">
        <v>90</v>
      </c>
      <c r="B16" s="29">
        <f>'INV. FEB'!BX16</f>
        <v>11</v>
      </c>
      <c r="C16" s="10">
        <v>0</v>
      </c>
      <c r="D16" s="10">
        <v>0</v>
      </c>
      <c r="E16" s="9">
        <f t="shared" si="0"/>
        <v>11</v>
      </c>
      <c r="F16" s="10">
        <v>0</v>
      </c>
      <c r="G16" s="10">
        <v>0</v>
      </c>
      <c r="H16" s="9">
        <f t="shared" si="1"/>
        <v>11</v>
      </c>
      <c r="I16" s="10">
        <v>0</v>
      </c>
      <c r="J16" s="10">
        <v>0</v>
      </c>
      <c r="K16" s="9">
        <f t="shared" si="2"/>
        <v>11</v>
      </c>
      <c r="L16" s="10">
        <v>0</v>
      </c>
      <c r="M16" s="10">
        <v>0</v>
      </c>
      <c r="N16" s="9">
        <f t="shared" si="3"/>
        <v>11</v>
      </c>
      <c r="O16" s="10">
        <v>0</v>
      </c>
      <c r="P16" s="10">
        <v>0</v>
      </c>
      <c r="Q16" s="9">
        <f t="shared" si="4"/>
        <v>11</v>
      </c>
      <c r="R16" s="10">
        <v>0</v>
      </c>
      <c r="S16" s="10">
        <v>0</v>
      </c>
      <c r="T16" s="9">
        <f t="shared" si="5"/>
        <v>11</v>
      </c>
      <c r="U16" s="10">
        <v>0</v>
      </c>
      <c r="V16" s="10">
        <v>0</v>
      </c>
      <c r="W16" s="9">
        <f t="shared" si="6"/>
        <v>11</v>
      </c>
      <c r="X16" s="10">
        <v>0</v>
      </c>
      <c r="Y16" s="10">
        <v>0</v>
      </c>
      <c r="Z16" s="9">
        <f t="shared" si="7"/>
        <v>11</v>
      </c>
      <c r="AA16" s="78">
        <v>0</v>
      </c>
      <c r="AB16" s="78">
        <v>0</v>
      </c>
      <c r="AC16" s="18">
        <f t="shared" si="8"/>
        <v>11</v>
      </c>
      <c r="AD16" s="78">
        <v>0</v>
      </c>
      <c r="AE16" s="78">
        <v>0</v>
      </c>
      <c r="AF16" s="18">
        <f t="shared" si="9"/>
        <v>11</v>
      </c>
      <c r="AG16" s="78">
        <v>0</v>
      </c>
      <c r="AH16" s="78">
        <v>0</v>
      </c>
      <c r="AI16" s="18">
        <f t="shared" si="10"/>
        <v>11</v>
      </c>
      <c r="AJ16" s="78">
        <v>0</v>
      </c>
      <c r="AK16" s="78">
        <v>0</v>
      </c>
      <c r="AL16" s="18">
        <f t="shared" si="11"/>
        <v>11</v>
      </c>
      <c r="AM16" s="78">
        <v>0</v>
      </c>
      <c r="AN16" s="78">
        <v>0</v>
      </c>
      <c r="AO16" s="18">
        <f t="shared" si="12"/>
        <v>11</v>
      </c>
      <c r="AP16" s="78">
        <v>0</v>
      </c>
      <c r="AQ16" s="78">
        <v>0</v>
      </c>
      <c r="AR16" s="18">
        <f t="shared" si="13"/>
        <v>11</v>
      </c>
      <c r="AS16" s="79">
        <v>0</v>
      </c>
      <c r="AT16" s="79">
        <v>0</v>
      </c>
      <c r="AU16" s="18">
        <f t="shared" si="14"/>
        <v>11</v>
      </c>
      <c r="AV16" s="79">
        <v>0</v>
      </c>
      <c r="AW16" s="79">
        <v>0</v>
      </c>
      <c r="AX16" s="18">
        <f t="shared" si="15"/>
        <v>11</v>
      </c>
      <c r="AY16" s="79">
        <v>0</v>
      </c>
      <c r="AZ16" s="79">
        <v>0</v>
      </c>
      <c r="BA16" s="18">
        <f t="shared" si="16"/>
        <v>11</v>
      </c>
      <c r="BB16" s="79">
        <v>0</v>
      </c>
      <c r="BC16" s="79">
        <v>0</v>
      </c>
      <c r="BD16" s="18">
        <f t="shared" si="17"/>
        <v>11</v>
      </c>
      <c r="BE16" s="79">
        <v>0</v>
      </c>
      <c r="BF16" s="79">
        <v>0</v>
      </c>
      <c r="BG16" s="18">
        <f t="shared" si="18"/>
        <v>11</v>
      </c>
      <c r="BH16" s="79">
        <v>0</v>
      </c>
      <c r="BI16" s="79">
        <v>0</v>
      </c>
      <c r="BJ16" s="18">
        <f t="shared" si="19"/>
        <v>11</v>
      </c>
      <c r="BK16" s="79">
        <v>0</v>
      </c>
      <c r="BL16" s="79">
        <v>0</v>
      </c>
      <c r="BM16" s="18">
        <f t="shared" si="20"/>
        <v>11</v>
      </c>
      <c r="BN16" s="79">
        <v>0</v>
      </c>
      <c r="BO16" s="79">
        <v>0</v>
      </c>
      <c r="BP16" s="18">
        <f t="shared" si="21"/>
        <v>11</v>
      </c>
      <c r="BQ16" s="79">
        <v>0</v>
      </c>
      <c r="BR16" s="79">
        <v>0</v>
      </c>
      <c r="BS16" s="18">
        <f t="shared" si="22"/>
        <v>11</v>
      </c>
      <c r="BT16" s="79">
        <v>0</v>
      </c>
      <c r="BU16" s="79">
        <v>0</v>
      </c>
      <c r="BV16" s="18">
        <f t="shared" si="23"/>
        <v>11</v>
      </c>
      <c r="BW16" s="79">
        <v>0</v>
      </c>
      <c r="BX16" s="79">
        <v>0</v>
      </c>
      <c r="BY16" s="18">
        <f t="shared" si="24"/>
        <v>11</v>
      </c>
      <c r="BZ16" s="79">
        <v>0</v>
      </c>
      <c r="CA16" s="79">
        <v>0</v>
      </c>
      <c r="CB16" s="18">
        <f t="shared" si="25"/>
        <v>11</v>
      </c>
      <c r="CC16" s="79">
        <v>0</v>
      </c>
      <c r="CD16" s="79">
        <v>0</v>
      </c>
      <c r="CE16" s="18">
        <v>11</v>
      </c>
      <c r="CF16" s="79">
        <v>0</v>
      </c>
      <c r="CG16" s="79">
        <v>0</v>
      </c>
      <c r="CH16" s="18">
        <f t="shared" si="27"/>
        <v>11</v>
      </c>
      <c r="CI16" s="79">
        <v>0</v>
      </c>
      <c r="CJ16" s="79">
        <v>0</v>
      </c>
      <c r="CK16" s="79">
        <f t="shared" si="29"/>
        <v>11</v>
      </c>
      <c r="CL16" s="79">
        <v>0</v>
      </c>
      <c r="CM16" s="79">
        <v>0</v>
      </c>
      <c r="CN16" s="80">
        <f t="shared" si="30"/>
        <v>11</v>
      </c>
      <c r="CO16" s="79">
        <v>0</v>
      </c>
      <c r="CP16" s="79">
        <v>0</v>
      </c>
      <c r="CQ16" s="125">
        <f t="shared" si="56"/>
        <v>11</v>
      </c>
      <c r="CR16" s="128">
        <v>0</v>
      </c>
      <c r="CS16" s="128">
        <v>0</v>
      </c>
      <c r="CT16" s="128">
        <f t="shared" si="58"/>
        <v>11</v>
      </c>
      <c r="CU16" s="128">
        <v>0</v>
      </c>
      <c r="CV16" s="128">
        <v>0</v>
      </c>
      <c r="CW16" s="128">
        <f t="shared" si="31"/>
        <v>11</v>
      </c>
      <c r="CX16" s="128"/>
      <c r="CY16" s="128"/>
      <c r="CZ16" s="128">
        <f t="shared" si="32"/>
        <v>11</v>
      </c>
      <c r="DA16" s="128"/>
      <c r="DB16" s="128"/>
      <c r="DC16" s="128">
        <f t="shared" si="33"/>
        <v>11</v>
      </c>
      <c r="DD16" s="128"/>
      <c r="DE16" s="128"/>
      <c r="DF16" s="215">
        <f t="shared" si="34"/>
        <v>11</v>
      </c>
      <c r="DG16" s="128"/>
      <c r="DH16" s="128"/>
      <c r="DI16" s="128">
        <f t="shared" si="35"/>
        <v>11</v>
      </c>
      <c r="DJ16" s="128"/>
      <c r="DK16" s="128"/>
      <c r="DL16" s="128">
        <f t="shared" si="36"/>
        <v>11</v>
      </c>
      <c r="DM16" s="128"/>
      <c r="DN16" s="128"/>
      <c r="DO16" s="215">
        <f t="shared" si="37"/>
        <v>11</v>
      </c>
      <c r="DP16" s="128"/>
      <c r="DQ16" s="128"/>
      <c r="DR16" s="215">
        <f t="shared" si="38"/>
        <v>11</v>
      </c>
      <c r="DS16" s="128"/>
      <c r="DT16" s="128"/>
      <c r="DU16" s="215">
        <f t="shared" si="39"/>
        <v>11</v>
      </c>
      <c r="DV16" s="128"/>
      <c r="DW16" s="128"/>
      <c r="DX16" s="215">
        <f t="shared" si="40"/>
        <v>11</v>
      </c>
      <c r="DY16" s="128"/>
      <c r="DZ16" s="128"/>
      <c r="EA16" s="215">
        <f t="shared" si="41"/>
        <v>11</v>
      </c>
      <c r="EB16" s="128"/>
      <c r="EC16" s="128"/>
      <c r="ED16" s="215">
        <f t="shared" si="42"/>
        <v>11</v>
      </c>
      <c r="EE16" s="128"/>
      <c r="EF16" s="128"/>
      <c r="EG16" s="215">
        <f t="shared" si="43"/>
        <v>11</v>
      </c>
      <c r="EH16" s="128"/>
      <c r="EI16" s="128"/>
      <c r="EJ16" s="215">
        <f t="shared" si="57"/>
        <v>11</v>
      </c>
      <c r="EK16" s="128"/>
      <c r="EL16" s="128"/>
      <c r="EM16" s="215">
        <f t="shared" si="44"/>
        <v>11</v>
      </c>
      <c r="EN16" s="128"/>
      <c r="EO16" s="128"/>
      <c r="EP16" s="215">
        <f t="shared" si="45"/>
        <v>11</v>
      </c>
      <c r="EQ16" s="128"/>
      <c r="ER16" s="128"/>
      <c r="ES16" s="128">
        <f t="shared" si="46"/>
        <v>11</v>
      </c>
      <c r="ET16" s="128"/>
      <c r="EU16" s="128"/>
      <c r="EV16" s="128">
        <f t="shared" si="47"/>
        <v>11</v>
      </c>
      <c r="EW16" s="128"/>
      <c r="EX16" s="128"/>
      <c r="EY16" s="128">
        <f t="shared" si="48"/>
        <v>11</v>
      </c>
      <c r="EZ16" s="128"/>
      <c r="FA16" s="128"/>
      <c r="FB16" s="128">
        <f t="shared" si="49"/>
        <v>11</v>
      </c>
      <c r="FC16" s="128"/>
      <c r="FD16" s="215"/>
      <c r="FE16" s="128">
        <f t="shared" si="50"/>
        <v>11</v>
      </c>
      <c r="FF16" s="128"/>
      <c r="FG16" s="128"/>
      <c r="FH16" s="128">
        <f t="shared" si="51"/>
        <v>11</v>
      </c>
      <c r="FI16" s="128"/>
      <c r="FJ16" s="128"/>
      <c r="FK16" s="128">
        <f t="shared" si="52"/>
        <v>11</v>
      </c>
      <c r="FL16" s="128"/>
      <c r="FM16" s="128"/>
      <c r="FN16" s="128">
        <f t="shared" si="28"/>
        <v>11</v>
      </c>
      <c r="FO16" s="128"/>
      <c r="FP16" s="128"/>
      <c r="FQ16" s="128">
        <f t="shared" si="53"/>
        <v>11</v>
      </c>
      <c r="FR16" s="128"/>
      <c r="FS16" s="128"/>
      <c r="FT16" s="128">
        <f t="shared" si="54"/>
        <v>11</v>
      </c>
      <c r="FU16" s="128"/>
      <c r="FV16" s="128"/>
      <c r="FW16" s="128">
        <f t="shared" si="55"/>
        <v>11</v>
      </c>
    </row>
    <row r="17" spans="1:192" ht="12.75" x14ac:dyDescent="0.2">
      <c r="A17" s="13" t="s">
        <v>91</v>
      </c>
      <c r="B17" s="29">
        <f>'INV. FEB'!BX17</f>
        <v>2</v>
      </c>
      <c r="C17" s="10">
        <v>0</v>
      </c>
      <c r="D17" s="10">
        <v>0</v>
      </c>
      <c r="E17" s="9">
        <f t="shared" si="0"/>
        <v>2</v>
      </c>
      <c r="F17" s="10">
        <v>0</v>
      </c>
      <c r="G17" s="10">
        <v>0</v>
      </c>
      <c r="H17" s="9">
        <f t="shared" si="1"/>
        <v>2</v>
      </c>
      <c r="I17" s="10">
        <v>0</v>
      </c>
      <c r="J17" s="10">
        <v>0</v>
      </c>
      <c r="K17" s="9">
        <f t="shared" si="2"/>
        <v>2</v>
      </c>
      <c r="L17" s="10">
        <v>0</v>
      </c>
      <c r="M17" s="10">
        <v>0</v>
      </c>
      <c r="N17" s="9">
        <f t="shared" si="3"/>
        <v>2</v>
      </c>
      <c r="O17" s="10">
        <v>0</v>
      </c>
      <c r="P17" s="10">
        <v>0</v>
      </c>
      <c r="Q17" s="9">
        <f t="shared" si="4"/>
        <v>2</v>
      </c>
      <c r="R17" s="10">
        <v>0</v>
      </c>
      <c r="S17" s="10">
        <v>0</v>
      </c>
      <c r="T17" s="9">
        <f t="shared" si="5"/>
        <v>2</v>
      </c>
      <c r="U17" s="10">
        <v>0</v>
      </c>
      <c r="V17" s="10">
        <v>0</v>
      </c>
      <c r="W17" s="9">
        <f t="shared" si="6"/>
        <v>2</v>
      </c>
      <c r="X17" s="10">
        <v>0</v>
      </c>
      <c r="Y17" s="10">
        <v>0</v>
      </c>
      <c r="Z17" s="9">
        <f t="shared" si="7"/>
        <v>2</v>
      </c>
      <c r="AA17" s="78">
        <v>0</v>
      </c>
      <c r="AB17" s="78">
        <v>0</v>
      </c>
      <c r="AC17" s="18">
        <f t="shared" si="8"/>
        <v>2</v>
      </c>
      <c r="AD17" s="78">
        <v>0</v>
      </c>
      <c r="AE17" s="78">
        <v>0</v>
      </c>
      <c r="AF17" s="18">
        <f t="shared" si="9"/>
        <v>2</v>
      </c>
      <c r="AG17" s="78">
        <v>0</v>
      </c>
      <c r="AH17" s="78">
        <v>0</v>
      </c>
      <c r="AI17" s="18">
        <f t="shared" si="10"/>
        <v>2</v>
      </c>
      <c r="AJ17" s="78">
        <v>0</v>
      </c>
      <c r="AK17" s="78">
        <v>0</v>
      </c>
      <c r="AL17" s="18">
        <f t="shared" si="11"/>
        <v>2</v>
      </c>
      <c r="AM17" s="78">
        <v>0</v>
      </c>
      <c r="AN17" s="78">
        <v>0</v>
      </c>
      <c r="AO17" s="18">
        <f t="shared" si="12"/>
        <v>2</v>
      </c>
      <c r="AP17" s="78">
        <v>0</v>
      </c>
      <c r="AQ17" s="78">
        <v>0</v>
      </c>
      <c r="AR17" s="18">
        <f t="shared" si="13"/>
        <v>2</v>
      </c>
      <c r="AS17" s="79">
        <v>0</v>
      </c>
      <c r="AT17" s="79">
        <v>0</v>
      </c>
      <c r="AU17" s="18">
        <f t="shared" si="14"/>
        <v>2</v>
      </c>
      <c r="AV17" s="79">
        <v>0</v>
      </c>
      <c r="AW17" s="79">
        <v>0</v>
      </c>
      <c r="AX17" s="18">
        <f t="shared" si="15"/>
        <v>2</v>
      </c>
      <c r="AY17" s="79">
        <v>0</v>
      </c>
      <c r="AZ17" s="79">
        <v>0</v>
      </c>
      <c r="BA17" s="18">
        <f t="shared" si="16"/>
        <v>2</v>
      </c>
      <c r="BB17" s="79">
        <v>0</v>
      </c>
      <c r="BC17" s="79">
        <v>0</v>
      </c>
      <c r="BD17" s="18">
        <f t="shared" si="17"/>
        <v>2</v>
      </c>
      <c r="BE17" s="79">
        <v>0</v>
      </c>
      <c r="BF17" s="79">
        <v>0</v>
      </c>
      <c r="BG17" s="18">
        <f t="shared" si="18"/>
        <v>2</v>
      </c>
      <c r="BH17" s="79">
        <v>0</v>
      </c>
      <c r="BI17" s="79">
        <v>0</v>
      </c>
      <c r="BJ17" s="18">
        <f t="shared" si="19"/>
        <v>2</v>
      </c>
      <c r="BK17" s="79">
        <v>0</v>
      </c>
      <c r="BL17" s="79">
        <v>0</v>
      </c>
      <c r="BM17" s="18">
        <f t="shared" si="20"/>
        <v>2</v>
      </c>
      <c r="BN17" s="79">
        <v>0</v>
      </c>
      <c r="BO17" s="79">
        <v>0</v>
      </c>
      <c r="BP17" s="18">
        <f t="shared" si="21"/>
        <v>2</v>
      </c>
      <c r="BQ17" s="79">
        <v>0</v>
      </c>
      <c r="BR17" s="79">
        <v>0</v>
      </c>
      <c r="BS17" s="18">
        <f t="shared" si="22"/>
        <v>2</v>
      </c>
      <c r="BT17" s="79">
        <v>0</v>
      </c>
      <c r="BU17" s="79">
        <v>0</v>
      </c>
      <c r="BV17" s="18">
        <f t="shared" si="23"/>
        <v>2</v>
      </c>
      <c r="BW17" s="79">
        <v>0</v>
      </c>
      <c r="BX17" s="79">
        <v>0</v>
      </c>
      <c r="BY17" s="18">
        <f t="shared" si="24"/>
        <v>2</v>
      </c>
      <c r="BZ17" s="79">
        <v>0</v>
      </c>
      <c r="CA17" s="79">
        <v>0</v>
      </c>
      <c r="CB17" s="18">
        <f t="shared" si="25"/>
        <v>2</v>
      </c>
      <c r="CC17" s="79">
        <v>0</v>
      </c>
      <c r="CD17" s="79">
        <v>0</v>
      </c>
      <c r="CE17" s="18">
        <v>2</v>
      </c>
      <c r="CF17" s="79">
        <v>0</v>
      </c>
      <c r="CG17" s="79">
        <v>0</v>
      </c>
      <c r="CH17" s="18">
        <f t="shared" si="27"/>
        <v>2</v>
      </c>
      <c r="CI17" s="79">
        <v>0</v>
      </c>
      <c r="CJ17" s="79">
        <v>0</v>
      </c>
      <c r="CK17" s="79">
        <f t="shared" si="29"/>
        <v>2</v>
      </c>
      <c r="CL17" s="79">
        <v>0</v>
      </c>
      <c r="CM17" s="79">
        <v>0</v>
      </c>
      <c r="CN17" s="80">
        <f t="shared" si="30"/>
        <v>2</v>
      </c>
      <c r="CO17" s="79">
        <v>0</v>
      </c>
      <c r="CP17" s="79">
        <v>0</v>
      </c>
      <c r="CQ17" s="125">
        <f t="shared" si="56"/>
        <v>2</v>
      </c>
      <c r="CR17" s="128">
        <v>0</v>
      </c>
      <c r="CS17" s="128">
        <v>0</v>
      </c>
      <c r="CT17" s="128">
        <f t="shared" si="58"/>
        <v>2</v>
      </c>
      <c r="CU17" s="128">
        <v>0</v>
      </c>
      <c r="CV17" s="128">
        <v>0</v>
      </c>
      <c r="CW17" s="128">
        <f t="shared" si="31"/>
        <v>2</v>
      </c>
      <c r="CX17" s="128"/>
      <c r="CY17" s="128"/>
      <c r="CZ17" s="128">
        <f t="shared" si="32"/>
        <v>2</v>
      </c>
      <c r="DA17" s="128"/>
      <c r="DB17" s="128"/>
      <c r="DC17" s="128">
        <f t="shared" si="33"/>
        <v>2</v>
      </c>
      <c r="DD17" s="128"/>
      <c r="DE17" s="128"/>
      <c r="DF17" s="215">
        <f t="shared" si="34"/>
        <v>2</v>
      </c>
      <c r="DG17" s="128"/>
      <c r="DH17" s="128"/>
      <c r="DI17" s="128">
        <f t="shared" si="35"/>
        <v>2</v>
      </c>
      <c r="DJ17" s="128"/>
      <c r="DK17" s="128"/>
      <c r="DL17" s="128">
        <f t="shared" si="36"/>
        <v>2</v>
      </c>
      <c r="DM17" s="128"/>
      <c r="DN17" s="128"/>
      <c r="DO17" s="215">
        <f t="shared" si="37"/>
        <v>2</v>
      </c>
      <c r="DP17" s="128"/>
      <c r="DQ17" s="128"/>
      <c r="DR17" s="215">
        <f t="shared" si="38"/>
        <v>2</v>
      </c>
      <c r="DS17" s="128"/>
      <c r="DT17" s="128"/>
      <c r="DU17" s="215">
        <f t="shared" si="39"/>
        <v>2</v>
      </c>
      <c r="DV17" s="128"/>
      <c r="DW17" s="128"/>
      <c r="DX17" s="215">
        <f t="shared" si="40"/>
        <v>2</v>
      </c>
      <c r="DY17" s="128"/>
      <c r="DZ17" s="128"/>
      <c r="EA17" s="215">
        <f t="shared" si="41"/>
        <v>2</v>
      </c>
      <c r="EB17" s="128"/>
      <c r="EC17" s="128"/>
      <c r="ED17" s="215">
        <f t="shared" si="42"/>
        <v>2</v>
      </c>
      <c r="EE17" s="128"/>
      <c r="EF17" s="128"/>
      <c r="EG17" s="215">
        <f t="shared" si="43"/>
        <v>2</v>
      </c>
      <c r="EH17" s="128"/>
      <c r="EI17" s="128"/>
      <c r="EJ17" s="215">
        <f t="shared" si="57"/>
        <v>2</v>
      </c>
      <c r="EK17" s="128"/>
      <c r="EL17" s="128"/>
      <c r="EM17" s="215">
        <f t="shared" si="44"/>
        <v>2</v>
      </c>
      <c r="EN17" s="128"/>
      <c r="EO17" s="128"/>
      <c r="EP17" s="215">
        <f t="shared" si="45"/>
        <v>2</v>
      </c>
      <c r="EQ17" s="128"/>
      <c r="ER17" s="128"/>
      <c r="ES17" s="128">
        <f t="shared" si="46"/>
        <v>2</v>
      </c>
      <c r="ET17" s="128"/>
      <c r="EU17" s="128"/>
      <c r="EV17" s="128">
        <f t="shared" si="47"/>
        <v>2</v>
      </c>
      <c r="EW17" s="128"/>
      <c r="EX17" s="128"/>
      <c r="EY17" s="128">
        <f t="shared" si="48"/>
        <v>2</v>
      </c>
      <c r="EZ17" s="128"/>
      <c r="FA17" s="128"/>
      <c r="FB17" s="128">
        <f t="shared" si="49"/>
        <v>2</v>
      </c>
      <c r="FC17" s="128"/>
      <c r="FD17" s="215"/>
      <c r="FE17" s="128">
        <f t="shared" si="50"/>
        <v>2</v>
      </c>
      <c r="FF17" s="128"/>
      <c r="FG17" s="128"/>
      <c r="FH17" s="128">
        <f t="shared" si="51"/>
        <v>2</v>
      </c>
      <c r="FI17" s="128"/>
      <c r="FJ17" s="128"/>
      <c r="FK17" s="128">
        <f t="shared" si="52"/>
        <v>2</v>
      </c>
      <c r="FL17" s="128"/>
      <c r="FM17" s="128"/>
      <c r="FN17" s="128">
        <f t="shared" si="28"/>
        <v>2</v>
      </c>
      <c r="FO17" s="128"/>
      <c r="FP17" s="128"/>
      <c r="FQ17" s="128">
        <f t="shared" si="53"/>
        <v>2</v>
      </c>
      <c r="FR17" s="128"/>
      <c r="FS17" s="128"/>
      <c r="FT17" s="128">
        <f t="shared" si="54"/>
        <v>2</v>
      </c>
      <c r="FU17" s="128"/>
      <c r="FV17" s="128"/>
      <c r="FW17" s="128">
        <f t="shared" si="55"/>
        <v>2</v>
      </c>
    </row>
    <row r="18" spans="1:192" ht="12.75" x14ac:dyDescent="0.2">
      <c r="A18" s="13" t="s">
        <v>92</v>
      </c>
      <c r="B18" s="29">
        <f>'INV. FEB'!BX18</f>
        <v>4</v>
      </c>
      <c r="C18" s="10">
        <v>0</v>
      </c>
      <c r="D18" s="10">
        <v>0</v>
      </c>
      <c r="E18" s="9">
        <f t="shared" si="0"/>
        <v>4</v>
      </c>
      <c r="F18" s="10">
        <v>0</v>
      </c>
      <c r="G18" s="10">
        <v>0</v>
      </c>
      <c r="H18" s="9">
        <f t="shared" si="1"/>
        <v>4</v>
      </c>
      <c r="I18" s="10">
        <v>0</v>
      </c>
      <c r="J18" s="10">
        <v>0</v>
      </c>
      <c r="K18" s="9">
        <f t="shared" si="2"/>
        <v>4</v>
      </c>
      <c r="L18" s="10">
        <v>0</v>
      </c>
      <c r="M18" s="10">
        <v>0</v>
      </c>
      <c r="N18" s="9">
        <f t="shared" si="3"/>
        <v>4</v>
      </c>
      <c r="O18" s="10">
        <v>0</v>
      </c>
      <c r="P18" s="10">
        <v>0</v>
      </c>
      <c r="Q18" s="9">
        <f t="shared" si="4"/>
        <v>4</v>
      </c>
      <c r="R18" s="10">
        <v>0</v>
      </c>
      <c r="S18" s="10">
        <v>0</v>
      </c>
      <c r="T18" s="9">
        <f t="shared" si="5"/>
        <v>4</v>
      </c>
      <c r="U18" s="10">
        <v>0</v>
      </c>
      <c r="V18" s="10">
        <v>0</v>
      </c>
      <c r="W18" s="9">
        <f t="shared" si="6"/>
        <v>4</v>
      </c>
      <c r="X18" s="10">
        <v>0</v>
      </c>
      <c r="Y18" s="10">
        <v>0</v>
      </c>
      <c r="Z18" s="9">
        <f t="shared" si="7"/>
        <v>4</v>
      </c>
      <c r="AA18" s="78">
        <v>0</v>
      </c>
      <c r="AB18" s="78">
        <v>0</v>
      </c>
      <c r="AC18" s="18">
        <f t="shared" si="8"/>
        <v>4</v>
      </c>
      <c r="AD18" s="78">
        <v>0</v>
      </c>
      <c r="AE18" s="78">
        <v>0</v>
      </c>
      <c r="AF18" s="18">
        <f t="shared" si="9"/>
        <v>4</v>
      </c>
      <c r="AG18" s="78">
        <v>0</v>
      </c>
      <c r="AH18" s="78">
        <v>0</v>
      </c>
      <c r="AI18" s="18">
        <f t="shared" si="10"/>
        <v>4</v>
      </c>
      <c r="AJ18" s="78">
        <v>0</v>
      </c>
      <c r="AK18" s="78">
        <v>0</v>
      </c>
      <c r="AL18" s="18">
        <f t="shared" si="11"/>
        <v>4</v>
      </c>
      <c r="AM18" s="78">
        <v>0</v>
      </c>
      <c r="AN18" s="78">
        <v>0</v>
      </c>
      <c r="AO18" s="18">
        <f t="shared" si="12"/>
        <v>4</v>
      </c>
      <c r="AP18" s="78">
        <v>0</v>
      </c>
      <c r="AQ18" s="78">
        <v>0</v>
      </c>
      <c r="AR18" s="18">
        <f t="shared" si="13"/>
        <v>4</v>
      </c>
      <c r="AS18" s="79">
        <v>0</v>
      </c>
      <c r="AT18" s="79">
        <v>0</v>
      </c>
      <c r="AU18" s="18">
        <f t="shared" si="14"/>
        <v>4</v>
      </c>
      <c r="AV18" s="79">
        <v>0</v>
      </c>
      <c r="AW18" s="79">
        <v>0</v>
      </c>
      <c r="AX18" s="18">
        <f t="shared" si="15"/>
        <v>4</v>
      </c>
      <c r="AY18" s="79">
        <v>0</v>
      </c>
      <c r="AZ18" s="79">
        <v>0</v>
      </c>
      <c r="BA18" s="18">
        <f t="shared" si="16"/>
        <v>4</v>
      </c>
      <c r="BB18" s="79">
        <v>0</v>
      </c>
      <c r="BC18" s="79">
        <v>0</v>
      </c>
      <c r="BD18" s="18">
        <f t="shared" si="17"/>
        <v>4</v>
      </c>
      <c r="BE18" s="79">
        <v>0</v>
      </c>
      <c r="BF18" s="79">
        <v>0</v>
      </c>
      <c r="BG18" s="18">
        <f t="shared" si="18"/>
        <v>4</v>
      </c>
      <c r="BH18" s="79">
        <v>0</v>
      </c>
      <c r="BI18" s="79">
        <v>0</v>
      </c>
      <c r="BJ18" s="18">
        <f t="shared" si="19"/>
        <v>4</v>
      </c>
      <c r="BK18" s="79">
        <v>0</v>
      </c>
      <c r="BL18" s="79">
        <v>0</v>
      </c>
      <c r="BM18" s="18">
        <f t="shared" si="20"/>
        <v>4</v>
      </c>
      <c r="BN18" s="79">
        <v>0</v>
      </c>
      <c r="BO18" s="79">
        <v>0</v>
      </c>
      <c r="BP18" s="18">
        <f t="shared" si="21"/>
        <v>4</v>
      </c>
      <c r="BQ18" s="79">
        <v>0</v>
      </c>
      <c r="BR18" s="79">
        <v>0</v>
      </c>
      <c r="BS18" s="18">
        <f t="shared" si="22"/>
        <v>4</v>
      </c>
      <c r="BT18" s="79">
        <v>0</v>
      </c>
      <c r="BU18" s="79">
        <v>0</v>
      </c>
      <c r="BV18" s="18">
        <f t="shared" si="23"/>
        <v>4</v>
      </c>
      <c r="BW18" s="79">
        <v>0</v>
      </c>
      <c r="BX18" s="79">
        <v>0</v>
      </c>
      <c r="BY18" s="18">
        <f t="shared" si="24"/>
        <v>4</v>
      </c>
      <c r="BZ18" s="79">
        <v>0</v>
      </c>
      <c r="CA18" s="79">
        <v>0</v>
      </c>
      <c r="CB18" s="18">
        <f t="shared" si="25"/>
        <v>4</v>
      </c>
      <c r="CC18" s="79">
        <v>0</v>
      </c>
      <c r="CD18" s="79">
        <v>0</v>
      </c>
      <c r="CE18" s="18">
        <v>4</v>
      </c>
      <c r="CF18" s="79">
        <v>0</v>
      </c>
      <c r="CG18" s="79">
        <v>0</v>
      </c>
      <c r="CH18" s="18">
        <f t="shared" si="27"/>
        <v>4</v>
      </c>
      <c r="CI18" s="79">
        <v>0</v>
      </c>
      <c r="CJ18" s="79">
        <v>0</v>
      </c>
      <c r="CK18" s="79">
        <f t="shared" si="29"/>
        <v>4</v>
      </c>
      <c r="CL18" s="79">
        <v>0</v>
      </c>
      <c r="CM18" s="79">
        <v>0</v>
      </c>
      <c r="CN18" s="80">
        <f t="shared" si="30"/>
        <v>4</v>
      </c>
      <c r="CO18" s="79">
        <v>0</v>
      </c>
      <c r="CP18" s="79">
        <v>0</v>
      </c>
      <c r="CQ18" s="125">
        <f t="shared" si="56"/>
        <v>4</v>
      </c>
      <c r="CR18" s="128">
        <v>0</v>
      </c>
      <c r="CS18" s="128">
        <v>0</v>
      </c>
      <c r="CT18" s="128">
        <f t="shared" si="58"/>
        <v>4</v>
      </c>
      <c r="CU18" s="128">
        <v>0</v>
      </c>
      <c r="CV18" s="128">
        <v>0</v>
      </c>
      <c r="CW18" s="128">
        <f t="shared" si="31"/>
        <v>4</v>
      </c>
      <c r="CX18" s="128"/>
      <c r="CY18" s="128"/>
      <c r="CZ18" s="128">
        <f t="shared" si="32"/>
        <v>4</v>
      </c>
      <c r="DA18" s="128"/>
      <c r="DB18" s="128"/>
      <c r="DC18" s="128">
        <f t="shared" si="33"/>
        <v>4</v>
      </c>
      <c r="DD18" s="128"/>
      <c r="DE18" s="128"/>
      <c r="DF18" s="215">
        <f t="shared" si="34"/>
        <v>4</v>
      </c>
      <c r="DG18" s="128"/>
      <c r="DH18" s="128"/>
      <c r="DI18" s="128">
        <f t="shared" si="35"/>
        <v>4</v>
      </c>
      <c r="DJ18" s="128"/>
      <c r="DK18" s="128"/>
      <c r="DL18" s="128">
        <f t="shared" si="36"/>
        <v>4</v>
      </c>
      <c r="DM18" s="128"/>
      <c r="DN18" s="128"/>
      <c r="DO18" s="215">
        <f t="shared" si="37"/>
        <v>4</v>
      </c>
      <c r="DP18" s="128"/>
      <c r="DQ18" s="128"/>
      <c r="DR18" s="215">
        <f t="shared" si="38"/>
        <v>4</v>
      </c>
      <c r="DS18" s="128"/>
      <c r="DT18" s="128"/>
      <c r="DU18" s="215">
        <f t="shared" si="39"/>
        <v>4</v>
      </c>
      <c r="DV18" s="128"/>
      <c r="DW18" s="128"/>
      <c r="DX18" s="215">
        <f t="shared" si="40"/>
        <v>4</v>
      </c>
      <c r="DY18" s="128"/>
      <c r="DZ18" s="128"/>
      <c r="EA18" s="215">
        <f t="shared" si="41"/>
        <v>4</v>
      </c>
      <c r="EB18" s="128"/>
      <c r="EC18" s="128"/>
      <c r="ED18" s="215">
        <f t="shared" si="42"/>
        <v>4</v>
      </c>
      <c r="EE18" s="128"/>
      <c r="EF18" s="128"/>
      <c r="EG18" s="215">
        <f t="shared" si="43"/>
        <v>4</v>
      </c>
      <c r="EH18" s="128"/>
      <c r="EI18" s="128"/>
      <c r="EJ18" s="215">
        <f t="shared" si="57"/>
        <v>4</v>
      </c>
      <c r="EK18" s="128"/>
      <c r="EL18" s="128"/>
      <c r="EM18" s="215">
        <f t="shared" si="44"/>
        <v>4</v>
      </c>
      <c r="EN18" s="128"/>
      <c r="EO18" s="128"/>
      <c r="EP18" s="215">
        <f t="shared" si="45"/>
        <v>4</v>
      </c>
      <c r="EQ18" s="128"/>
      <c r="ER18" s="128"/>
      <c r="ES18" s="128">
        <f t="shared" si="46"/>
        <v>4</v>
      </c>
      <c r="ET18" s="128"/>
      <c r="EU18" s="128"/>
      <c r="EV18" s="128">
        <f t="shared" si="47"/>
        <v>4</v>
      </c>
      <c r="EW18" s="128"/>
      <c r="EX18" s="128"/>
      <c r="EY18" s="128">
        <f t="shared" si="48"/>
        <v>4</v>
      </c>
      <c r="EZ18" s="128"/>
      <c r="FA18" s="128"/>
      <c r="FB18" s="128">
        <f t="shared" si="49"/>
        <v>4</v>
      </c>
      <c r="FC18" s="128"/>
      <c r="FD18" s="215"/>
      <c r="FE18" s="128">
        <f t="shared" si="50"/>
        <v>4</v>
      </c>
      <c r="FF18" s="128"/>
      <c r="FG18" s="128">
        <v>4</v>
      </c>
      <c r="FH18" s="128">
        <f t="shared" si="51"/>
        <v>0</v>
      </c>
      <c r="FI18" s="128"/>
      <c r="FJ18" s="128"/>
      <c r="FK18" s="128">
        <f t="shared" si="52"/>
        <v>0</v>
      </c>
      <c r="FL18" s="128"/>
      <c r="FM18" s="128"/>
      <c r="FN18" s="128">
        <f t="shared" si="28"/>
        <v>0</v>
      </c>
      <c r="FO18" s="128"/>
      <c r="FP18" s="128"/>
      <c r="FQ18" s="128">
        <f t="shared" si="53"/>
        <v>0</v>
      </c>
      <c r="FR18" s="128"/>
      <c r="FS18" s="128"/>
      <c r="FT18" s="128">
        <f t="shared" si="54"/>
        <v>0</v>
      </c>
      <c r="FU18" s="128"/>
      <c r="FV18" s="128"/>
      <c r="FW18" s="128">
        <f t="shared" si="55"/>
        <v>0</v>
      </c>
    </row>
    <row r="19" spans="1:192" ht="12.75" x14ac:dyDescent="0.2">
      <c r="A19" s="13" t="s">
        <v>93</v>
      </c>
      <c r="B19" s="29">
        <f>'INV. FEB'!BX19</f>
        <v>32</v>
      </c>
      <c r="C19" s="10">
        <v>0</v>
      </c>
      <c r="D19" s="10">
        <v>1</v>
      </c>
      <c r="E19" s="9">
        <f t="shared" si="0"/>
        <v>31</v>
      </c>
      <c r="F19" s="10">
        <v>0</v>
      </c>
      <c r="G19" s="10">
        <v>0</v>
      </c>
      <c r="H19" s="9">
        <f t="shared" si="1"/>
        <v>31</v>
      </c>
      <c r="I19" s="10">
        <v>0</v>
      </c>
      <c r="J19" s="10">
        <v>0</v>
      </c>
      <c r="K19" s="9">
        <f t="shared" si="2"/>
        <v>31</v>
      </c>
      <c r="L19" s="10">
        <v>0</v>
      </c>
      <c r="M19" s="10">
        <v>0</v>
      </c>
      <c r="N19" s="9">
        <f t="shared" si="3"/>
        <v>31</v>
      </c>
      <c r="O19" s="10">
        <v>0</v>
      </c>
      <c r="P19" s="10">
        <v>0</v>
      </c>
      <c r="Q19" s="9">
        <f t="shared" si="4"/>
        <v>31</v>
      </c>
      <c r="R19" s="10">
        <v>0</v>
      </c>
      <c r="S19" s="10">
        <v>0</v>
      </c>
      <c r="T19" s="9">
        <f t="shared" si="5"/>
        <v>31</v>
      </c>
      <c r="U19" s="10">
        <v>0</v>
      </c>
      <c r="V19" s="10">
        <v>0</v>
      </c>
      <c r="W19" s="9">
        <f t="shared" si="6"/>
        <v>31</v>
      </c>
      <c r="X19" s="10">
        <v>0</v>
      </c>
      <c r="Y19" s="10">
        <v>0</v>
      </c>
      <c r="Z19" s="9">
        <f t="shared" si="7"/>
        <v>31</v>
      </c>
      <c r="AA19" s="78">
        <v>0</v>
      </c>
      <c r="AB19" s="78">
        <v>0</v>
      </c>
      <c r="AC19" s="18">
        <f t="shared" si="8"/>
        <v>31</v>
      </c>
      <c r="AD19" s="78">
        <v>0</v>
      </c>
      <c r="AE19" s="78">
        <v>0</v>
      </c>
      <c r="AF19" s="18">
        <f t="shared" si="9"/>
        <v>31</v>
      </c>
      <c r="AG19" s="78">
        <v>0</v>
      </c>
      <c r="AH19" s="78">
        <v>0</v>
      </c>
      <c r="AI19" s="18">
        <f t="shared" si="10"/>
        <v>31</v>
      </c>
      <c r="AJ19" s="78">
        <v>0</v>
      </c>
      <c r="AK19" s="78">
        <v>0</v>
      </c>
      <c r="AL19" s="18">
        <f t="shared" si="11"/>
        <v>31</v>
      </c>
      <c r="AM19" s="78">
        <v>0</v>
      </c>
      <c r="AN19" s="78">
        <v>0</v>
      </c>
      <c r="AO19" s="18">
        <f t="shared" si="12"/>
        <v>31</v>
      </c>
      <c r="AP19" s="78">
        <v>0</v>
      </c>
      <c r="AQ19" s="78">
        <v>0</v>
      </c>
      <c r="AR19" s="18">
        <f t="shared" si="13"/>
        <v>31</v>
      </c>
      <c r="AS19" s="79">
        <v>0</v>
      </c>
      <c r="AT19" s="79">
        <v>0</v>
      </c>
      <c r="AU19" s="18">
        <f t="shared" si="14"/>
        <v>31</v>
      </c>
      <c r="AV19" s="79">
        <v>0</v>
      </c>
      <c r="AW19" s="79">
        <v>0</v>
      </c>
      <c r="AX19" s="18">
        <f t="shared" si="15"/>
        <v>31</v>
      </c>
      <c r="AY19" s="79">
        <v>0</v>
      </c>
      <c r="AZ19" s="79">
        <v>0</v>
      </c>
      <c r="BA19" s="18">
        <f t="shared" si="16"/>
        <v>31</v>
      </c>
      <c r="BB19" s="79">
        <v>0</v>
      </c>
      <c r="BC19" s="79">
        <v>0</v>
      </c>
      <c r="BD19" s="18">
        <f t="shared" si="17"/>
        <v>31</v>
      </c>
      <c r="BE19" s="79">
        <v>0</v>
      </c>
      <c r="BF19" s="79">
        <v>0</v>
      </c>
      <c r="BG19" s="18">
        <f t="shared" si="18"/>
        <v>31</v>
      </c>
      <c r="BH19" s="79">
        <v>0</v>
      </c>
      <c r="BI19" s="79">
        <v>0</v>
      </c>
      <c r="BJ19" s="18">
        <f t="shared" si="19"/>
        <v>31</v>
      </c>
      <c r="BK19" s="79">
        <v>0</v>
      </c>
      <c r="BL19" s="79">
        <v>0</v>
      </c>
      <c r="BM19" s="18">
        <f t="shared" si="20"/>
        <v>31</v>
      </c>
      <c r="BN19" s="79">
        <v>0</v>
      </c>
      <c r="BO19" s="79">
        <v>0</v>
      </c>
      <c r="BP19" s="18">
        <f t="shared" si="21"/>
        <v>31</v>
      </c>
      <c r="BQ19" s="79">
        <v>0</v>
      </c>
      <c r="BR19" s="79">
        <v>0</v>
      </c>
      <c r="BS19" s="18">
        <f t="shared" si="22"/>
        <v>31</v>
      </c>
      <c r="BT19" s="79">
        <v>0</v>
      </c>
      <c r="BU19" s="79">
        <v>0</v>
      </c>
      <c r="BV19" s="18">
        <f t="shared" si="23"/>
        <v>31</v>
      </c>
      <c r="BW19" s="79">
        <v>0</v>
      </c>
      <c r="BX19" s="79">
        <v>0</v>
      </c>
      <c r="BY19" s="18">
        <f t="shared" si="24"/>
        <v>31</v>
      </c>
      <c r="BZ19" s="79">
        <v>0</v>
      </c>
      <c r="CA19" s="79">
        <v>0</v>
      </c>
      <c r="CB19" s="18">
        <f t="shared" si="25"/>
        <v>31</v>
      </c>
      <c r="CC19" s="79">
        <v>0</v>
      </c>
      <c r="CD19" s="79">
        <v>0</v>
      </c>
      <c r="CE19" s="18">
        <v>31</v>
      </c>
      <c r="CF19" s="79">
        <v>0</v>
      </c>
      <c r="CG19" s="79">
        <v>0</v>
      </c>
      <c r="CH19" s="18">
        <f t="shared" si="27"/>
        <v>31</v>
      </c>
      <c r="CI19" s="79">
        <v>0</v>
      </c>
      <c r="CJ19" s="79">
        <v>0</v>
      </c>
      <c r="CK19" s="79">
        <f t="shared" si="29"/>
        <v>31</v>
      </c>
      <c r="CL19" s="79">
        <v>0</v>
      </c>
      <c r="CM19" s="79">
        <v>0</v>
      </c>
      <c r="CN19" s="80">
        <f t="shared" si="30"/>
        <v>31</v>
      </c>
      <c r="CO19" s="79">
        <v>0</v>
      </c>
      <c r="CP19" s="79">
        <v>0</v>
      </c>
      <c r="CQ19" s="125">
        <f t="shared" si="56"/>
        <v>31</v>
      </c>
      <c r="CR19" s="128">
        <v>0</v>
      </c>
      <c r="CS19" s="128">
        <v>0</v>
      </c>
      <c r="CT19" s="128">
        <f t="shared" si="58"/>
        <v>31</v>
      </c>
      <c r="CU19" s="128">
        <v>0</v>
      </c>
      <c r="CV19" s="128">
        <v>0</v>
      </c>
      <c r="CW19" s="128">
        <f t="shared" si="31"/>
        <v>31</v>
      </c>
      <c r="CX19" s="128"/>
      <c r="CY19" s="128"/>
      <c r="CZ19" s="128">
        <f t="shared" si="32"/>
        <v>31</v>
      </c>
      <c r="DA19" s="128"/>
      <c r="DB19" s="128"/>
      <c r="DC19" s="128">
        <f t="shared" si="33"/>
        <v>31</v>
      </c>
      <c r="DD19" s="128"/>
      <c r="DE19" s="128"/>
      <c r="DF19" s="215">
        <f t="shared" si="34"/>
        <v>31</v>
      </c>
      <c r="DG19" s="128"/>
      <c r="DH19" s="128"/>
      <c r="DI19" s="128">
        <f t="shared" si="35"/>
        <v>31</v>
      </c>
      <c r="DJ19" s="128"/>
      <c r="DK19" s="128"/>
      <c r="DL19" s="128">
        <f t="shared" si="36"/>
        <v>31</v>
      </c>
      <c r="DM19" s="128"/>
      <c r="DN19" s="128"/>
      <c r="DO19" s="215">
        <f t="shared" si="37"/>
        <v>31</v>
      </c>
      <c r="DP19" s="128"/>
      <c r="DQ19" s="128"/>
      <c r="DR19" s="215">
        <f t="shared" si="38"/>
        <v>31</v>
      </c>
      <c r="DS19" s="128"/>
      <c r="DT19" s="128"/>
      <c r="DU19" s="215">
        <f t="shared" si="39"/>
        <v>31</v>
      </c>
      <c r="DV19" s="128"/>
      <c r="DW19" s="128"/>
      <c r="DX19" s="215">
        <f t="shared" si="40"/>
        <v>31</v>
      </c>
      <c r="DY19" s="128"/>
      <c r="DZ19" s="128"/>
      <c r="EA19" s="215">
        <f t="shared" si="41"/>
        <v>31</v>
      </c>
      <c r="EB19" s="128"/>
      <c r="EC19" s="128"/>
      <c r="ED19" s="215">
        <f t="shared" si="42"/>
        <v>31</v>
      </c>
      <c r="EE19" s="128"/>
      <c r="EF19" s="128"/>
      <c r="EG19" s="215">
        <f t="shared" si="43"/>
        <v>31</v>
      </c>
      <c r="EH19" s="128"/>
      <c r="EI19" s="128"/>
      <c r="EJ19" s="215">
        <f t="shared" si="57"/>
        <v>31</v>
      </c>
      <c r="EK19" s="128"/>
      <c r="EL19" s="128"/>
      <c r="EM19" s="215">
        <f t="shared" si="44"/>
        <v>31</v>
      </c>
      <c r="EN19" s="128"/>
      <c r="EO19" s="128"/>
      <c r="EP19" s="215">
        <f t="shared" si="45"/>
        <v>31</v>
      </c>
      <c r="EQ19" s="128"/>
      <c r="ER19" s="128"/>
      <c r="ES19" s="128">
        <f t="shared" si="46"/>
        <v>31</v>
      </c>
      <c r="ET19" s="128"/>
      <c r="EU19" s="128"/>
      <c r="EV19" s="128">
        <f t="shared" si="47"/>
        <v>31</v>
      </c>
      <c r="EW19" s="128"/>
      <c r="EX19" s="128"/>
      <c r="EY19" s="128">
        <f t="shared" si="48"/>
        <v>31</v>
      </c>
      <c r="EZ19" s="128"/>
      <c r="FA19" s="128"/>
      <c r="FB19" s="128">
        <f t="shared" si="49"/>
        <v>31</v>
      </c>
      <c r="FC19" s="128"/>
      <c r="FD19" s="215"/>
      <c r="FE19" s="128">
        <f t="shared" si="50"/>
        <v>31</v>
      </c>
      <c r="FF19" s="128"/>
      <c r="FG19" s="128"/>
      <c r="FH19" s="128">
        <f t="shared" si="51"/>
        <v>31</v>
      </c>
      <c r="FI19" s="128"/>
      <c r="FJ19" s="128"/>
      <c r="FK19" s="128">
        <f t="shared" si="52"/>
        <v>31</v>
      </c>
      <c r="FL19" s="128"/>
      <c r="FM19" s="128"/>
      <c r="FN19" s="128">
        <f t="shared" si="28"/>
        <v>31</v>
      </c>
      <c r="FO19" s="128"/>
      <c r="FP19" s="128"/>
      <c r="FQ19" s="128">
        <f t="shared" si="53"/>
        <v>31</v>
      </c>
      <c r="FR19" s="128"/>
      <c r="FS19" s="128"/>
      <c r="FT19" s="128">
        <f t="shared" si="54"/>
        <v>31</v>
      </c>
      <c r="FU19" s="128"/>
      <c r="FV19" s="128"/>
      <c r="FW19" s="128">
        <f t="shared" si="55"/>
        <v>31</v>
      </c>
    </row>
    <row r="20" spans="1:192" ht="12.75" x14ac:dyDescent="0.2">
      <c r="A20" s="13" t="s">
        <v>94</v>
      </c>
      <c r="B20" s="29">
        <f>'INV. FEB'!BX20</f>
        <v>18</v>
      </c>
      <c r="C20" s="10">
        <v>0</v>
      </c>
      <c r="D20" s="10">
        <v>0</v>
      </c>
      <c r="E20" s="9">
        <f t="shared" si="0"/>
        <v>18</v>
      </c>
      <c r="F20" s="10">
        <v>0</v>
      </c>
      <c r="G20" s="10">
        <v>0</v>
      </c>
      <c r="H20" s="9">
        <f t="shared" si="1"/>
        <v>18</v>
      </c>
      <c r="I20" s="10">
        <v>0</v>
      </c>
      <c r="J20" s="10">
        <v>0</v>
      </c>
      <c r="K20" s="9">
        <f t="shared" si="2"/>
        <v>18</v>
      </c>
      <c r="L20" s="10">
        <v>0</v>
      </c>
      <c r="M20" s="10">
        <v>0</v>
      </c>
      <c r="N20" s="9">
        <f t="shared" si="3"/>
        <v>18</v>
      </c>
      <c r="O20" s="10">
        <v>0</v>
      </c>
      <c r="P20" s="10">
        <v>0</v>
      </c>
      <c r="Q20" s="9">
        <f t="shared" si="4"/>
        <v>18</v>
      </c>
      <c r="R20" s="10">
        <v>0</v>
      </c>
      <c r="S20" s="10">
        <v>0</v>
      </c>
      <c r="T20" s="9">
        <f t="shared" si="5"/>
        <v>18</v>
      </c>
      <c r="U20" s="10">
        <v>0</v>
      </c>
      <c r="V20" s="10">
        <v>0</v>
      </c>
      <c r="W20" s="9">
        <f t="shared" si="6"/>
        <v>18</v>
      </c>
      <c r="X20" s="10">
        <v>0</v>
      </c>
      <c r="Y20" s="10">
        <v>0</v>
      </c>
      <c r="Z20" s="9">
        <f t="shared" si="7"/>
        <v>18</v>
      </c>
      <c r="AA20" s="78">
        <v>0</v>
      </c>
      <c r="AB20" s="78">
        <v>0</v>
      </c>
      <c r="AC20" s="18">
        <f t="shared" si="8"/>
        <v>18</v>
      </c>
      <c r="AD20" s="78">
        <v>0</v>
      </c>
      <c r="AE20" s="78">
        <v>0</v>
      </c>
      <c r="AF20" s="18">
        <f t="shared" si="9"/>
        <v>18</v>
      </c>
      <c r="AG20" s="78">
        <v>0</v>
      </c>
      <c r="AH20" s="78">
        <v>0</v>
      </c>
      <c r="AI20" s="18">
        <f t="shared" si="10"/>
        <v>18</v>
      </c>
      <c r="AJ20" s="78">
        <v>0</v>
      </c>
      <c r="AK20" s="78">
        <v>0</v>
      </c>
      <c r="AL20" s="18">
        <f t="shared" si="11"/>
        <v>18</v>
      </c>
      <c r="AM20" s="78">
        <v>0</v>
      </c>
      <c r="AN20" s="78">
        <v>0</v>
      </c>
      <c r="AO20" s="18">
        <f t="shared" si="12"/>
        <v>18</v>
      </c>
      <c r="AP20" s="78">
        <v>0</v>
      </c>
      <c r="AQ20" s="78">
        <v>0</v>
      </c>
      <c r="AR20" s="18">
        <f t="shared" si="13"/>
        <v>18</v>
      </c>
      <c r="AS20" s="79">
        <v>0</v>
      </c>
      <c r="AT20" s="79">
        <v>0</v>
      </c>
      <c r="AU20" s="18">
        <f t="shared" si="14"/>
        <v>18</v>
      </c>
      <c r="AV20" s="79">
        <v>0</v>
      </c>
      <c r="AW20" s="79">
        <v>0</v>
      </c>
      <c r="AX20" s="18">
        <f t="shared" si="15"/>
        <v>18</v>
      </c>
      <c r="AY20" s="79">
        <v>0</v>
      </c>
      <c r="AZ20" s="79">
        <v>10</v>
      </c>
      <c r="BA20" s="18">
        <f t="shared" si="16"/>
        <v>8</v>
      </c>
      <c r="BB20" s="79">
        <v>0</v>
      </c>
      <c r="BC20" s="79">
        <v>0</v>
      </c>
      <c r="BD20" s="18">
        <f t="shared" si="17"/>
        <v>8</v>
      </c>
      <c r="BE20" s="79">
        <v>0</v>
      </c>
      <c r="BF20" s="79">
        <v>0</v>
      </c>
      <c r="BG20" s="18">
        <f t="shared" si="18"/>
        <v>8</v>
      </c>
      <c r="BH20" s="79">
        <v>0</v>
      </c>
      <c r="BI20" s="79">
        <v>0</v>
      </c>
      <c r="BJ20" s="18">
        <f t="shared" si="19"/>
        <v>8</v>
      </c>
      <c r="BK20" s="79">
        <v>0</v>
      </c>
      <c r="BL20" s="79">
        <v>0</v>
      </c>
      <c r="BM20" s="18">
        <f t="shared" si="20"/>
        <v>8</v>
      </c>
      <c r="BN20" s="79">
        <v>0</v>
      </c>
      <c r="BO20" s="79">
        <v>0</v>
      </c>
      <c r="BP20" s="18">
        <f t="shared" si="21"/>
        <v>8</v>
      </c>
      <c r="BQ20" s="79">
        <v>0</v>
      </c>
      <c r="BR20" s="79">
        <v>0</v>
      </c>
      <c r="BS20" s="18">
        <f t="shared" si="22"/>
        <v>8</v>
      </c>
      <c r="BT20" s="79">
        <v>0</v>
      </c>
      <c r="BU20" s="79">
        <v>0</v>
      </c>
      <c r="BV20" s="18">
        <f t="shared" si="23"/>
        <v>8</v>
      </c>
      <c r="BW20" s="79">
        <v>0</v>
      </c>
      <c r="BX20" s="79">
        <v>0</v>
      </c>
      <c r="BY20" s="18">
        <f t="shared" si="24"/>
        <v>8</v>
      </c>
      <c r="BZ20" s="79">
        <v>0</v>
      </c>
      <c r="CA20" s="79">
        <v>0</v>
      </c>
      <c r="CB20" s="18">
        <f t="shared" si="25"/>
        <v>8</v>
      </c>
      <c r="CC20" s="79">
        <v>0</v>
      </c>
      <c r="CD20" s="79">
        <v>0</v>
      </c>
      <c r="CE20" s="18">
        <v>8</v>
      </c>
      <c r="CF20" s="79">
        <v>0</v>
      </c>
      <c r="CG20" s="79">
        <v>0</v>
      </c>
      <c r="CH20" s="18">
        <f t="shared" si="27"/>
        <v>8</v>
      </c>
      <c r="CI20" s="79">
        <v>0</v>
      </c>
      <c r="CJ20" s="79">
        <v>0</v>
      </c>
      <c r="CK20" s="79">
        <f t="shared" si="29"/>
        <v>8</v>
      </c>
      <c r="CL20" s="79">
        <v>0</v>
      </c>
      <c r="CM20" s="79">
        <v>0</v>
      </c>
      <c r="CN20" s="80">
        <f t="shared" si="30"/>
        <v>8</v>
      </c>
      <c r="CO20" s="79">
        <v>0</v>
      </c>
      <c r="CP20" s="79">
        <v>0</v>
      </c>
      <c r="CQ20" s="125">
        <f t="shared" si="56"/>
        <v>8</v>
      </c>
      <c r="CR20" s="128">
        <v>0</v>
      </c>
      <c r="CS20" s="128">
        <v>0</v>
      </c>
      <c r="CT20" s="128">
        <f t="shared" si="58"/>
        <v>8</v>
      </c>
      <c r="CU20" s="128">
        <v>0</v>
      </c>
      <c r="CV20" s="128">
        <v>0</v>
      </c>
      <c r="CW20" s="128">
        <f t="shared" si="31"/>
        <v>8</v>
      </c>
      <c r="CX20" s="128"/>
      <c r="CY20" s="128"/>
      <c r="CZ20" s="128">
        <f t="shared" si="32"/>
        <v>8</v>
      </c>
      <c r="DA20" s="128"/>
      <c r="DB20" s="128"/>
      <c r="DC20" s="128">
        <f t="shared" si="33"/>
        <v>8</v>
      </c>
      <c r="DD20" s="128"/>
      <c r="DE20" s="128"/>
      <c r="DF20" s="215">
        <f t="shared" si="34"/>
        <v>8</v>
      </c>
      <c r="DG20" s="128"/>
      <c r="DH20" s="128"/>
      <c r="DI20" s="128">
        <f t="shared" si="35"/>
        <v>8</v>
      </c>
      <c r="DJ20" s="128"/>
      <c r="DK20" s="128"/>
      <c r="DL20" s="128">
        <f t="shared" si="36"/>
        <v>8</v>
      </c>
      <c r="DM20" s="128"/>
      <c r="DN20" s="128"/>
      <c r="DO20" s="215">
        <f t="shared" si="37"/>
        <v>8</v>
      </c>
      <c r="DP20" s="128"/>
      <c r="DQ20" s="128"/>
      <c r="DR20" s="215">
        <f t="shared" si="38"/>
        <v>8</v>
      </c>
      <c r="DS20" s="128"/>
      <c r="DT20" s="128"/>
      <c r="DU20" s="215">
        <f t="shared" si="39"/>
        <v>8</v>
      </c>
      <c r="DV20" s="128"/>
      <c r="DW20" s="128"/>
      <c r="DX20" s="215">
        <f t="shared" si="40"/>
        <v>8</v>
      </c>
      <c r="DY20" s="128"/>
      <c r="DZ20" s="128"/>
      <c r="EA20" s="215">
        <f t="shared" si="41"/>
        <v>8</v>
      </c>
      <c r="EB20" s="128"/>
      <c r="EC20" s="128"/>
      <c r="ED20" s="215">
        <f t="shared" si="42"/>
        <v>8</v>
      </c>
      <c r="EE20" s="128"/>
      <c r="EF20" s="128"/>
      <c r="EG20" s="215">
        <f t="shared" si="43"/>
        <v>8</v>
      </c>
      <c r="EH20" s="128"/>
      <c r="EI20" s="128"/>
      <c r="EJ20" s="215">
        <f t="shared" si="57"/>
        <v>8</v>
      </c>
      <c r="EK20" s="128"/>
      <c r="EL20" s="128"/>
      <c r="EM20" s="215">
        <f t="shared" si="44"/>
        <v>8</v>
      </c>
      <c r="EN20" s="128"/>
      <c r="EO20" s="128"/>
      <c r="EP20" s="215">
        <f t="shared" si="45"/>
        <v>8</v>
      </c>
      <c r="EQ20" s="128"/>
      <c r="ER20" s="128"/>
      <c r="ES20" s="128">
        <f t="shared" si="46"/>
        <v>8</v>
      </c>
      <c r="ET20" s="128"/>
      <c r="EU20" s="128"/>
      <c r="EV20" s="128">
        <f t="shared" si="47"/>
        <v>8</v>
      </c>
      <c r="EW20" s="128"/>
      <c r="EX20" s="128"/>
      <c r="EY20" s="128">
        <f t="shared" si="48"/>
        <v>8</v>
      </c>
      <c r="EZ20" s="128"/>
      <c r="FA20" s="128"/>
      <c r="FB20" s="128">
        <f t="shared" si="49"/>
        <v>8</v>
      </c>
      <c r="FC20" s="128"/>
      <c r="FD20" s="215"/>
      <c r="FE20" s="128">
        <f t="shared" si="50"/>
        <v>8</v>
      </c>
      <c r="FF20" s="128"/>
      <c r="FG20" s="128"/>
      <c r="FH20" s="128">
        <f t="shared" si="51"/>
        <v>8</v>
      </c>
      <c r="FI20" s="128"/>
      <c r="FJ20" s="128"/>
      <c r="FK20" s="128">
        <f t="shared" si="52"/>
        <v>8</v>
      </c>
      <c r="FL20" s="128"/>
      <c r="FM20" s="128"/>
      <c r="FN20" s="128">
        <f t="shared" si="28"/>
        <v>8</v>
      </c>
      <c r="FO20" s="128"/>
      <c r="FP20" s="128"/>
      <c r="FQ20" s="128">
        <f t="shared" si="53"/>
        <v>8</v>
      </c>
      <c r="FR20" s="128"/>
      <c r="FS20" s="128"/>
      <c r="FT20" s="128">
        <f t="shared" si="54"/>
        <v>8</v>
      </c>
      <c r="FU20" s="128"/>
      <c r="FV20" s="128"/>
      <c r="FW20" s="128">
        <f t="shared" si="55"/>
        <v>8</v>
      </c>
    </row>
    <row r="21" spans="1:192" ht="12.75" x14ac:dyDescent="0.2">
      <c r="A21" s="13" t="s">
        <v>95</v>
      </c>
      <c r="B21" s="29">
        <f>'INV. FEB'!BX21</f>
        <v>25</v>
      </c>
      <c r="C21" s="10">
        <v>0</v>
      </c>
      <c r="D21" s="10">
        <v>0</v>
      </c>
      <c r="E21" s="9">
        <f t="shared" si="0"/>
        <v>25</v>
      </c>
      <c r="F21" s="10">
        <v>0</v>
      </c>
      <c r="G21" s="10">
        <v>0</v>
      </c>
      <c r="H21" s="9">
        <f t="shared" si="1"/>
        <v>25</v>
      </c>
      <c r="I21" s="10">
        <v>0</v>
      </c>
      <c r="J21" s="10">
        <v>0</v>
      </c>
      <c r="K21" s="9">
        <f t="shared" si="2"/>
        <v>25</v>
      </c>
      <c r="L21" s="10">
        <v>0</v>
      </c>
      <c r="M21" s="10">
        <v>0</v>
      </c>
      <c r="N21" s="9">
        <f t="shared" si="3"/>
        <v>25</v>
      </c>
      <c r="O21" s="10">
        <v>0</v>
      </c>
      <c r="P21" s="10">
        <v>0</v>
      </c>
      <c r="Q21" s="9">
        <f t="shared" si="4"/>
        <v>25</v>
      </c>
      <c r="R21" s="10">
        <v>0</v>
      </c>
      <c r="S21" s="10">
        <v>0</v>
      </c>
      <c r="T21" s="9">
        <f t="shared" si="5"/>
        <v>25</v>
      </c>
      <c r="U21" s="10">
        <v>0</v>
      </c>
      <c r="V21" s="10">
        <v>0</v>
      </c>
      <c r="W21" s="9">
        <f t="shared" si="6"/>
        <v>25</v>
      </c>
      <c r="X21" s="10">
        <v>0</v>
      </c>
      <c r="Y21" s="10">
        <v>0</v>
      </c>
      <c r="Z21" s="9">
        <f t="shared" si="7"/>
        <v>25</v>
      </c>
      <c r="AA21" s="78">
        <v>0</v>
      </c>
      <c r="AB21" s="78">
        <v>0</v>
      </c>
      <c r="AC21" s="18">
        <f t="shared" si="8"/>
        <v>25</v>
      </c>
      <c r="AD21" s="78">
        <v>0</v>
      </c>
      <c r="AE21" s="78">
        <v>0</v>
      </c>
      <c r="AF21" s="18">
        <f t="shared" si="9"/>
        <v>25</v>
      </c>
      <c r="AG21" s="78">
        <v>0</v>
      </c>
      <c r="AH21" s="78">
        <v>0</v>
      </c>
      <c r="AI21" s="18">
        <f t="shared" si="10"/>
        <v>25</v>
      </c>
      <c r="AJ21" s="78">
        <v>0</v>
      </c>
      <c r="AK21" s="78">
        <v>0</v>
      </c>
      <c r="AL21" s="18">
        <f t="shared" si="11"/>
        <v>25</v>
      </c>
      <c r="AM21" s="78">
        <v>0</v>
      </c>
      <c r="AN21" s="78">
        <v>0</v>
      </c>
      <c r="AO21" s="18">
        <f t="shared" si="12"/>
        <v>25</v>
      </c>
      <c r="AP21" s="78">
        <v>0</v>
      </c>
      <c r="AQ21" s="78">
        <v>0</v>
      </c>
      <c r="AR21" s="18">
        <f t="shared" si="13"/>
        <v>25</v>
      </c>
      <c r="AS21" s="79">
        <v>0</v>
      </c>
      <c r="AT21" s="79">
        <v>0</v>
      </c>
      <c r="AU21" s="18">
        <f t="shared" si="14"/>
        <v>25</v>
      </c>
      <c r="AV21" s="79">
        <v>0</v>
      </c>
      <c r="AW21" s="79">
        <v>0</v>
      </c>
      <c r="AX21" s="18">
        <f t="shared" si="15"/>
        <v>25</v>
      </c>
      <c r="AY21" s="79">
        <v>0</v>
      </c>
      <c r="AZ21" s="79">
        <v>0</v>
      </c>
      <c r="BA21" s="18">
        <f t="shared" si="16"/>
        <v>25</v>
      </c>
      <c r="BB21" s="79">
        <v>0</v>
      </c>
      <c r="BC21" s="79">
        <v>0</v>
      </c>
      <c r="BD21" s="18">
        <f t="shared" si="17"/>
        <v>25</v>
      </c>
      <c r="BE21" s="79">
        <v>0</v>
      </c>
      <c r="BF21" s="79">
        <v>0</v>
      </c>
      <c r="BG21" s="18">
        <f t="shared" si="18"/>
        <v>25</v>
      </c>
      <c r="BH21" s="79">
        <v>0</v>
      </c>
      <c r="BI21" s="79">
        <v>0</v>
      </c>
      <c r="BJ21" s="18">
        <f t="shared" si="19"/>
        <v>25</v>
      </c>
      <c r="BK21" s="79">
        <v>0</v>
      </c>
      <c r="BL21" s="79">
        <v>0</v>
      </c>
      <c r="BM21" s="18">
        <f t="shared" si="20"/>
        <v>25</v>
      </c>
      <c r="BN21" s="79">
        <v>0</v>
      </c>
      <c r="BO21" s="79">
        <v>0</v>
      </c>
      <c r="BP21" s="18">
        <f t="shared" si="21"/>
        <v>25</v>
      </c>
      <c r="BQ21" s="79">
        <v>0</v>
      </c>
      <c r="BR21" s="79">
        <v>0</v>
      </c>
      <c r="BS21" s="18">
        <f t="shared" si="22"/>
        <v>25</v>
      </c>
      <c r="BT21" s="79">
        <v>0</v>
      </c>
      <c r="BU21" s="79">
        <v>0</v>
      </c>
      <c r="BV21" s="18">
        <f t="shared" si="23"/>
        <v>25</v>
      </c>
      <c r="BW21" s="79">
        <v>0</v>
      </c>
      <c r="BX21" s="79">
        <v>0</v>
      </c>
      <c r="BY21" s="18">
        <f t="shared" si="24"/>
        <v>25</v>
      </c>
      <c r="BZ21" s="79">
        <v>0</v>
      </c>
      <c r="CA21" s="79">
        <v>0</v>
      </c>
      <c r="CB21" s="18">
        <f t="shared" si="25"/>
        <v>25</v>
      </c>
      <c r="CC21" s="79">
        <v>0</v>
      </c>
      <c r="CD21" s="79">
        <v>0</v>
      </c>
      <c r="CE21" s="18">
        <v>25</v>
      </c>
      <c r="CF21" s="79">
        <v>0</v>
      </c>
      <c r="CG21" s="79">
        <v>0</v>
      </c>
      <c r="CH21" s="18">
        <f t="shared" si="27"/>
        <v>25</v>
      </c>
      <c r="CI21" s="79">
        <v>0</v>
      </c>
      <c r="CJ21" s="79">
        <v>0</v>
      </c>
      <c r="CK21" s="79">
        <f t="shared" si="29"/>
        <v>25</v>
      </c>
      <c r="CL21" s="79">
        <v>0</v>
      </c>
      <c r="CM21" s="79">
        <v>0</v>
      </c>
      <c r="CN21" s="80">
        <f t="shared" si="30"/>
        <v>25</v>
      </c>
      <c r="CO21" s="79">
        <v>0</v>
      </c>
      <c r="CP21" s="79">
        <v>0</v>
      </c>
      <c r="CQ21" s="125">
        <f t="shared" si="56"/>
        <v>25</v>
      </c>
      <c r="CR21" s="128">
        <v>0</v>
      </c>
      <c r="CS21" s="128">
        <v>0</v>
      </c>
      <c r="CT21" s="128">
        <f t="shared" si="58"/>
        <v>25</v>
      </c>
      <c r="CU21" s="128">
        <v>0</v>
      </c>
      <c r="CV21" s="128">
        <v>0</v>
      </c>
      <c r="CW21" s="128">
        <f t="shared" si="31"/>
        <v>25</v>
      </c>
      <c r="CX21" s="128"/>
      <c r="CY21" s="128"/>
      <c r="CZ21" s="128">
        <f t="shared" si="32"/>
        <v>25</v>
      </c>
      <c r="DA21" s="128"/>
      <c r="DB21" s="128"/>
      <c r="DC21" s="128">
        <f t="shared" si="33"/>
        <v>25</v>
      </c>
      <c r="DD21" s="128"/>
      <c r="DE21" s="128"/>
      <c r="DF21" s="215">
        <f t="shared" si="34"/>
        <v>25</v>
      </c>
      <c r="DG21" s="128"/>
      <c r="DH21" s="128"/>
      <c r="DI21" s="128">
        <f t="shared" si="35"/>
        <v>25</v>
      </c>
      <c r="DJ21" s="128"/>
      <c r="DK21" s="128"/>
      <c r="DL21" s="128">
        <f t="shared" si="36"/>
        <v>25</v>
      </c>
      <c r="DM21" s="128"/>
      <c r="DN21" s="128"/>
      <c r="DO21" s="215">
        <f t="shared" si="37"/>
        <v>25</v>
      </c>
      <c r="DP21" s="128"/>
      <c r="DQ21" s="128"/>
      <c r="DR21" s="215">
        <f t="shared" si="38"/>
        <v>25</v>
      </c>
      <c r="DS21" s="128"/>
      <c r="DT21" s="128"/>
      <c r="DU21" s="215">
        <f t="shared" si="39"/>
        <v>25</v>
      </c>
      <c r="DV21" s="128"/>
      <c r="DW21" s="128"/>
      <c r="DX21" s="215">
        <f t="shared" si="40"/>
        <v>25</v>
      </c>
      <c r="DY21" s="128"/>
      <c r="DZ21" s="128"/>
      <c r="EA21" s="215">
        <f t="shared" si="41"/>
        <v>25</v>
      </c>
      <c r="EB21" s="128"/>
      <c r="EC21" s="128"/>
      <c r="ED21" s="215">
        <f t="shared" si="42"/>
        <v>25</v>
      </c>
      <c r="EE21" s="128"/>
      <c r="EF21" s="128"/>
      <c r="EG21" s="215">
        <f t="shared" si="43"/>
        <v>25</v>
      </c>
      <c r="EH21" s="128"/>
      <c r="EI21" s="128"/>
      <c r="EJ21" s="215">
        <f t="shared" si="57"/>
        <v>25</v>
      </c>
      <c r="EK21" s="128"/>
      <c r="EL21" s="128"/>
      <c r="EM21" s="215">
        <f t="shared" si="44"/>
        <v>25</v>
      </c>
      <c r="EN21" s="128"/>
      <c r="EO21" s="128"/>
      <c r="EP21" s="215">
        <f t="shared" si="45"/>
        <v>25</v>
      </c>
      <c r="EQ21" s="128"/>
      <c r="ER21" s="128"/>
      <c r="ES21" s="128">
        <f t="shared" si="46"/>
        <v>25</v>
      </c>
      <c r="ET21" s="128"/>
      <c r="EU21" s="128"/>
      <c r="EV21" s="128">
        <f t="shared" si="47"/>
        <v>25</v>
      </c>
      <c r="EW21" s="128"/>
      <c r="EX21" s="128"/>
      <c r="EY21" s="128">
        <f t="shared" si="48"/>
        <v>25</v>
      </c>
      <c r="EZ21" s="128"/>
      <c r="FA21" s="128"/>
      <c r="FB21" s="128">
        <f t="shared" si="49"/>
        <v>25</v>
      </c>
      <c r="FC21" s="128"/>
      <c r="FD21" s="215"/>
      <c r="FE21" s="128">
        <f t="shared" si="50"/>
        <v>25</v>
      </c>
      <c r="FF21" s="128"/>
      <c r="FG21" s="128"/>
      <c r="FH21" s="128">
        <f t="shared" si="51"/>
        <v>25</v>
      </c>
      <c r="FI21" s="128"/>
      <c r="FJ21" s="128"/>
      <c r="FK21" s="128">
        <f t="shared" si="52"/>
        <v>25</v>
      </c>
      <c r="FL21" s="128"/>
      <c r="FM21" s="128"/>
      <c r="FN21" s="128">
        <f t="shared" si="28"/>
        <v>25</v>
      </c>
      <c r="FO21" s="128"/>
      <c r="FP21" s="128"/>
      <c r="FQ21" s="128">
        <f t="shared" si="53"/>
        <v>25</v>
      </c>
      <c r="FR21" s="128"/>
      <c r="FS21" s="128"/>
      <c r="FT21" s="128">
        <f t="shared" si="54"/>
        <v>25</v>
      </c>
      <c r="FU21" s="128"/>
      <c r="FV21" s="128"/>
      <c r="FW21" s="128">
        <f t="shared" si="55"/>
        <v>25</v>
      </c>
    </row>
    <row r="22" spans="1:192" ht="12.75" x14ac:dyDescent="0.2">
      <c r="A22" s="13" t="s">
        <v>96</v>
      </c>
      <c r="B22" s="29">
        <f>'INV. FEB'!BX22</f>
        <v>19</v>
      </c>
      <c r="C22" s="10">
        <v>0</v>
      </c>
      <c r="D22" s="10">
        <v>0</v>
      </c>
      <c r="E22" s="9">
        <f t="shared" si="0"/>
        <v>19</v>
      </c>
      <c r="F22" s="10">
        <v>0</v>
      </c>
      <c r="G22" s="10">
        <v>0</v>
      </c>
      <c r="H22" s="9">
        <f t="shared" si="1"/>
        <v>19</v>
      </c>
      <c r="I22" s="10">
        <v>0</v>
      </c>
      <c r="J22" s="10">
        <v>0</v>
      </c>
      <c r="K22" s="9">
        <f t="shared" si="2"/>
        <v>19</v>
      </c>
      <c r="L22" s="10">
        <v>0</v>
      </c>
      <c r="M22" s="10">
        <v>0</v>
      </c>
      <c r="N22" s="9">
        <f t="shared" si="3"/>
        <v>19</v>
      </c>
      <c r="O22" s="10">
        <v>0</v>
      </c>
      <c r="P22" s="10">
        <v>0</v>
      </c>
      <c r="Q22" s="9">
        <f t="shared" si="4"/>
        <v>19</v>
      </c>
      <c r="R22" s="10">
        <v>0</v>
      </c>
      <c r="S22" s="10">
        <v>0</v>
      </c>
      <c r="T22" s="9">
        <f t="shared" si="5"/>
        <v>19</v>
      </c>
      <c r="U22" s="10">
        <v>0</v>
      </c>
      <c r="V22" s="10">
        <v>0</v>
      </c>
      <c r="W22" s="9">
        <f t="shared" si="6"/>
        <v>19</v>
      </c>
      <c r="X22" s="10">
        <v>0</v>
      </c>
      <c r="Y22" s="10">
        <v>0</v>
      </c>
      <c r="Z22" s="9">
        <f t="shared" si="7"/>
        <v>19</v>
      </c>
      <c r="AA22" s="78">
        <v>0</v>
      </c>
      <c r="AB22" s="78">
        <v>0</v>
      </c>
      <c r="AC22" s="18">
        <f t="shared" si="8"/>
        <v>19</v>
      </c>
      <c r="AD22" s="78">
        <v>0</v>
      </c>
      <c r="AE22" s="78">
        <v>0</v>
      </c>
      <c r="AF22" s="18">
        <f t="shared" si="9"/>
        <v>19</v>
      </c>
      <c r="AG22" s="78">
        <v>0</v>
      </c>
      <c r="AH22" s="78">
        <v>0</v>
      </c>
      <c r="AI22" s="18">
        <f t="shared" si="10"/>
        <v>19</v>
      </c>
      <c r="AJ22" s="78">
        <v>0</v>
      </c>
      <c r="AK22" s="78">
        <v>0</v>
      </c>
      <c r="AL22" s="18">
        <f t="shared" si="11"/>
        <v>19</v>
      </c>
      <c r="AM22" s="78">
        <v>0</v>
      </c>
      <c r="AN22" s="78">
        <v>0</v>
      </c>
      <c r="AO22" s="18">
        <f t="shared" si="12"/>
        <v>19</v>
      </c>
      <c r="AP22" s="78">
        <v>0</v>
      </c>
      <c r="AQ22" s="78">
        <v>0</v>
      </c>
      <c r="AR22" s="18">
        <f t="shared" si="13"/>
        <v>19</v>
      </c>
      <c r="AS22" s="79">
        <v>0</v>
      </c>
      <c r="AT22" s="79">
        <v>0</v>
      </c>
      <c r="AU22" s="18">
        <f t="shared" si="14"/>
        <v>19</v>
      </c>
      <c r="AV22" s="79">
        <v>0</v>
      </c>
      <c r="AW22" s="79">
        <v>0</v>
      </c>
      <c r="AX22" s="18">
        <f t="shared" si="15"/>
        <v>19</v>
      </c>
      <c r="AY22" s="79">
        <v>0</v>
      </c>
      <c r="AZ22" s="79">
        <v>0</v>
      </c>
      <c r="BA22" s="18">
        <f t="shared" si="16"/>
        <v>19</v>
      </c>
      <c r="BB22" s="79">
        <v>0</v>
      </c>
      <c r="BC22" s="79">
        <v>0</v>
      </c>
      <c r="BD22" s="18">
        <f t="shared" si="17"/>
        <v>19</v>
      </c>
      <c r="BE22" s="79">
        <v>0</v>
      </c>
      <c r="BF22" s="79">
        <v>0</v>
      </c>
      <c r="BG22" s="18">
        <f t="shared" si="18"/>
        <v>19</v>
      </c>
      <c r="BH22" s="79">
        <v>0</v>
      </c>
      <c r="BI22" s="79">
        <v>0</v>
      </c>
      <c r="BJ22" s="18">
        <f t="shared" si="19"/>
        <v>19</v>
      </c>
      <c r="BK22" s="79">
        <v>0</v>
      </c>
      <c r="BL22" s="79">
        <v>0</v>
      </c>
      <c r="BM22" s="18">
        <f t="shared" si="20"/>
        <v>19</v>
      </c>
      <c r="BN22" s="79">
        <v>0</v>
      </c>
      <c r="BO22" s="79">
        <v>0</v>
      </c>
      <c r="BP22" s="18">
        <f t="shared" si="21"/>
        <v>19</v>
      </c>
      <c r="BQ22" s="79">
        <v>0</v>
      </c>
      <c r="BR22" s="79">
        <v>0</v>
      </c>
      <c r="BS22" s="18">
        <f t="shared" si="22"/>
        <v>19</v>
      </c>
      <c r="BT22" s="79">
        <v>0</v>
      </c>
      <c r="BU22" s="79">
        <v>0</v>
      </c>
      <c r="BV22" s="18">
        <f t="shared" si="23"/>
        <v>19</v>
      </c>
      <c r="BW22" s="79">
        <v>0</v>
      </c>
      <c r="BX22" s="79">
        <v>0</v>
      </c>
      <c r="BY22" s="18">
        <f t="shared" si="24"/>
        <v>19</v>
      </c>
      <c r="BZ22" s="79">
        <v>0</v>
      </c>
      <c r="CA22" s="79">
        <v>0</v>
      </c>
      <c r="CB22" s="18">
        <f t="shared" si="25"/>
        <v>19</v>
      </c>
      <c r="CC22" s="79">
        <v>0</v>
      </c>
      <c r="CD22" s="79">
        <v>0</v>
      </c>
      <c r="CE22" s="18">
        <v>19</v>
      </c>
      <c r="CF22" s="79">
        <v>0</v>
      </c>
      <c r="CG22" s="79">
        <v>0</v>
      </c>
      <c r="CH22" s="18">
        <f t="shared" si="27"/>
        <v>19</v>
      </c>
      <c r="CI22" s="79">
        <v>0</v>
      </c>
      <c r="CJ22" s="79">
        <v>0</v>
      </c>
      <c r="CK22" s="79">
        <f t="shared" si="29"/>
        <v>19</v>
      </c>
      <c r="CL22" s="79">
        <v>0</v>
      </c>
      <c r="CM22" s="79">
        <v>0</v>
      </c>
      <c r="CN22" s="80">
        <f t="shared" si="30"/>
        <v>19</v>
      </c>
      <c r="CO22" s="79">
        <v>0</v>
      </c>
      <c r="CP22" s="79">
        <v>0</v>
      </c>
      <c r="CQ22" s="125">
        <f t="shared" si="56"/>
        <v>19</v>
      </c>
      <c r="CR22" s="128">
        <v>0</v>
      </c>
      <c r="CS22" s="128">
        <v>0</v>
      </c>
      <c r="CT22" s="128">
        <f t="shared" si="58"/>
        <v>19</v>
      </c>
      <c r="CU22" s="128">
        <v>0</v>
      </c>
      <c r="CV22" s="128">
        <v>0</v>
      </c>
      <c r="CW22" s="128">
        <f t="shared" si="31"/>
        <v>19</v>
      </c>
      <c r="CX22" s="128"/>
      <c r="CY22" s="128"/>
      <c r="CZ22" s="128">
        <f t="shared" si="32"/>
        <v>19</v>
      </c>
      <c r="DA22" s="128"/>
      <c r="DB22" s="128"/>
      <c r="DC22" s="128">
        <f t="shared" si="33"/>
        <v>19</v>
      </c>
      <c r="DD22" s="128"/>
      <c r="DE22" s="128"/>
      <c r="DF22" s="215">
        <f t="shared" si="34"/>
        <v>19</v>
      </c>
      <c r="DG22" s="128"/>
      <c r="DH22" s="128"/>
      <c r="DI22" s="128">
        <f t="shared" si="35"/>
        <v>19</v>
      </c>
      <c r="DJ22" s="128"/>
      <c r="DK22" s="128"/>
      <c r="DL22" s="128">
        <f t="shared" si="36"/>
        <v>19</v>
      </c>
      <c r="DM22" s="128"/>
      <c r="DN22" s="128"/>
      <c r="DO22" s="215">
        <f t="shared" si="37"/>
        <v>19</v>
      </c>
      <c r="DP22" s="128"/>
      <c r="DQ22" s="128"/>
      <c r="DR22" s="215">
        <f t="shared" si="38"/>
        <v>19</v>
      </c>
      <c r="DS22" s="128"/>
      <c r="DT22" s="128"/>
      <c r="DU22" s="215">
        <f t="shared" si="39"/>
        <v>19</v>
      </c>
      <c r="DV22" s="128"/>
      <c r="DW22" s="128"/>
      <c r="DX22" s="215">
        <f t="shared" si="40"/>
        <v>19</v>
      </c>
      <c r="DY22" s="128"/>
      <c r="DZ22" s="128"/>
      <c r="EA22" s="215">
        <f t="shared" si="41"/>
        <v>19</v>
      </c>
      <c r="EB22" s="128"/>
      <c r="EC22" s="128"/>
      <c r="ED22" s="215">
        <f t="shared" si="42"/>
        <v>19</v>
      </c>
      <c r="EE22" s="128"/>
      <c r="EF22" s="128"/>
      <c r="EG22" s="215">
        <f t="shared" si="43"/>
        <v>19</v>
      </c>
      <c r="EH22" s="128"/>
      <c r="EI22" s="128"/>
      <c r="EJ22" s="215">
        <f t="shared" si="57"/>
        <v>19</v>
      </c>
      <c r="EK22" s="128"/>
      <c r="EL22" s="128"/>
      <c r="EM22" s="215">
        <f t="shared" si="44"/>
        <v>19</v>
      </c>
      <c r="EN22" s="128"/>
      <c r="EO22" s="128"/>
      <c r="EP22" s="215">
        <f t="shared" si="45"/>
        <v>19</v>
      </c>
      <c r="EQ22" s="128"/>
      <c r="ER22" s="128"/>
      <c r="ES22" s="128">
        <f t="shared" si="46"/>
        <v>19</v>
      </c>
      <c r="ET22" s="128"/>
      <c r="EU22" s="128"/>
      <c r="EV22" s="128">
        <f t="shared" si="47"/>
        <v>19</v>
      </c>
      <c r="EW22" s="128"/>
      <c r="EX22" s="128"/>
      <c r="EY22" s="128">
        <f t="shared" si="48"/>
        <v>19</v>
      </c>
      <c r="EZ22" s="128"/>
      <c r="FA22" s="128"/>
      <c r="FB22" s="128">
        <f t="shared" si="49"/>
        <v>19</v>
      </c>
      <c r="FC22" s="128"/>
      <c r="FD22" s="215"/>
      <c r="FE22" s="128">
        <f t="shared" si="50"/>
        <v>19</v>
      </c>
      <c r="FF22" s="128"/>
      <c r="FG22" s="128"/>
      <c r="FH22" s="128">
        <f t="shared" si="51"/>
        <v>19</v>
      </c>
      <c r="FI22" s="128"/>
      <c r="FJ22" s="128"/>
      <c r="FK22" s="128">
        <f t="shared" si="52"/>
        <v>19</v>
      </c>
      <c r="FL22" s="128"/>
      <c r="FM22" s="128"/>
      <c r="FN22" s="128">
        <f t="shared" si="28"/>
        <v>19</v>
      </c>
      <c r="FO22" s="128"/>
      <c r="FP22" s="128"/>
      <c r="FQ22" s="128">
        <f t="shared" si="53"/>
        <v>19</v>
      </c>
      <c r="FR22" s="128"/>
      <c r="FS22" s="128"/>
      <c r="FT22" s="128">
        <f t="shared" si="54"/>
        <v>19</v>
      </c>
      <c r="FU22" s="128"/>
      <c r="FV22" s="128"/>
      <c r="FW22" s="128">
        <f t="shared" si="55"/>
        <v>19</v>
      </c>
    </row>
    <row r="23" spans="1:192" ht="12.75" x14ac:dyDescent="0.2">
      <c r="A23" s="13" t="s">
        <v>97</v>
      </c>
      <c r="B23" s="29">
        <f>'INV. FEB'!BX23</f>
        <v>3</v>
      </c>
      <c r="C23" s="10">
        <v>0</v>
      </c>
      <c r="D23" s="10">
        <v>0</v>
      </c>
      <c r="E23" s="9">
        <f t="shared" si="0"/>
        <v>3</v>
      </c>
      <c r="F23" s="10">
        <v>0</v>
      </c>
      <c r="G23" s="10">
        <v>0</v>
      </c>
      <c r="H23" s="9">
        <f t="shared" si="1"/>
        <v>3</v>
      </c>
      <c r="I23" s="10">
        <v>0</v>
      </c>
      <c r="J23" s="10">
        <v>0</v>
      </c>
      <c r="K23" s="9">
        <f t="shared" si="2"/>
        <v>3</v>
      </c>
      <c r="L23" s="10">
        <v>0</v>
      </c>
      <c r="M23" s="10">
        <v>0</v>
      </c>
      <c r="N23" s="9">
        <f t="shared" si="3"/>
        <v>3</v>
      </c>
      <c r="O23" s="10">
        <v>0</v>
      </c>
      <c r="P23" s="10">
        <v>0</v>
      </c>
      <c r="Q23" s="9">
        <f t="shared" si="4"/>
        <v>3</v>
      </c>
      <c r="R23" s="10">
        <v>0</v>
      </c>
      <c r="S23" s="10">
        <v>0</v>
      </c>
      <c r="T23" s="9">
        <f t="shared" si="5"/>
        <v>3</v>
      </c>
      <c r="U23" s="10">
        <v>0</v>
      </c>
      <c r="V23" s="10">
        <v>0</v>
      </c>
      <c r="W23" s="9">
        <f t="shared" si="6"/>
        <v>3</v>
      </c>
      <c r="X23" s="10">
        <v>0</v>
      </c>
      <c r="Y23" s="10">
        <v>0</v>
      </c>
      <c r="Z23" s="9">
        <f t="shared" si="7"/>
        <v>3</v>
      </c>
      <c r="AA23" s="78">
        <v>0</v>
      </c>
      <c r="AB23" s="78">
        <v>0</v>
      </c>
      <c r="AC23" s="18">
        <f t="shared" si="8"/>
        <v>3</v>
      </c>
      <c r="AD23" s="78">
        <v>0</v>
      </c>
      <c r="AE23" s="78">
        <v>0</v>
      </c>
      <c r="AF23" s="18">
        <f t="shared" si="9"/>
        <v>3</v>
      </c>
      <c r="AG23" s="78">
        <v>0</v>
      </c>
      <c r="AH23" s="78">
        <v>0</v>
      </c>
      <c r="AI23" s="18">
        <f t="shared" si="10"/>
        <v>3</v>
      </c>
      <c r="AJ23" s="78">
        <v>0</v>
      </c>
      <c r="AK23" s="78">
        <v>0</v>
      </c>
      <c r="AL23" s="18">
        <f t="shared" si="11"/>
        <v>3</v>
      </c>
      <c r="AM23" s="78">
        <v>0</v>
      </c>
      <c r="AN23" s="78">
        <v>0</v>
      </c>
      <c r="AO23" s="18">
        <f t="shared" si="12"/>
        <v>3</v>
      </c>
      <c r="AP23" s="78">
        <v>0</v>
      </c>
      <c r="AQ23" s="78">
        <v>0</v>
      </c>
      <c r="AR23" s="18">
        <f t="shared" si="13"/>
        <v>3</v>
      </c>
      <c r="AS23" s="79">
        <v>0</v>
      </c>
      <c r="AT23" s="79">
        <v>0</v>
      </c>
      <c r="AU23" s="18">
        <f t="shared" si="14"/>
        <v>3</v>
      </c>
      <c r="AV23" s="79">
        <v>0</v>
      </c>
      <c r="AW23" s="79">
        <v>0</v>
      </c>
      <c r="AX23" s="18">
        <f t="shared" si="15"/>
        <v>3</v>
      </c>
      <c r="AY23" s="79">
        <v>0</v>
      </c>
      <c r="AZ23" s="79">
        <v>0</v>
      </c>
      <c r="BA23" s="18">
        <f t="shared" si="16"/>
        <v>3</v>
      </c>
      <c r="BB23" s="79">
        <v>0</v>
      </c>
      <c r="BC23" s="79">
        <v>0</v>
      </c>
      <c r="BD23" s="18">
        <f t="shared" si="17"/>
        <v>3</v>
      </c>
      <c r="BE23" s="79">
        <v>0</v>
      </c>
      <c r="BF23" s="79">
        <v>0</v>
      </c>
      <c r="BG23" s="18">
        <f t="shared" si="18"/>
        <v>3</v>
      </c>
      <c r="BH23" s="79">
        <v>0</v>
      </c>
      <c r="BI23" s="79">
        <v>0</v>
      </c>
      <c r="BJ23" s="18">
        <f t="shared" si="19"/>
        <v>3</v>
      </c>
      <c r="BK23" s="79">
        <v>0</v>
      </c>
      <c r="BL23" s="79">
        <v>0</v>
      </c>
      <c r="BM23" s="18">
        <f t="shared" si="20"/>
        <v>3</v>
      </c>
      <c r="BN23" s="79">
        <v>0</v>
      </c>
      <c r="BO23" s="79">
        <v>0</v>
      </c>
      <c r="BP23" s="18">
        <f t="shared" si="21"/>
        <v>3</v>
      </c>
      <c r="BQ23" s="79">
        <v>0</v>
      </c>
      <c r="BR23" s="79">
        <v>0</v>
      </c>
      <c r="BS23" s="18">
        <f t="shared" si="22"/>
        <v>3</v>
      </c>
      <c r="BT23" s="79">
        <v>0</v>
      </c>
      <c r="BU23" s="79">
        <v>0</v>
      </c>
      <c r="BV23" s="18">
        <f t="shared" si="23"/>
        <v>3</v>
      </c>
      <c r="BW23" s="79">
        <v>0</v>
      </c>
      <c r="BX23" s="79">
        <v>0</v>
      </c>
      <c r="BY23" s="18">
        <f t="shared" si="24"/>
        <v>3</v>
      </c>
      <c r="BZ23" s="79">
        <v>0</v>
      </c>
      <c r="CA23" s="79">
        <v>0</v>
      </c>
      <c r="CB23" s="18">
        <f t="shared" si="25"/>
        <v>3</v>
      </c>
      <c r="CC23" s="79">
        <v>0</v>
      </c>
      <c r="CD23" s="79">
        <v>0</v>
      </c>
      <c r="CE23" s="18">
        <v>3</v>
      </c>
      <c r="CF23" s="79">
        <v>0</v>
      </c>
      <c r="CG23" s="79">
        <v>0</v>
      </c>
      <c r="CH23" s="18">
        <f t="shared" si="27"/>
        <v>3</v>
      </c>
      <c r="CI23" s="79">
        <v>0</v>
      </c>
      <c r="CJ23" s="79">
        <v>0</v>
      </c>
      <c r="CK23" s="79">
        <f t="shared" si="29"/>
        <v>3</v>
      </c>
      <c r="CL23" s="79">
        <v>0</v>
      </c>
      <c r="CM23" s="79">
        <v>0</v>
      </c>
      <c r="CN23" s="80">
        <f t="shared" si="30"/>
        <v>3</v>
      </c>
      <c r="CO23" s="79">
        <v>0</v>
      </c>
      <c r="CP23" s="79">
        <v>0</v>
      </c>
      <c r="CQ23" s="125">
        <f t="shared" si="56"/>
        <v>3</v>
      </c>
      <c r="CR23" s="128">
        <v>0</v>
      </c>
      <c r="CS23" s="128">
        <v>0</v>
      </c>
      <c r="CT23" s="128">
        <f t="shared" si="58"/>
        <v>3</v>
      </c>
      <c r="CU23" s="128">
        <v>0</v>
      </c>
      <c r="CV23" s="128">
        <v>0</v>
      </c>
      <c r="CW23" s="128">
        <f t="shared" si="31"/>
        <v>3</v>
      </c>
      <c r="CX23" s="128"/>
      <c r="CY23" s="128"/>
      <c r="CZ23" s="128">
        <f t="shared" si="32"/>
        <v>3</v>
      </c>
      <c r="DA23" s="128"/>
      <c r="DB23" s="128"/>
      <c r="DC23" s="128">
        <f t="shared" si="33"/>
        <v>3</v>
      </c>
      <c r="DD23" s="128"/>
      <c r="DE23" s="128"/>
      <c r="DF23" s="215">
        <f t="shared" si="34"/>
        <v>3</v>
      </c>
      <c r="DG23" s="128"/>
      <c r="DH23" s="128"/>
      <c r="DI23" s="128">
        <f t="shared" si="35"/>
        <v>3</v>
      </c>
      <c r="DJ23" s="128"/>
      <c r="DK23" s="128"/>
      <c r="DL23" s="128">
        <f t="shared" si="36"/>
        <v>3</v>
      </c>
      <c r="DM23" s="128"/>
      <c r="DN23" s="128"/>
      <c r="DO23" s="215">
        <f t="shared" si="37"/>
        <v>3</v>
      </c>
      <c r="DP23" s="128"/>
      <c r="DQ23" s="128"/>
      <c r="DR23" s="215">
        <f t="shared" si="38"/>
        <v>3</v>
      </c>
      <c r="DS23" s="128"/>
      <c r="DT23" s="128"/>
      <c r="DU23" s="215">
        <f t="shared" si="39"/>
        <v>3</v>
      </c>
      <c r="DV23" s="128"/>
      <c r="DW23" s="128"/>
      <c r="DX23" s="215">
        <f t="shared" si="40"/>
        <v>3</v>
      </c>
      <c r="DY23" s="128"/>
      <c r="DZ23" s="128"/>
      <c r="EA23" s="215">
        <f t="shared" si="41"/>
        <v>3</v>
      </c>
      <c r="EB23" s="128"/>
      <c r="EC23" s="128"/>
      <c r="ED23" s="215">
        <f t="shared" si="42"/>
        <v>3</v>
      </c>
      <c r="EE23" s="128"/>
      <c r="EF23" s="128"/>
      <c r="EG23" s="215">
        <f t="shared" si="43"/>
        <v>3</v>
      </c>
      <c r="EH23" s="128"/>
      <c r="EI23" s="128"/>
      <c r="EJ23" s="215">
        <f t="shared" si="57"/>
        <v>3</v>
      </c>
      <c r="EK23" s="128"/>
      <c r="EL23" s="128"/>
      <c r="EM23" s="215">
        <f t="shared" si="44"/>
        <v>3</v>
      </c>
      <c r="EN23" s="128"/>
      <c r="EO23" s="128"/>
      <c r="EP23" s="215">
        <f t="shared" si="45"/>
        <v>3</v>
      </c>
      <c r="EQ23" s="128"/>
      <c r="ER23" s="128"/>
      <c r="ES23" s="128">
        <f t="shared" si="46"/>
        <v>3</v>
      </c>
      <c r="ET23" s="128"/>
      <c r="EU23" s="128"/>
      <c r="EV23" s="128">
        <f t="shared" si="47"/>
        <v>3</v>
      </c>
      <c r="EW23" s="128"/>
      <c r="EX23" s="128"/>
      <c r="EY23" s="128">
        <f t="shared" si="48"/>
        <v>3</v>
      </c>
      <c r="EZ23" s="128"/>
      <c r="FA23" s="128"/>
      <c r="FB23" s="128">
        <f t="shared" si="49"/>
        <v>3</v>
      </c>
      <c r="FC23" s="128"/>
      <c r="FD23" s="215"/>
      <c r="FE23" s="128">
        <f t="shared" si="50"/>
        <v>3</v>
      </c>
      <c r="FF23" s="128"/>
      <c r="FG23" s="128"/>
      <c r="FH23" s="128">
        <f t="shared" si="51"/>
        <v>3</v>
      </c>
      <c r="FI23" s="128"/>
      <c r="FJ23" s="128"/>
      <c r="FK23" s="128">
        <f t="shared" si="52"/>
        <v>3</v>
      </c>
      <c r="FL23" s="128"/>
      <c r="FM23" s="128"/>
      <c r="FN23" s="128">
        <f t="shared" si="28"/>
        <v>3</v>
      </c>
      <c r="FO23" s="128"/>
      <c r="FP23" s="128"/>
      <c r="FQ23" s="128">
        <f t="shared" si="53"/>
        <v>3</v>
      </c>
      <c r="FR23" s="128"/>
      <c r="FS23" s="128"/>
      <c r="FT23" s="128">
        <f t="shared" si="54"/>
        <v>3</v>
      </c>
      <c r="FU23" s="128"/>
      <c r="FV23" s="128"/>
      <c r="FW23" s="128">
        <f t="shared" si="55"/>
        <v>3</v>
      </c>
    </row>
    <row r="24" spans="1:192" ht="12.75" x14ac:dyDescent="0.2">
      <c r="A24" s="13" t="s">
        <v>98</v>
      </c>
      <c r="B24" s="29">
        <f>'INV. FEB'!BX24</f>
        <v>14</v>
      </c>
      <c r="C24" s="10">
        <v>0</v>
      </c>
      <c r="D24" s="10">
        <v>0</v>
      </c>
      <c r="E24" s="9">
        <f t="shared" si="0"/>
        <v>14</v>
      </c>
      <c r="F24" s="10">
        <v>0</v>
      </c>
      <c r="G24" s="10">
        <v>0</v>
      </c>
      <c r="H24" s="9">
        <f t="shared" si="1"/>
        <v>14</v>
      </c>
      <c r="I24" s="10">
        <v>0</v>
      </c>
      <c r="J24" s="10">
        <v>0</v>
      </c>
      <c r="K24" s="9">
        <f t="shared" si="2"/>
        <v>14</v>
      </c>
      <c r="L24" s="10">
        <v>0</v>
      </c>
      <c r="M24" s="10">
        <v>0</v>
      </c>
      <c r="N24" s="9">
        <f t="shared" si="3"/>
        <v>14</v>
      </c>
      <c r="O24" s="10">
        <v>0</v>
      </c>
      <c r="P24" s="10">
        <v>0</v>
      </c>
      <c r="Q24" s="9">
        <f t="shared" si="4"/>
        <v>14</v>
      </c>
      <c r="R24" s="10">
        <v>0</v>
      </c>
      <c r="S24" s="10">
        <v>0</v>
      </c>
      <c r="T24" s="9">
        <f t="shared" si="5"/>
        <v>14</v>
      </c>
      <c r="U24" s="10">
        <v>0</v>
      </c>
      <c r="V24" s="10">
        <v>0</v>
      </c>
      <c r="W24" s="9">
        <f t="shared" si="6"/>
        <v>14</v>
      </c>
      <c r="X24" s="10">
        <v>0</v>
      </c>
      <c r="Y24" s="10">
        <v>0</v>
      </c>
      <c r="Z24" s="9">
        <f t="shared" si="7"/>
        <v>14</v>
      </c>
      <c r="AA24" s="78">
        <v>0</v>
      </c>
      <c r="AB24" s="78">
        <v>0</v>
      </c>
      <c r="AC24" s="18">
        <f t="shared" si="8"/>
        <v>14</v>
      </c>
      <c r="AD24" s="78">
        <v>0</v>
      </c>
      <c r="AE24" s="78">
        <v>0</v>
      </c>
      <c r="AF24" s="18">
        <f t="shared" si="9"/>
        <v>14</v>
      </c>
      <c r="AG24" s="78">
        <v>0</v>
      </c>
      <c r="AH24" s="78">
        <v>0</v>
      </c>
      <c r="AI24" s="18">
        <f t="shared" si="10"/>
        <v>14</v>
      </c>
      <c r="AJ24" s="78">
        <v>0</v>
      </c>
      <c r="AK24" s="78">
        <v>0</v>
      </c>
      <c r="AL24" s="18">
        <f t="shared" si="11"/>
        <v>14</v>
      </c>
      <c r="AM24" s="78">
        <v>0</v>
      </c>
      <c r="AN24" s="78">
        <v>0</v>
      </c>
      <c r="AO24" s="18">
        <f t="shared" si="12"/>
        <v>14</v>
      </c>
      <c r="AP24" s="78">
        <v>0</v>
      </c>
      <c r="AQ24" s="79">
        <v>7</v>
      </c>
      <c r="AR24" s="18">
        <f t="shared" si="13"/>
        <v>7</v>
      </c>
      <c r="AS24" s="79">
        <v>0</v>
      </c>
      <c r="AT24" s="79">
        <v>0</v>
      </c>
      <c r="AU24" s="18">
        <f t="shared" si="14"/>
        <v>7</v>
      </c>
      <c r="AV24" s="79">
        <v>0</v>
      </c>
      <c r="AW24" s="79">
        <v>0</v>
      </c>
      <c r="AX24" s="18">
        <f t="shared" si="15"/>
        <v>7</v>
      </c>
      <c r="AY24" s="79">
        <v>0</v>
      </c>
      <c r="AZ24" s="79">
        <v>0</v>
      </c>
      <c r="BA24" s="18">
        <f t="shared" si="16"/>
        <v>7</v>
      </c>
      <c r="BB24" s="79">
        <v>0</v>
      </c>
      <c r="BC24" s="79">
        <v>0</v>
      </c>
      <c r="BD24" s="18">
        <f t="shared" si="17"/>
        <v>7</v>
      </c>
      <c r="BE24" s="79">
        <v>0</v>
      </c>
      <c r="BF24" s="79">
        <v>0</v>
      </c>
      <c r="BG24" s="18">
        <f t="shared" si="18"/>
        <v>7</v>
      </c>
      <c r="BH24" s="79">
        <v>0</v>
      </c>
      <c r="BI24" s="79">
        <v>0</v>
      </c>
      <c r="BJ24" s="18">
        <f t="shared" si="19"/>
        <v>7</v>
      </c>
      <c r="BK24" s="79">
        <v>0</v>
      </c>
      <c r="BL24" s="79">
        <v>0</v>
      </c>
      <c r="BM24" s="18">
        <f t="shared" si="20"/>
        <v>7</v>
      </c>
      <c r="BN24" s="79">
        <v>0</v>
      </c>
      <c r="BO24" s="79">
        <v>0</v>
      </c>
      <c r="BP24" s="18">
        <f t="shared" si="21"/>
        <v>7</v>
      </c>
      <c r="BQ24" s="79">
        <v>0</v>
      </c>
      <c r="BR24" s="79">
        <v>0</v>
      </c>
      <c r="BS24" s="18">
        <f t="shared" si="22"/>
        <v>7</v>
      </c>
      <c r="BT24" s="79">
        <v>0</v>
      </c>
      <c r="BU24" s="79">
        <v>0</v>
      </c>
      <c r="BV24" s="18">
        <f t="shared" si="23"/>
        <v>7</v>
      </c>
      <c r="BW24" s="79">
        <v>0</v>
      </c>
      <c r="BX24" s="79">
        <v>0</v>
      </c>
      <c r="BY24" s="18">
        <f t="shared" si="24"/>
        <v>7</v>
      </c>
      <c r="BZ24" s="79">
        <v>0</v>
      </c>
      <c r="CA24" s="79">
        <v>0</v>
      </c>
      <c r="CB24" s="18">
        <f t="shared" si="25"/>
        <v>7</v>
      </c>
      <c r="CC24" s="79">
        <v>0</v>
      </c>
      <c r="CD24" s="79">
        <v>0</v>
      </c>
      <c r="CE24" s="18">
        <v>7</v>
      </c>
      <c r="CF24" s="79">
        <v>0</v>
      </c>
      <c r="CG24" s="79">
        <v>0</v>
      </c>
      <c r="CH24" s="18">
        <f t="shared" si="27"/>
        <v>7</v>
      </c>
      <c r="CI24" s="79">
        <v>0</v>
      </c>
      <c r="CJ24" s="79">
        <v>0</v>
      </c>
      <c r="CK24" s="79">
        <f t="shared" si="29"/>
        <v>7</v>
      </c>
      <c r="CL24" s="79">
        <v>0</v>
      </c>
      <c r="CM24" s="79">
        <v>0</v>
      </c>
      <c r="CN24" s="80">
        <f t="shared" si="30"/>
        <v>7</v>
      </c>
      <c r="CO24" s="79">
        <v>0</v>
      </c>
      <c r="CP24" s="79">
        <v>0</v>
      </c>
      <c r="CQ24" s="125">
        <f t="shared" si="56"/>
        <v>7</v>
      </c>
      <c r="CR24" s="128">
        <v>0</v>
      </c>
      <c r="CS24" s="128">
        <v>0</v>
      </c>
      <c r="CT24" s="128">
        <f t="shared" si="58"/>
        <v>7</v>
      </c>
      <c r="CU24" s="128">
        <v>0</v>
      </c>
      <c r="CV24" s="128">
        <v>0</v>
      </c>
      <c r="CW24" s="128">
        <f t="shared" si="31"/>
        <v>7</v>
      </c>
      <c r="CX24" s="128"/>
      <c r="CY24" s="128"/>
      <c r="CZ24" s="128">
        <f t="shared" si="32"/>
        <v>7</v>
      </c>
      <c r="DA24" s="128"/>
      <c r="DB24" s="128"/>
      <c r="DC24" s="128">
        <f t="shared" si="33"/>
        <v>7</v>
      </c>
      <c r="DD24" s="128"/>
      <c r="DE24" s="128"/>
      <c r="DF24" s="215">
        <f t="shared" si="34"/>
        <v>7</v>
      </c>
      <c r="DG24" s="128"/>
      <c r="DH24" s="128"/>
      <c r="DI24" s="128">
        <f t="shared" si="35"/>
        <v>7</v>
      </c>
      <c r="DJ24" s="128"/>
      <c r="DK24" s="128"/>
      <c r="DL24" s="128">
        <f t="shared" si="36"/>
        <v>7</v>
      </c>
      <c r="DM24" s="128"/>
      <c r="DN24" s="128"/>
      <c r="DO24" s="215">
        <f t="shared" si="37"/>
        <v>7</v>
      </c>
      <c r="DP24" s="128"/>
      <c r="DQ24" s="128"/>
      <c r="DR24" s="215">
        <f t="shared" si="38"/>
        <v>7</v>
      </c>
      <c r="DS24" s="128"/>
      <c r="DT24" s="128"/>
      <c r="DU24" s="215">
        <f t="shared" si="39"/>
        <v>7</v>
      </c>
      <c r="DV24" s="128"/>
      <c r="DW24" s="128"/>
      <c r="DX24" s="215">
        <f t="shared" si="40"/>
        <v>7</v>
      </c>
      <c r="DY24" s="128"/>
      <c r="DZ24" s="128"/>
      <c r="EA24" s="215">
        <f t="shared" si="41"/>
        <v>7</v>
      </c>
      <c r="EB24" s="128"/>
      <c r="EC24" s="128"/>
      <c r="ED24" s="215">
        <f t="shared" si="42"/>
        <v>7</v>
      </c>
      <c r="EE24" s="128"/>
      <c r="EF24" s="128"/>
      <c r="EG24" s="215">
        <f t="shared" si="43"/>
        <v>7</v>
      </c>
      <c r="EH24" s="128"/>
      <c r="EI24" s="128"/>
      <c r="EJ24" s="215">
        <f t="shared" si="57"/>
        <v>7</v>
      </c>
      <c r="EK24" s="128"/>
      <c r="EL24" s="128"/>
      <c r="EM24" s="215">
        <f t="shared" si="44"/>
        <v>7</v>
      </c>
      <c r="EN24" s="128"/>
      <c r="EO24" s="128"/>
      <c r="EP24" s="215">
        <f t="shared" si="45"/>
        <v>7</v>
      </c>
      <c r="EQ24" s="128"/>
      <c r="ER24" s="128"/>
      <c r="ES24" s="128">
        <f t="shared" si="46"/>
        <v>7</v>
      </c>
      <c r="ET24" s="128"/>
      <c r="EU24" s="128"/>
      <c r="EV24" s="128">
        <f t="shared" si="47"/>
        <v>7</v>
      </c>
      <c r="EW24" s="128"/>
      <c r="EX24" s="128"/>
      <c r="EY24" s="128">
        <f t="shared" si="48"/>
        <v>7</v>
      </c>
      <c r="EZ24" s="128"/>
      <c r="FA24" s="128"/>
      <c r="FB24" s="128">
        <f t="shared" si="49"/>
        <v>7</v>
      </c>
      <c r="FC24" s="128"/>
      <c r="FD24" s="215"/>
      <c r="FE24" s="128">
        <f t="shared" si="50"/>
        <v>7</v>
      </c>
      <c r="FF24" s="128"/>
      <c r="FG24" s="128"/>
      <c r="FH24" s="128">
        <f t="shared" si="51"/>
        <v>7</v>
      </c>
      <c r="FI24" s="128"/>
      <c r="FJ24" s="128"/>
      <c r="FK24" s="128">
        <f t="shared" si="52"/>
        <v>7</v>
      </c>
      <c r="FL24" s="128"/>
      <c r="FM24" s="128"/>
      <c r="FN24" s="128">
        <f t="shared" si="28"/>
        <v>7</v>
      </c>
      <c r="FO24" s="128"/>
      <c r="FP24" s="128"/>
      <c r="FQ24" s="128">
        <f t="shared" si="53"/>
        <v>7</v>
      </c>
      <c r="FR24" s="128"/>
      <c r="FS24" s="128"/>
      <c r="FT24" s="128">
        <f t="shared" si="54"/>
        <v>7</v>
      </c>
      <c r="FU24" s="128"/>
      <c r="FV24" s="128"/>
      <c r="FW24" s="128">
        <f t="shared" si="55"/>
        <v>7</v>
      </c>
    </row>
    <row r="25" spans="1:192" s="143" customFormat="1" ht="12.75" x14ac:dyDescent="0.2">
      <c r="A25" s="133" t="s">
        <v>99</v>
      </c>
      <c r="B25" s="134">
        <f>'INV. FEB'!BX25</f>
        <v>34</v>
      </c>
      <c r="C25" s="135">
        <v>0</v>
      </c>
      <c r="D25" s="135">
        <v>0</v>
      </c>
      <c r="E25" s="136">
        <f t="shared" si="0"/>
        <v>34</v>
      </c>
      <c r="F25" s="135">
        <v>0</v>
      </c>
      <c r="G25" s="135">
        <v>6</v>
      </c>
      <c r="H25" s="136">
        <f t="shared" si="1"/>
        <v>28</v>
      </c>
      <c r="I25" s="135">
        <v>24</v>
      </c>
      <c r="J25" s="135">
        <v>0</v>
      </c>
      <c r="K25" s="136">
        <f t="shared" si="2"/>
        <v>52</v>
      </c>
      <c r="L25" s="135">
        <v>0</v>
      </c>
      <c r="M25" s="135">
        <v>0</v>
      </c>
      <c r="N25" s="136">
        <f t="shared" si="3"/>
        <v>52</v>
      </c>
      <c r="O25" s="135">
        <v>0</v>
      </c>
      <c r="P25" s="135">
        <v>2</v>
      </c>
      <c r="Q25" s="136">
        <f t="shared" si="4"/>
        <v>50</v>
      </c>
      <c r="R25" s="135">
        <v>0</v>
      </c>
      <c r="S25" s="135">
        <v>0</v>
      </c>
      <c r="T25" s="136">
        <f t="shared" si="5"/>
        <v>50</v>
      </c>
      <c r="U25" s="135">
        <v>0</v>
      </c>
      <c r="V25" s="135">
        <v>3</v>
      </c>
      <c r="W25" s="136">
        <f t="shared" si="6"/>
        <v>47</v>
      </c>
      <c r="X25" s="135">
        <v>0</v>
      </c>
      <c r="Y25" s="135">
        <v>1</v>
      </c>
      <c r="Z25" s="136">
        <f t="shared" si="7"/>
        <v>46</v>
      </c>
      <c r="AA25" s="137">
        <v>0</v>
      </c>
      <c r="AB25" s="137">
        <v>26</v>
      </c>
      <c r="AC25" s="138">
        <f t="shared" si="8"/>
        <v>20</v>
      </c>
      <c r="AD25" s="137">
        <v>24</v>
      </c>
      <c r="AE25" s="137">
        <v>0</v>
      </c>
      <c r="AF25" s="138">
        <f t="shared" si="9"/>
        <v>44</v>
      </c>
      <c r="AG25" s="137">
        <v>0</v>
      </c>
      <c r="AH25" s="137">
        <v>22</v>
      </c>
      <c r="AI25" s="138">
        <f t="shared" si="10"/>
        <v>22</v>
      </c>
      <c r="AJ25" s="137">
        <v>24</v>
      </c>
      <c r="AK25" s="137">
        <v>12</v>
      </c>
      <c r="AL25" s="138">
        <f t="shared" si="11"/>
        <v>34</v>
      </c>
      <c r="AM25" s="137">
        <v>0</v>
      </c>
      <c r="AN25" s="137">
        <v>0</v>
      </c>
      <c r="AO25" s="138">
        <f t="shared" si="12"/>
        <v>34</v>
      </c>
      <c r="AP25" s="137">
        <v>0</v>
      </c>
      <c r="AQ25" s="137">
        <v>5</v>
      </c>
      <c r="AR25" s="138">
        <f t="shared" si="13"/>
        <v>29</v>
      </c>
      <c r="AS25" s="137">
        <v>0</v>
      </c>
      <c r="AT25" s="137">
        <v>2</v>
      </c>
      <c r="AU25" s="138">
        <f t="shared" si="14"/>
        <v>27</v>
      </c>
      <c r="AV25" s="137">
        <v>0</v>
      </c>
      <c r="AW25" s="139">
        <v>0</v>
      </c>
      <c r="AX25" s="140">
        <f t="shared" si="15"/>
        <v>27</v>
      </c>
      <c r="AY25" s="139">
        <v>0</v>
      </c>
      <c r="AZ25" s="139">
        <v>14</v>
      </c>
      <c r="BA25" s="140">
        <f t="shared" si="16"/>
        <v>13</v>
      </c>
      <c r="BB25" s="137">
        <v>24</v>
      </c>
      <c r="BC25" s="137">
        <v>0</v>
      </c>
      <c r="BD25" s="140">
        <f t="shared" si="17"/>
        <v>37</v>
      </c>
      <c r="BE25" s="137">
        <v>0</v>
      </c>
      <c r="BF25" s="137">
        <v>4</v>
      </c>
      <c r="BG25" s="140">
        <f t="shared" si="18"/>
        <v>33</v>
      </c>
      <c r="BH25" s="137">
        <v>0</v>
      </c>
      <c r="BI25" s="137">
        <v>7</v>
      </c>
      <c r="BJ25" s="140">
        <f t="shared" si="19"/>
        <v>26</v>
      </c>
      <c r="BK25" s="137">
        <v>24</v>
      </c>
      <c r="BL25" s="137">
        <v>1</v>
      </c>
      <c r="BM25" s="140">
        <f t="shared" si="20"/>
        <v>49</v>
      </c>
      <c r="BN25" s="137">
        <v>0</v>
      </c>
      <c r="BO25" s="137">
        <v>41</v>
      </c>
      <c r="BP25" s="138">
        <f t="shared" si="21"/>
        <v>8</v>
      </c>
      <c r="BQ25" s="137">
        <v>48</v>
      </c>
      <c r="BR25" s="137">
        <v>1</v>
      </c>
      <c r="BS25" s="140">
        <f t="shared" si="22"/>
        <v>55</v>
      </c>
      <c r="BT25" s="137">
        <v>0</v>
      </c>
      <c r="BU25" s="137">
        <v>0</v>
      </c>
      <c r="BV25" s="140">
        <f t="shared" si="23"/>
        <v>55</v>
      </c>
      <c r="BW25" s="137">
        <v>0</v>
      </c>
      <c r="BX25" s="137">
        <v>38</v>
      </c>
      <c r="BY25" s="140">
        <f t="shared" si="24"/>
        <v>17</v>
      </c>
      <c r="BZ25" s="137">
        <v>24</v>
      </c>
      <c r="CA25" s="137">
        <v>3</v>
      </c>
      <c r="CB25" s="140">
        <f t="shared" si="25"/>
        <v>38</v>
      </c>
      <c r="CC25" s="137">
        <v>0</v>
      </c>
      <c r="CD25" s="137">
        <v>0</v>
      </c>
      <c r="CE25" s="140">
        <f t="shared" si="26"/>
        <v>38</v>
      </c>
      <c r="CF25" s="137">
        <v>0</v>
      </c>
      <c r="CG25" s="137">
        <v>38</v>
      </c>
      <c r="CH25" s="140">
        <f t="shared" si="27"/>
        <v>0</v>
      </c>
      <c r="CI25" s="137">
        <v>48</v>
      </c>
      <c r="CJ25" s="137">
        <v>8</v>
      </c>
      <c r="CK25" s="137">
        <f t="shared" si="29"/>
        <v>40</v>
      </c>
      <c r="CL25" s="137">
        <v>24</v>
      </c>
      <c r="CM25" s="137">
        <v>48</v>
      </c>
      <c r="CN25" s="140">
        <f t="shared" si="30"/>
        <v>16</v>
      </c>
      <c r="CO25" s="137">
        <v>0</v>
      </c>
      <c r="CP25" s="137">
        <v>0</v>
      </c>
      <c r="CQ25" s="141">
        <f t="shared" si="56"/>
        <v>16</v>
      </c>
      <c r="CR25" s="142">
        <v>24</v>
      </c>
      <c r="CS25" s="142">
        <v>2</v>
      </c>
      <c r="CT25" s="142">
        <f t="shared" si="58"/>
        <v>38</v>
      </c>
      <c r="CU25" s="142">
        <v>0</v>
      </c>
      <c r="CV25" s="142"/>
      <c r="CW25" s="142">
        <f t="shared" si="31"/>
        <v>38</v>
      </c>
      <c r="CX25" s="142"/>
      <c r="CY25" s="142"/>
      <c r="CZ25" s="142">
        <f t="shared" si="32"/>
        <v>38</v>
      </c>
      <c r="DA25" s="142"/>
      <c r="DB25" s="142">
        <v>6</v>
      </c>
      <c r="DC25" s="142">
        <f t="shared" si="33"/>
        <v>32</v>
      </c>
      <c r="DD25" s="142"/>
      <c r="DE25" s="142">
        <v>2</v>
      </c>
      <c r="DF25" s="216">
        <f t="shared" si="34"/>
        <v>30</v>
      </c>
      <c r="DG25" s="142"/>
      <c r="DH25" s="142">
        <v>12</v>
      </c>
      <c r="DI25" s="142">
        <f t="shared" si="35"/>
        <v>18</v>
      </c>
      <c r="DJ25" s="142"/>
      <c r="DK25" s="142">
        <v>0</v>
      </c>
      <c r="DL25" s="142">
        <f t="shared" si="36"/>
        <v>18</v>
      </c>
      <c r="DM25" s="142">
        <v>24</v>
      </c>
      <c r="DN25" s="142">
        <v>6</v>
      </c>
      <c r="DO25" s="216">
        <f t="shared" si="37"/>
        <v>36</v>
      </c>
      <c r="DP25" s="142"/>
      <c r="DQ25" s="142">
        <v>4</v>
      </c>
      <c r="DR25" s="216">
        <f t="shared" si="38"/>
        <v>32</v>
      </c>
      <c r="DS25" s="142"/>
      <c r="DT25" s="142">
        <v>0</v>
      </c>
      <c r="DU25" s="216">
        <f t="shared" si="39"/>
        <v>32</v>
      </c>
      <c r="DV25" s="142"/>
      <c r="DW25" s="142"/>
      <c r="DX25" s="216">
        <f t="shared" si="40"/>
        <v>32</v>
      </c>
      <c r="DY25" s="142"/>
      <c r="DZ25" s="142">
        <v>3</v>
      </c>
      <c r="EA25" s="216">
        <f t="shared" si="41"/>
        <v>29</v>
      </c>
      <c r="EB25" s="142"/>
      <c r="EC25" s="142">
        <v>5</v>
      </c>
      <c r="ED25" s="216">
        <f t="shared" si="42"/>
        <v>24</v>
      </c>
      <c r="EE25" s="142">
        <v>24</v>
      </c>
      <c r="EF25" s="142">
        <v>10</v>
      </c>
      <c r="EG25" s="215">
        <f t="shared" si="43"/>
        <v>38</v>
      </c>
      <c r="EH25" s="142"/>
      <c r="EI25" s="142"/>
      <c r="EJ25" s="215">
        <f t="shared" si="57"/>
        <v>38</v>
      </c>
      <c r="EK25" s="142"/>
      <c r="EL25" s="142">
        <v>11</v>
      </c>
      <c r="EM25" s="216">
        <f t="shared" si="44"/>
        <v>27</v>
      </c>
      <c r="EN25" s="142"/>
      <c r="EO25" s="142"/>
      <c r="EP25" s="216">
        <f t="shared" si="45"/>
        <v>27</v>
      </c>
      <c r="EQ25" s="142"/>
      <c r="ER25" s="142"/>
      <c r="ES25" s="128">
        <f t="shared" si="46"/>
        <v>27</v>
      </c>
      <c r="ET25" s="142"/>
      <c r="EU25" s="142"/>
      <c r="EV25" s="128">
        <f t="shared" si="47"/>
        <v>27</v>
      </c>
      <c r="EW25" s="142"/>
      <c r="EX25" s="142"/>
      <c r="EY25" s="128">
        <f t="shared" si="48"/>
        <v>27</v>
      </c>
      <c r="EZ25" s="142"/>
      <c r="FA25" s="142"/>
      <c r="FB25" s="128">
        <f t="shared" si="49"/>
        <v>27</v>
      </c>
      <c r="FC25" s="142"/>
      <c r="FD25" s="216"/>
      <c r="FE25" s="128">
        <f t="shared" si="50"/>
        <v>27</v>
      </c>
      <c r="FF25" s="142"/>
      <c r="FG25" s="142"/>
      <c r="FH25" s="128">
        <f t="shared" si="51"/>
        <v>27</v>
      </c>
      <c r="FI25" s="142"/>
      <c r="FJ25" s="142"/>
      <c r="FK25" s="128">
        <f t="shared" si="52"/>
        <v>27</v>
      </c>
      <c r="FL25" s="142"/>
      <c r="FM25" s="142"/>
      <c r="FN25" s="128">
        <f t="shared" si="28"/>
        <v>27</v>
      </c>
      <c r="FO25" s="142"/>
      <c r="FP25" s="142"/>
      <c r="FQ25" s="128">
        <f t="shared" si="53"/>
        <v>27</v>
      </c>
      <c r="FR25" s="142"/>
      <c r="FS25" s="142">
        <v>3</v>
      </c>
      <c r="FT25" s="128">
        <f t="shared" si="54"/>
        <v>24</v>
      </c>
      <c r="FU25" s="142"/>
      <c r="FV25" s="142"/>
      <c r="FW25" s="128">
        <f t="shared" si="55"/>
        <v>24</v>
      </c>
      <c r="FX25"/>
      <c r="FY25"/>
      <c r="FZ25"/>
      <c r="GA25"/>
      <c r="GB25"/>
      <c r="GC25"/>
      <c r="GD25"/>
      <c r="GE25"/>
      <c r="GF25"/>
      <c r="GG25"/>
      <c r="GH25"/>
      <c r="GI25"/>
      <c r="GJ25"/>
    </row>
    <row r="26" spans="1:192" s="122" customFormat="1" ht="12.75" x14ac:dyDescent="0.2">
      <c r="A26" s="114" t="s">
        <v>100</v>
      </c>
      <c r="B26" s="115">
        <f>'INV. FEB'!BX26</f>
        <v>145</v>
      </c>
      <c r="C26" s="116">
        <v>30</v>
      </c>
      <c r="D26" s="116">
        <v>30</v>
      </c>
      <c r="E26" s="117">
        <f t="shared" si="0"/>
        <v>145</v>
      </c>
      <c r="F26" s="116">
        <v>0</v>
      </c>
      <c r="G26" s="116">
        <v>10</v>
      </c>
      <c r="H26" s="117">
        <f t="shared" si="1"/>
        <v>135</v>
      </c>
      <c r="I26" s="116">
        <v>60</v>
      </c>
      <c r="J26" s="116">
        <v>2</v>
      </c>
      <c r="K26" s="117">
        <f t="shared" si="2"/>
        <v>193</v>
      </c>
      <c r="L26" s="116">
        <v>0</v>
      </c>
      <c r="M26" s="116">
        <v>9</v>
      </c>
      <c r="N26" s="117">
        <f t="shared" si="3"/>
        <v>184</v>
      </c>
      <c r="O26" s="116">
        <v>0</v>
      </c>
      <c r="P26" s="116">
        <v>40</v>
      </c>
      <c r="Q26" s="117">
        <f t="shared" si="4"/>
        <v>144</v>
      </c>
      <c r="R26" s="116">
        <v>0</v>
      </c>
      <c r="S26" s="116">
        <v>17</v>
      </c>
      <c r="T26" s="117">
        <f t="shared" si="5"/>
        <v>127</v>
      </c>
      <c r="U26" s="116">
        <v>0</v>
      </c>
      <c r="V26" s="116">
        <v>28</v>
      </c>
      <c r="W26" s="117">
        <f t="shared" si="6"/>
        <v>99</v>
      </c>
      <c r="X26" s="116">
        <v>90</v>
      </c>
      <c r="Y26" s="116">
        <v>19</v>
      </c>
      <c r="Z26" s="117">
        <f t="shared" si="7"/>
        <v>170</v>
      </c>
      <c r="AA26" s="118">
        <v>0</v>
      </c>
      <c r="AB26" s="118">
        <v>48</v>
      </c>
      <c r="AC26" s="119">
        <f t="shared" si="8"/>
        <v>122</v>
      </c>
      <c r="AD26" s="118">
        <v>60</v>
      </c>
      <c r="AE26" s="118">
        <v>35</v>
      </c>
      <c r="AF26" s="119">
        <f t="shared" si="9"/>
        <v>147</v>
      </c>
      <c r="AG26" s="118">
        <v>0</v>
      </c>
      <c r="AH26" s="118">
        <v>21</v>
      </c>
      <c r="AI26" s="119">
        <f t="shared" si="10"/>
        <v>126</v>
      </c>
      <c r="AJ26" s="118">
        <v>0</v>
      </c>
      <c r="AK26" s="118">
        <v>2</v>
      </c>
      <c r="AL26" s="119">
        <f t="shared" si="11"/>
        <v>124</v>
      </c>
      <c r="AM26" s="118">
        <v>0</v>
      </c>
      <c r="AN26" s="118">
        <v>5</v>
      </c>
      <c r="AO26" s="119">
        <f t="shared" si="12"/>
        <v>119</v>
      </c>
      <c r="AP26" s="118">
        <v>0</v>
      </c>
      <c r="AQ26" s="118">
        <v>32</v>
      </c>
      <c r="AR26" s="119">
        <f t="shared" si="13"/>
        <v>87</v>
      </c>
      <c r="AS26" s="119">
        <v>120</v>
      </c>
      <c r="AT26" s="119">
        <v>39</v>
      </c>
      <c r="AU26" s="119">
        <f t="shared" si="14"/>
        <v>168</v>
      </c>
      <c r="AV26" s="118">
        <v>0</v>
      </c>
      <c r="AW26" s="120">
        <v>45</v>
      </c>
      <c r="AX26" s="121">
        <f t="shared" si="15"/>
        <v>123</v>
      </c>
      <c r="AY26" s="120">
        <v>0</v>
      </c>
      <c r="AZ26" s="120">
        <v>15</v>
      </c>
      <c r="BA26" s="121">
        <f t="shared" si="16"/>
        <v>108</v>
      </c>
      <c r="BB26" s="118">
        <v>90</v>
      </c>
      <c r="BC26" s="118">
        <v>6</v>
      </c>
      <c r="BD26" s="121">
        <f t="shared" si="17"/>
        <v>192</v>
      </c>
      <c r="BE26" s="118">
        <v>0</v>
      </c>
      <c r="BF26" s="118">
        <v>13</v>
      </c>
      <c r="BG26" s="121">
        <f t="shared" si="18"/>
        <v>179</v>
      </c>
      <c r="BH26" s="118">
        <v>0</v>
      </c>
      <c r="BI26" s="118">
        <v>73</v>
      </c>
      <c r="BJ26" s="121">
        <f t="shared" si="19"/>
        <v>106</v>
      </c>
      <c r="BK26" s="118">
        <v>90</v>
      </c>
      <c r="BL26" s="118">
        <v>16</v>
      </c>
      <c r="BM26" s="121">
        <f t="shared" si="20"/>
        <v>180</v>
      </c>
      <c r="BN26" s="118">
        <v>0</v>
      </c>
      <c r="BO26" s="118">
        <v>53</v>
      </c>
      <c r="BP26" s="119">
        <f t="shared" si="21"/>
        <v>127</v>
      </c>
      <c r="BQ26" s="118">
        <v>60</v>
      </c>
      <c r="BR26" s="118">
        <v>98</v>
      </c>
      <c r="BS26" s="121">
        <f t="shared" si="22"/>
        <v>89</v>
      </c>
      <c r="BT26" s="118">
        <v>60</v>
      </c>
      <c r="BU26" s="118">
        <v>16</v>
      </c>
      <c r="BV26" s="121">
        <f t="shared" si="23"/>
        <v>133</v>
      </c>
      <c r="BW26" s="118">
        <v>60</v>
      </c>
      <c r="BX26" s="118">
        <v>44</v>
      </c>
      <c r="BY26" s="121">
        <f t="shared" si="24"/>
        <v>149</v>
      </c>
      <c r="BZ26" s="118">
        <v>0</v>
      </c>
      <c r="CA26" s="118">
        <v>12</v>
      </c>
      <c r="CB26" s="121">
        <f t="shared" si="25"/>
        <v>137</v>
      </c>
      <c r="CC26" s="118">
        <v>0</v>
      </c>
      <c r="CD26" s="118">
        <v>27</v>
      </c>
      <c r="CE26" s="121">
        <f t="shared" si="26"/>
        <v>110</v>
      </c>
      <c r="CF26" s="118">
        <v>0</v>
      </c>
      <c r="CG26" s="118">
        <v>7</v>
      </c>
      <c r="CH26" s="121">
        <f t="shared" si="27"/>
        <v>103</v>
      </c>
      <c r="CI26" s="118">
        <v>90</v>
      </c>
      <c r="CJ26" s="118">
        <v>66</v>
      </c>
      <c r="CK26" s="118">
        <f t="shared" si="29"/>
        <v>127</v>
      </c>
      <c r="CL26" s="118">
        <v>0</v>
      </c>
      <c r="CM26" s="118">
        <v>30</v>
      </c>
      <c r="CN26" s="121">
        <f t="shared" si="30"/>
        <v>97</v>
      </c>
      <c r="CO26" s="118">
        <v>0</v>
      </c>
      <c r="CP26" s="118">
        <v>3</v>
      </c>
      <c r="CQ26" s="126">
        <f t="shared" si="56"/>
        <v>94</v>
      </c>
      <c r="CR26" s="130">
        <v>120</v>
      </c>
      <c r="CS26" s="130">
        <v>19</v>
      </c>
      <c r="CT26" s="212">
        <f>CQ26+CR26-CS26</f>
        <v>195</v>
      </c>
      <c r="CU26" s="130">
        <v>0</v>
      </c>
      <c r="CV26" s="130">
        <v>33</v>
      </c>
      <c r="CW26" s="212">
        <f>CT26+CU26-CV26</f>
        <v>162</v>
      </c>
      <c r="CX26" s="130"/>
      <c r="CY26" s="130">
        <v>24</v>
      </c>
      <c r="CZ26" s="130">
        <f t="shared" si="32"/>
        <v>138</v>
      </c>
      <c r="DA26" s="130">
        <v>0</v>
      </c>
      <c r="DB26" s="130">
        <v>25</v>
      </c>
      <c r="DC26" s="130">
        <f t="shared" si="33"/>
        <v>113</v>
      </c>
      <c r="DD26" s="130">
        <v>60</v>
      </c>
      <c r="DE26" s="130">
        <v>53</v>
      </c>
      <c r="DF26" s="217">
        <f t="shared" si="34"/>
        <v>120</v>
      </c>
      <c r="DG26" s="130"/>
      <c r="DH26" s="130">
        <v>36</v>
      </c>
      <c r="DI26" s="130">
        <f t="shared" si="35"/>
        <v>84</v>
      </c>
      <c r="DJ26" s="130"/>
      <c r="DK26" s="130">
        <v>23</v>
      </c>
      <c r="DL26" s="130">
        <f t="shared" si="36"/>
        <v>61</v>
      </c>
      <c r="DM26" s="130">
        <v>120</v>
      </c>
      <c r="DN26" s="130">
        <v>8</v>
      </c>
      <c r="DO26" s="217">
        <f t="shared" si="37"/>
        <v>173</v>
      </c>
      <c r="DP26" s="130"/>
      <c r="DQ26" s="130">
        <v>66</v>
      </c>
      <c r="DR26" s="217">
        <f t="shared" si="38"/>
        <v>107</v>
      </c>
      <c r="DS26" s="130"/>
      <c r="DT26" s="130">
        <v>19</v>
      </c>
      <c r="DU26" s="217">
        <f t="shared" si="39"/>
        <v>88</v>
      </c>
      <c r="DV26" s="130"/>
      <c r="DW26" s="130">
        <v>49</v>
      </c>
      <c r="DX26" s="217">
        <f t="shared" si="40"/>
        <v>39</v>
      </c>
      <c r="DY26" s="130">
        <v>120</v>
      </c>
      <c r="DZ26" s="130">
        <v>76</v>
      </c>
      <c r="EA26" s="217">
        <f>DX26+DY26-DZ26</f>
        <v>83</v>
      </c>
      <c r="EB26" s="130"/>
      <c r="EC26" s="130">
        <v>62</v>
      </c>
      <c r="ED26" s="217">
        <f t="shared" si="42"/>
        <v>21</v>
      </c>
      <c r="EE26" s="130">
        <v>150</v>
      </c>
      <c r="EF26" s="130">
        <v>70</v>
      </c>
      <c r="EG26" s="215">
        <f t="shared" si="43"/>
        <v>101</v>
      </c>
      <c r="EH26" s="130"/>
      <c r="EI26" s="130">
        <v>18</v>
      </c>
      <c r="EJ26" s="217">
        <f t="shared" si="57"/>
        <v>83</v>
      </c>
      <c r="EK26" s="130">
        <v>90</v>
      </c>
      <c r="EL26" s="130">
        <v>56</v>
      </c>
      <c r="EM26" s="217">
        <f t="shared" si="44"/>
        <v>117</v>
      </c>
      <c r="EN26" s="130"/>
      <c r="EO26" s="130">
        <v>71</v>
      </c>
      <c r="EP26" s="217">
        <f t="shared" si="45"/>
        <v>46</v>
      </c>
      <c r="EQ26" s="130">
        <v>90</v>
      </c>
      <c r="ER26" s="130">
        <v>65</v>
      </c>
      <c r="ES26" s="128">
        <f>EP26+EQ26-ER26</f>
        <v>71</v>
      </c>
      <c r="ET26" s="130"/>
      <c r="EU26" s="130">
        <v>51</v>
      </c>
      <c r="EV26" s="128">
        <f t="shared" si="47"/>
        <v>20</v>
      </c>
      <c r="EW26" s="130"/>
      <c r="EX26" s="130">
        <v>18</v>
      </c>
      <c r="EY26" s="128">
        <f t="shared" si="48"/>
        <v>2</v>
      </c>
      <c r="EZ26" s="130"/>
      <c r="FA26" s="130">
        <v>6</v>
      </c>
      <c r="FB26" s="128">
        <f t="shared" si="49"/>
        <v>-4</v>
      </c>
      <c r="FC26" s="130">
        <v>130</v>
      </c>
      <c r="FD26" s="130">
        <v>30</v>
      </c>
      <c r="FE26" s="128">
        <f t="shared" si="50"/>
        <v>96</v>
      </c>
      <c r="FF26" s="130">
        <v>90</v>
      </c>
      <c r="FG26" s="130">
        <v>11</v>
      </c>
      <c r="FH26" s="128">
        <f t="shared" si="51"/>
        <v>175</v>
      </c>
      <c r="FI26" s="130"/>
      <c r="FJ26" s="130">
        <v>40</v>
      </c>
      <c r="FK26" s="128">
        <f t="shared" si="52"/>
        <v>135</v>
      </c>
      <c r="FL26" s="130"/>
      <c r="FM26" s="130">
        <v>25</v>
      </c>
      <c r="FN26" s="128">
        <f t="shared" si="28"/>
        <v>110</v>
      </c>
      <c r="FO26" s="130"/>
      <c r="FP26" s="130">
        <v>35</v>
      </c>
      <c r="FQ26" s="128">
        <f t="shared" si="53"/>
        <v>75</v>
      </c>
      <c r="FR26" s="130">
        <v>120</v>
      </c>
      <c r="FS26" s="130">
        <v>24</v>
      </c>
      <c r="FT26" s="128">
        <f>FQ26+FR26-FS26</f>
        <v>171</v>
      </c>
      <c r="FU26" s="130"/>
      <c r="FV26" s="130">
        <v>26</v>
      </c>
      <c r="FW26" s="128">
        <f t="shared" si="55"/>
        <v>145</v>
      </c>
      <c r="FX26"/>
      <c r="FY26"/>
      <c r="FZ26"/>
      <c r="GA26"/>
      <c r="GB26"/>
      <c r="GC26"/>
      <c r="GD26"/>
      <c r="GE26"/>
      <c r="GF26"/>
      <c r="GG26"/>
      <c r="GH26"/>
      <c r="GI26"/>
      <c r="GJ26"/>
    </row>
    <row r="27" spans="1:192" s="143" customFormat="1" ht="12.75" x14ac:dyDescent="0.2">
      <c r="A27" s="133" t="s">
        <v>101</v>
      </c>
      <c r="B27" s="134">
        <f>'INV. FEB'!BX27</f>
        <v>52</v>
      </c>
      <c r="C27" s="135">
        <v>120</v>
      </c>
      <c r="D27" s="135">
        <v>33</v>
      </c>
      <c r="E27" s="136">
        <f t="shared" si="0"/>
        <v>139</v>
      </c>
      <c r="F27" s="135">
        <v>0</v>
      </c>
      <c r="G27" s="135">
        <v>23</v>
      </c>
      <c r="H27" s="136">
        <f t="shared" si="1"/>
        <v>116</v>
      </c>
      <c r="I27" s="135">
        <v>60</v>
      </c>
      <c r="J27" s="135">
        <v>0</v>
      </c>
      <c r="K27" s="136">
        <f t="shared" si="2"/>
        <v>176</v>
      </c>
      <c r="L27" s="135">
        <v>0</v>
      </c>
      <c r="M27" s="135">
        <v>2</v>
      </c>
      <c r="N27" s="136">
        <f t="shared" si="3"/>
        <v>174</v>
      </c>
      <c r="O27" s="135">
        <v>0</v>
      </c>
      <c r="P27" s="135">
        <v>13</v>
      </c>
      <c r="Q27" s="136">
        <f t="shared" si="4"/>
        <v>161</v>
      </c>
      <c r="R27" s="135">
        <v>0</v>
      </c>
      <c r="S27" s="135">
        <v>23</v>
      </c>
      <c r="T27" s="136">
        <f t="shared" si="5"/>
        <v>138</v>
      </c>
      <c r="U27" s="135">
        <v>0</v>
      </c>
      <c r="V27" s="135">
        <v>35</v>
      </c>
      <c r="W27" s="136">
        <f t="shared" si="6"/>
        <v>103</v>
      </c>
      <c r="X27" s="135">
        <v>60</v>
      </c>
      <c r="Y27" s="135">
        <v>13</v>
      </c>
      <c r="Z27" s="136">
        <f t="shared" si="7"/>
        <v>150</v>
      </c>
      <c r="AA27" s="137">
        <v>0</v>
      </c>
      <c r="AB27" s="137">
        <v>18</v>
      </c>
      <c r="AC27" s="138">
        <f t="shared" si="8"/>
        <v>132</v>
      </c>
      <c r="AD27" s="137">
        <v>30</v>
      </c>
      <c r="AE27" s="137">
        <v>15</v>
      </c>
      <c r="AF27" s="138">
        <f t="shared" si="9"/>
        <v>147</v>
      </c>
      <c r="AG27" s="137">
        <v>0</v>
      </c>
      <c r="AH27" s="137">
        <v>15</v>
      </c>
      <c r="AI27" s="138">
        <f t="shared" si="10"/>
        <v>132</v>
      </c>
      <c r="AJ27" s="137">
        <v>0</v>
      </c>
      <c r="AK27" s="137">
        <v>17</v>
      </c>
      <c r="AL27" s="138">
        <f t="shared" si="11"/>
        <v>115</v>
      </c>
      <c r="AM27" s="137">
        <v>0</v>
      </c>
      <c r="AN27" s="137">
        <v>0</v>
      </c>
      <c r="AO27" s="138">
        <f t="shared" si="12"/>
        <v>115</v>
      </c>
      <c r="AP27" s="137">
        <v>0</v>
      </c>
      <c r="AQ27" s="137">
        <v>31</v>
      </c>
      <c r="AR27" s="138">
        <f t="shared" si="13"/>
        <v>84</v>
      </c>
      <c r="AS27" s="138">
        <v>120</v>
      </c>
      <c r="AT27" s="138">
        <v>21</v>
      </c>
      <c r="AU27" s="138">
        <f t="shared" si="14"/>
        <v>183</v>
      </c>
      <c r="AV27" s="137">
        <v>0</v>
      </c>
      <c r="AW27" s="139">
        <v>15</v>
      </c>
      <c r="AX27" s="140">
        <f t="shared" si="15"/>
        <v>168</v>
      </c>
      <c r="AY27" s="139">
        <v>0</v>
      </c>
      <c r="AZ27" s="139">
        <v>0</v>
      </c>
      <c r="BA27" s="140">
        <f t="shared" si="16"/>
        <v>168</v>
      </c>
      <c r="BB27" s="137">
        <v>0</v>
      </c>
      <c r="BC27" s="137">
        <v>8</v>
      </c>
      <c r="BD27" s="140">
        <f t="shared" si="17"/>
        <v>160</v>
      </c>
      <c r="BE27" s="137">
        <v>0</v>
      </c>
      <c r="BF27" s="137">
        <v>2</v>
      </c>
      <c r="BG27" s="140">
        <f t="shared" si="18"/>
        <v>158</v>
      </c>
      <c r="BH27" s="137">
        <v>0</v>
      </c>
      <c r="BI27" s="137">
        <v>130</v>
      </c>
      <c r="BJ27" s="140">
        <f t="shared" si="19"/>
        <v>28</v>
      </c>
      <c r="BK27" s="137">
        <v>150</v>
      </c>
      <c r="BL27" s="137">
        <v>17</v>
      </c>
      <c r="BM27" s="140">
        <f t="shared" si="20"/>
        <v>161</v>
      </c>
      <c r="BN27" s="137">
        <v>0</v>
      </c>
      <c r="BO27" s="137">
        <v>15</v>
      </c>
      <c r="BP27" s="138">
        <f t="shared" si="21"/>
        <v>146</v>
      </c>
      <c r="BQ27" s="137">
        <v>60</v>
      </c>
      <c r="BR27" s="137">
        <v>38</v>
      </c>
      <c r="BS27" s="140">
        <f t="shared" si="22"/>
        <v>168</v>
      </c>
      <c r="BT27" s="137">
        <v>0</v>
      </c>
      <c r="BU27" s="137">
        <v>81</v>
      </c>
      <c r="BV27" s="140">
        <f t="shared" si="23"/>
        <v>87</v>
      </c>
      <c r="BW27" s="137">
        <v>90</v>
      </c>
      <c r="BX27" s="137">
        <v>61</v>
      </c>
      <c r="BY27" s="140">
        <f t="shared" si="24"/>
        <v>116</v>
      </c>
      <c r="BZ27" s="137">
        <v>0</v>
      </c>
      <c r="CA27" s="137">
        <v>0</v>
      </c>
      <c r="CB27" s="140">
        <f t="shared" si="25"/>
        <v>116</v>
      </c>
      <c r="CC27" s="137">
        <v>0</v>
      </c>
      <c r="CD27" s="137">
        <v>35</v>
      </c>
      <c r="CE27" s="140">
        <f t="shared" si="26"/>
        <v>81</v>
      </c>
      <c r="CF27" s="137">
        <v>0</v>
      </c>
      <c r="CG27" s="137">
        <v>2</v>
      </c>
      <c r="CH27" s="140">
        <f t="shared" si="27"/>
        <v>79</v>
      </c>
      <c r="CI27" s="137">
        <v>90</v>
      </c>
      <c r="CJ27" s="137">
        <v>71</v>
      </c>
      <c r="CK27" s="137">
        <f t="shared" si="29"/>
        <v>98</v>
      </c>
      <c r="CL27" s="137">
        <v>0</v>
      </c>
      <c r="CM27" s="137">
        <v>35</v>
      </c>
      <c r="CN27" s="140">
        <f t="shared" si="30"/>
        <v>63</v>
      </c>
      <c r="CO27" s="137">
        <v>0</v>
      </c>
      <c r="CP27" s="137">
        <v>0</v>
      </c>
      <c r="CQ27" s="141">
        <f t="shared" si="56"/>
        <v>63</v>
      </c>
      <c r="CR27" s="142">
        <v>60</v>
      </c>
      <c r="CS27" s="142">
        <v>6</v>
      </c>
      <c r="CT27" s="142">
        <f t="shared" si="58"/>
        <v>117</v>
      </c>
      <c r="CU27" s="142">
        <v>0</v>
      </c>
      <c r="CV27" s="142">
        <v>9</v>
      </c>
      <c r="CW27" s="142">
        <f t="shared" si="31"/>
        <v>108</v>
      </c>
      <c r="CX27" s="142"/>
      <c r="CY27" s="142">
        <v>32</v>
      </c>
      <c r="CZ27" s="142">
        <f t="shared" si="32"/>
        <v>76</v>
      </c>
      <c r="DA27" s="142"/>
      <c r="DB27" s="142">
        <v>30</v>
      </c>
      <c r="DC27" s="142">
        <f t="shared" si="33"/>
        <v>46</v>
      </c>
      <c r="DD27" s="142">
        <v>120</v>
      </c>
      <c r="DE27" s="142">
        <v>18</v>
      </c>
      <c r="DF27" s="216">
        <f t="shared" si="34"/>
        <v>148</v>
      </c>
      <c r="DG27" s="142"/>
      <c r="DH27" s="142">
        <v>25</v>
      </c>
      <c r="DI27" s="142">
        <f t="shared" si="35"/>
        <v>123</v>
      </c>
      <c r="DJ27" s="142"/>
      <c r="DK27" s="142">
        <v>0</v>
      </c>
      <c r="DL27" s="142">
        <f t="shared" si="36"/>
        <v>123</v>
      </c>
      <c r="DM27" s="142">
        <v>30</v>
      </c>
      <c r="DN27" s="142">
        <v>0</v>
      </c>
      <c r="DO27" s="216">
        <f t="shared" si="37"/>
        <v>153</v>
      </c>
      <c r="DP27" s="142"/>
      <c r="DQ27" s="142">
        <v>21</v>
      </c>
      <c r="DR27" s="216">
        <f t="shared" si="38"/>
        <v>132</v>
      </c>
      <c r="DS27" s="142"/>
      <c r="DT27" s="142">
        <v>16</v>
      </c>
      <c r="DU27" s="216">
        <f t="shared" si="39"/>
        <v>116</v>
      </c>
      <c r="DV27" s="142"/>
      <c r="DW27" s="142">
        <v>48</v>
      </c>
      <c r="DX27" s="216">
        <f t="shared" si="40"/>
        <v>68</v>
      </c>
      <c r="DY27" s="142">
        <v>60</v>
      </c>
      <c r="DZ27" s="142">
        <v>72</v>
      </c>
      <c r="EA27" s="216">
        <f t="shared" si="41"/>
        <v>56</v>
      </c>
      <c r="EB27" s="142"/>
      <c r="EC27" s="142">
        <v>15</v>
      </c>
      <c r="ED27" s="216">
        <f t="shared" si="42"/>
        <v>41</v>
      </c>
      <c r="EE27" s="142">
        <v>90</v>
      </c>
      <c r="EF27" s="142">
        <v>20</v>
      </c>
      <c r="EG27" s="215">
        <f t="shared" si="43"/>
        <v>111</v>
      </c>
      <c r="EH27" s="142"/>
      <c r="EI27" s="142">
        <v>8</v>
      </c>
      <c r="EJ27" s="216">
        <f t="shared" si="57"/>
        <v>103</v>
      </c>
      <c r="EK27" s="142">
        <v>30</v>
      </c>
      <c r="EL27" s="142">
        <v>20</v>
      </c>
      <c r="EM27" s="216">
        <f t="shared" si="44"/>
        <v>113</v>
      </c>
      <c r="EN27" s="142"/>
      <c r="EO27" s="142">
        <v>33</v>
      </c>
      <c r="EP27" s="216">
        <f t="shared" si="45"/>
        <v>80</v>
      </c>
      <c r="EQ27" s="142">
        <v>60</v>
      </c>
      <c r="ER27" s="142">
        <v>33</v>
      </c>
      <c r="ES27" s="128">
        <f t="shared" si="46"/>
        <v>107</v>
      </c>
      <c r="ET27" s="142"/>
      <c r="EU27" s="142">
        <v>12</v>
      </c>
      <c r="EV27" s="128">
        <f t="shared" si="47"/>
        <v>95</v>
      </c>
      <c r="EW27" s="142"/>
      <c r="EX27" s="142">
        <v>12</v>
      </c>
      <c r="EY27" s="128">
        <f t="shared" si="48"/>
        <v>83</v>
      </c>
      <c r="EZ27" s="142"/>
      <c r="FA27" s="142">
        <v>31</v>
      </c>
      <c r="FB27" s="128">
        <f t="shared" si="49"/>
        <v>52</v>
      </c>
      <c r="FC27" s="142">
        <v>90</v>
      </c>
      <c r="FD27" s="142">
        <v>23</v>
      </c>
      <c r="FE27" s="128">
        <f t="shared" si="50"/>
        <v>119</v>
      </c>
      <c r="FF27" s="142">
        <v>30</v>
      </c>
      <c r="FG27" s="142">
        <v>6</v>
      </c>
      <c r="FH27" s="128">
        <f t="shared" si="51"/>
        <v>143</v>
      </c>
      <c r="FI27" s="142"/>
      <c r="FJ27" s="142">
        <v>12</v>
      </c>
      <c r="FK27" s="128">
        <f t="shared" si="52"/>
        <v>131</v>
      </c>
      <c r="FL27" s="142"/>
      <c r="FM27" s="142">
        <v>13</v>
      </c>
      <c r="FN27" s="128">
        <f t="shared" si="28"/>
        <v>118</v>
      </c>
      <c r="FO27" s="142"/>
      <c r="FP27" s="142">
        <v>60</v>
      </c>
      <c r="FQ27" s="128">
        <f t="shared" si="53"/>
        <v>58</v>
      </c>
      <c r="FR27" s="142">
        <v>90</v>
      </c>
      <c r="FS27" s="142">
        <v>1</v>
      </c>
      <c r="FT27" s="128">
        <f t="shared" ref="FT27:FT65" si="59">FQ27+FR27-FS27</f>
        <v>147</v>
      </c>
      <c r="FU27" s="142"/>
      <c r="FV27" s="142">
        <v>4</v>
      </c>
      <c r="FW27" s="128">
        <f t="shared" si="55"/>
        <v>143</v>
      </c>
      <c r="FX27"/>
      <c r="FY27"/>
      <c r="FZ27"/>
      <c r="GA27"/>
      <c r="GB27"/>
      <c r="GC27"/>
      <c r="GD27"/>
      <c r="GE27"/>
      <c r="GF27"/>
      <c r="GG27"/>
      <c r="GH27"/>
      <c r="GI27"/>
      <c r="GJ27"/>
    </row>
    <row r="28" spans="1:192" s="265" customFormat="1" ht="12.75" x14ac:dyDescent="0.2">
      <c r="A28" s="254" t="s">
        <v>102</v>
      </c>
      <c r="B28" s="255">
        <f>'INV. FEB'!BX28</f>
        <v>110</v>
      </c>
      <c r="C28" s="256">
        <v>0</v>
      </c>
      <c r="D28" s="256">
        <v>7</v>
      </c>
      <c r="E28" s="257">
        <f t="shared" si="0"/>
        <v>103</v>
      </c>
      <c r="F28" s="256">
        <v>0</v>
      </c>
      <c r="G28" s="256">
        <v>0</v>
      </c>
      <c r="H28" s="257">
        <f t="shared" si="1"/>
        <v>103</v>
      </c>
      <c r="I28" s="256">
        <v>0</v>
      </c>
      <c r="J28" s="256">
        <v>2</v>
      </c>
      <c r="K28" s="257">
        <f t="shared" si="2"/>
        <v>101</v>
      </c>
      <c r="L28" s="256">
        <v>0</v>
      </c>
      <c r="M28" s="256">
        <v>0</v>
      </c>
      <c r="N28" s="257">
        <f t="shared" si="3"/>
        <v>101</v>
      </c>
      <c r="O28" s="256">
        <v>0</v>
      </c>
      <c r="P28" s="256">
        <v>6</v>
      </c>
      <c r="Q28" s="257">
        <f t="shared" si="4"/>
        <v>95</v>
      </c>
      <c r="R28" s="256">
        <v>0</v>
      </c>
      <c r="S28" s="256">
        <v>10</v>
      </c>
      <c r="T28" s="257">
        <f t="shared" si="5"/>
        <v>85</v>
      </c>
      <c r="U28" s="256">
        <v>0</v>
      </c>
      <c r="V28" s="256">
        <v>5</v>
      </c>
      <c r="W28" s="257">
        <f t="shared" si="6"/>
        <v>80</v>
      </c>
      <c r="X28" s="256">
        <v>0</v>
      </c>
      <c r="Y28" s="256">
        <v>8</v>
      </c>
      <c r="Z28" s="257">
        <f t="shared" si="7"/>
        <v>72</v>
      </c>
      <c r="AA28" s="258">
        <v>0</v>
      </c>
      <c r="AB28" s="258">
        <v>0</v>
      </c>
      <c r="AC28" s="259">
        <f t="shared" si="8"/>
        <v>72</v>
      </c>
      <c r="AD28" s="258">
        <v>0</v>
      </c>
      <c r="AE28" s="258">
        <v>0</v>
      </c>
      <c r="AF28" s="259">
        <f t="shared" si="9"/>
        <v>72</v>
      </c>
      <c r="AG28" s="258">
        <v>0</v>
      </c>
      <c r="AH28" s="258">
        <v>0</v>
      </c>
      <c r="AI28" s="259">
        <f t="shared" si="10"/>
        <v>72</v>
      </c>
      <c r="AJ28" s="258">
        <v>0</v>
      </c>
      <c r="AK28" s="258">
        <v>0</v>
      </c>
      <c r="AL28" s="259">
        <f t="shared" si="11"/>
        <v>72</v>
      </c>
      <c r="AM28" s="258">
        <v>0</v>
      </c>
      <c r="AN28" s="258">
        <v>0</v>
      </c>
      <c r="AO28" s="259">
        <f t="shared" si="12"/>
        <v>72</v>
      </c>
      <c r="AP28" s="258">
        <v>0</v>
      </c>
      <c r="AQ28" s="258">
        <v>7</v>
      </c>
      <c r="AR28" s="259">
        <f t="shared" si="13"/>
        <v>65</v>
      </c>
      <c r="AS28" s="258">
        <v>0</v>
      </c>
      <c r="AT28" s="259">
        <v>5</v>
      </c>
      <c r="AU28" s="259">
        <f t="shared" si="14"/>
        <v>60</v>
      </c>
      <c r="AV28" s="258">
        <v>0</v>
      </c>
      <c r="AW28" s="260">
        <v>19</v>
      </c>
      <c r="AX28" s="261">
        <f t="shared" si="15"/>
        <v>41</v>
      </c>
      <c r="AY28" s="260">
        <v>0</v>
      </c>
      <c r="AZ28" s="260">
        <v>0</v>
      </c>
      <c r="BA28" s="261">
        <f t="shared" si="16"/>
        <v>41</v>
      </c>
      <c r="BB28" s="258">
        <v>60</v>
      </c>
      <c r="BC28" s="258">
        <v>0</v>
      </c>
      <c r="BD28" s="261">
        <f t="shared" si="17"/>
        <v>101</v>
      </c>
      <c r="BE28" s="258">
        <v>0</v>
      </c>
      <c r="BF28" s="258">
        <v>0</v>
      </c>
      <c r="BG28" s="261">
        <f t="shared" si="18"/>
        <v>101</v>
      </c>
      <c r="BH28" s="258">
        <v>0</v>
      </c>
      <c r="BI28" s="258">
        <v>12</v>
      </c>
      <c r="BJ28" s="261">
        <f t="shared" si="19"/>
        <v>89</v>
      </c>
      <c r="BK28" s="258">
        <v>0</v>
      </c>
      <c r="BL28" s="258">
        <v>14</v>
      </c>
      <c r="BM28" s="261">
        <f t="shared" si="20"/>
        <v>75</v>
      </c>
      <c r="BN28" s="258">
        <v>0</v>
      </c>
      <c r="BO28" s="258">
        <v>0</v>
      </c>
      <c r="BP28" s="259">
        <f t="shared" si="21"/>
        <v>75</v>
      </c>
      <c r="BQ28" s="258">
        <v>0</v>
      </c>
      <c r="BR28" s="258">
        <v>12</v>
      </c>
      <c r="BS28" s="261">
        <f t="shared" si="22"/>
        <v>63</v>
      </c>
      <c r="BT28" s="258">
        <v>0</v>
      </c>
      <c r="BU28" s="258">
        <v>0</v>
      </c>
      <c r="BV28" s="261">
        <f t="shared" si="23"/>
        <v>63</v>
      </c>
      <c r="BW28" s="258">
        <v>30</v>
      </c>
      <c r="BX28" s="258">
        <v>8</v>
      </c>
      <c r="BY28" s="261">
        <f t="shared" si="24"/>
        <v>85</v>
      </c>
      <c r="BZ28" s="258">
        <v>0</v>
      </c>
      <c r="CA28" s="258">
        <v>0</v>
      </c>
      <c r="CB28" s="261">
        <f t="shared" si="25"/>
        <v>85</v>
      </c>
      <c r="CC28" s="258">
        <v>0</v>
      </c>
      <c r="CD28" s="258">
        <v>6</v>
      </c>
      <c r="CE28" s="261">
        <f t="shared" si="26"/>
        <v>79</v>
      </c>
      <c r="CF28" s="258">
        <v>0</v>
      </c>
      <c r="CG28" s="258">
        <v>18</v>
      </c>
      <c r="CH28" s="261">
        <f t="shared" si="27"/>
        <v>61</v>
      </c>
      <c r="CI28" s="258">
        <v>30</v>
      </c>
      <c r="CJ28" s="258">
        <v>35</v>
      </c>
      <c r="CK28" s="258">
        <f t="shared" si="29"/>
        <v>56</v>
      </c>
      <c r="CL28" s="258">
        <v>0</v>
      </c>
      <c r="CM28" s="258">
        <v>1</v>
      </c>
      <c r="CN28" s="261">
        <f t="shared" si="30"/>
        <v>55</v>
      </c>
      <c r="CO28" s="258">
        <v>0</v>
      </c>
      <c r="CP28" s="258">
        <v>0</v>
      </c>
      <c r="CQ28" s="262">
        <f t="shared" si="56"/>
        <v>55</v>
      </c>
      <c r="CR28" s="263">
        <v>30</v>
      </c>
      <c r="CS28" s="263">
        <v>0</v>
      </c>
      <c r="CT28" s="263">
        <f t="shared" si="58"/>
        <v>85</v>
      </c>
      <c r="CU28" s="263">
        <v>0</v>
      </c>
      <c r="CV28" s="263">
        <v>3</v>
      </c>
      <c r="CW28" s="263">
        <f t="shared" si="31"/>
        <v>82</v>
      </c>
      <c r="CX28" s="263"/>
      <c r="CY28" s="263">
        <v>12</v>
      </c>
      <c r="CZ28" s="263">
        <f t="shared" si="32"/>
        <v>70</v>
      </c>
      <c r="DA28" s="263"/>
      <c r="DB28" s="263">
        <v>3</v>
      </c>
      <c r="DC28" s="263">
        <f t="shared" si="33"/>
        <v>67</v>
      </c>
      <c r="DD28" s="263">
        <v>30</v>
      </c>
      <c r="DE28" s="263">
        <v>1</v>
      </c>
      <c r="DF28" s="264">
        <f t="shared" si="34"/>
        <v>96</v>
      </c>
      <c r="DG28" s="263"/>
      <c r="DH28" s="263">
        <v>0</v>
      </c>
      <c r="DI28" s="263">
        <f t="shared" si="35"/>
        <v>96</v>
      </c>
      <c r="DJ28" s="263"/>
      <c r="DK28" s="263">
        <v>0</v>
      </c>
      <c r="DL28" s="263">
        <f t="shared" si="36"/>
        <v>96</v>
      </c>
      <c r="DM28" s="263">
        <v>0</v>
      </c>
      <c r="DN28" s="263">
        <v>0</v>
      </c>
      <c r="DO28" s="264">
        <f t="shared" si="37"/>
        <v>96</v>
      </c>
      <c r="DP28" s="263"/>
      <c r="DQ28" s="263">
        <v>0</v>
      </c>
      <c r="DR28" s="264">
        <f t="shared" si="38"/>
        <v>96</v>
      </c>
      <c r="DS28" s="263"/>
      <c r="DT28" s="263">
        <v>9</v>
      </c>
      <c r="DU28" s="264">
        <f t="shared" si="39"/>
        <v>87</v>
      </c>
      <c r="DV28" s="263">
        <v>0</v>
      </c>
      <c r="DW28" s="263">
        <v>4</v>
      </c>
      <c r="DX28" s="264">
        <f t="shared" si="40"/>
        <v>83</v>
      </c>
      <c r="DY28" s="263">
        <v>0</v>
      </c>
      <c r="DZ28" s="263">
        <v>5</v>
      </c>
      <c r="EA28" s="264">
        <f t="shared" si="41"/>
        <v>78</v>
      </c>
      <c r="EB28" s="263"/>
      <c r="EC28" s="263">
        <v>8</v>
      </c>
      <c r="ED28" s="264">
        <f t="shared" si="42"/>
        <v>70</v>
      </c>
      <c r="EE28" s="263">
        <v>0</v>
      </c>
      <c r="EF28" s="263">
        <v>8</v>
      </c>
      <c r="EG28" s="215">
        <f t="shared" si="43"/>
        <v>62</v>
      </c>
      <c r="EH28" s="263"/>
      <c r="EI28" s="263">
        <v>1</v>
      </c>
      <c r="EJ28" s="264">
        <f t="shared" si="57"/>
        <v>61</v>
      </c>
      <c r="EK28" s="263">
        <v>60</v>
      </c>
      <c r="EL28" s="263">
        <v>3</v>
      </c>
      <c r="EM28" s="264">
        <f t="shared" si="44"/>
        <v>118</v>
      </c>
      <c r="EN28" s="263">
        <v>0</v>
      </c>
      <c r="EO28" s="263">
        <v>4</v>
      </c>
      <c r="EP28" s="264">
        <f t="shared" si="45"/>
        <v>114</v>
      </c>
      <c r="EQ28" s="263"/>
      <c r="ER28" s="263">
        <v>3</v>
      </c>
      <c r="ES28" s="128">
        <f t="shared" si="46"/>
        <v>111</v>
      </c>
      <c r="ET28" s="263"/>
      <c r="EU28" s="263">
        <v>0</v>
      </c>
      <c r="EV28" s="128">
        <f t="shared" si="47"/>
        <v>111</v>
      </c>
      <c r="EW28" s="263"/>
      <c r="EX28" s="263">
        <v>1</v>
      </c>
      <c r="EY28" s="128">
        <f t="shared" si="48"/>
        <v>110</v>
      </c>
      <c r="EZ28" s="263"/>
      <c r="FA28" s="263">
        <v>12</v>
      </c>
      <c r="FB28" s="128">
        <f t="shared" si="49"/>
        <v>98</v>
      </c>
      <c r="FC28" s="263">
        <v>30</v>
      </c>
      <c r="FD28" s="263">
        <v>0</v>
      </c>
      <c r="FE28" s="128">
        <f t="shared" si="50"/>
        <v>128</v>
      </c>
      <c r="FF28" s="263">
        <v>0</v>
      </c>
      <c r="FG28" s="263">
        <v>0</v>
      </c>
      <c r="FH28" s="128">
        <f t="shared" si="51"/>
        <v>128</v>
      </c>
      <c r="FI28" s="263"/>
      <c r="FJ28" s="263">
        <v>4</v>
      </c>
      <c r="FK28" s="128">
        <f t="shared" si="52"/>
        <v>124</v>
      </c>
      <c r="FL28" s="263"/>
      <c r="FM28" s="263">
        <v>0</v>
      </c>
      <c r="FN28" s="128">
        <f t="shared" si="28"/>
        <v>124</v>
      </c>
      <c r="FO28" s="263">
        <v>0</v>
      </c>
      <c r="FP28" s="263">
        <v>6</v>
      </c>
      <c r="FQ28" s="128">
        <f t="shared" si="53"/>
        <v>118</v>
      </c>
      <c r="FR28" s="263"/>
      <c r="FS28" s="263">
        <v>4</v>
      </c>
      <c r="FT28" s="128">
        <f t="shared" si="59"/>
        <v>114</v>
      </c>
      <c r="FU28" s="263"/>
      <c r="FV28" s="263"/>
      <c r="FW28" s="128">
        <f t="shared" si="55"/>
        <v>114</v>
      </c>
      <c r="FX28"/>
      <c r="FY28"/>
      <c r="FZ28"/>
      <c r="GA28"/>
      <c r="GB28"/>
      <c r="GC28"/>
      <c r="GD28"/>
      <c r="GE28"/>
      <c r="GF28"/>
      <c r="GG28"/>
      <c r="GH28"/>
      <c r="GI28"/>
      <c r="GJ28"/>
    </row>
    <row r="29" spans="1:192" s="251" customFormat="1" ht="12.75" x14ac:dyDescent="0.2">
      <c r="A29" s="266" t="s">
        <v>103</v>
      </c>
      <c r="B29" s="267">
        <f>'INV. FEB'!BX29</f>
        <v>74</v>
      </c>
      <c r="C29" s="268">
        <v>0</v>
      </c>
      <c r="D29" s="268">
        <v>10</v>
      </c>
      <c r="E29" s="269">
        <f t="shared" si="0"/>
        <v>64</v>
      </c>
      <c r="F29" s="268">
        <v>0</v>
      </c>
      <c r="G29" s="268">
        <v>16</v>
      </c>
      <c r="H29" s="269">
        <f t="shared" si="1"/>
        <v>48</v>
      </c>
      <c r="I29" s="268">
        <v>60</v>
      </c>
      <c r="J29" s="268">
        <v>0</v>
      </c>
      <c r="K29" s="269">
        <f t="shared" si="2"/>
        <v>108</v>
      </c>
      <c r="L29" s="268">
        <v>0</v>
      </c>
      <c r="M29" s="268">
        <v>7</v>
      </c>
      <c r="N29" s="269">
        <f t="shared" si="3"/>
        <v>101</v>
      </c>
      <c r="O29" s="268">
        <v>0</v>
      </c>
      <c r="P29" s="268">
        <v>4</v>
      </c>
      <c r="Q29" s="269">
        <f t="shared" si="4"/>
        <v>97</v>
      </c>
      <c r="R29" s="268">
        <v>0</v>
      </c>
      <c r="S29" s="268">
        <v>6</v>
      </c>
      <c r="T29" s="269">
        <f t="shared" si="5"/>
        <v>91</v>
      </c>
      <c r="U29" s="268">
        <v>0</v>
      </c>
      <c r="V29" s="268">
        <v>0</v>
      </c>
      <c r="W29" s="269">
        <f t="shared" si="6"/>
        <v>91</v>
      </c>
      <c r="X29" s="268">
        <v>30</v>
      </c>
      <c r="Y29" s="268">
        <v>10</v>
      </c>
      <c r="Z29" s="269">
        <f t="shared" si="7"/>
        <v>111</v>
      </c>
      <c r="AA29" s="270">
        <v>0</v>
      </c>
      <c r="AB29" s="270">
        <v>9</v>
      </c>
      <c r="AC29" s="271">
        <f t="shared" si="8"/>
        <v>102</v>
      </c>
      <c r="AD29" s="270">
        <v>0</v>
      </c>
      <c r="AE29" s="270">
        <v>16</v>
      </c>
      <c r="AF29" s="271">
        <f t="shared" si="9"/>
        <v>86</v>
      </c>
      <c r="AG29" s="270">
        <v>0</v>
      </c>
      <c r="AH29" s="270">
        <v>3</v>
      </c>
      <c r="AI29" s="271">
        <f t="shared" si="10"/>
        <v>83</v>
      </c>
      <c r="AJ29" s="270">
        <v>0</v>
      </c>
      <c r="AK29" s="270">
        <v>9</v>
      </c>
      <c r="AL29" s="271">
        <f t="shared" si="11"/>
        <v>74</v>
      </c>
      <c r="AM29" s="270">
        <v>0</v>
      </c>
      <c r="AN29" s="270">
        <v>0</v>
      </c>
      <c r="AO29" s="271">
        <f t="shared" si="12"/>
        <v>74</v>
      </c>
      <c r="AP29" s="270">
        <v>0</v>
      </c>
      <c r="AQ29" s="270">
        <v>0</v>
      </c>
      <c r="AR29" s="271">
        <f t="shared" si="13"/>
        <v>74</v>
      </c>
      <c r="AS29" s="270">
        <v>0</v>
      </c>
      <c r="AT29" s="271">
        <v>10</v>
      </c>
      <c r="AU29" s="271">
        <f t="shared" si="14"/>
        <v>64</v>
      </c>
      <c r="AV29" s="270">
        <v>0</v>
      </c>
      <c r="AW29" s="270">
        <v>10</v>
      </c>
      <c r="AX29" s="271">
        <f t="shared" si="15"/>
        <v>54</v>
      </c>
      <c r="AY29" s="270">
        <v>0</v>
      </c>
      <c r="AZ29" s="270">
        <v>24</v>
      </c>
      <c r="BA29" s="271">
        <f t="shared" si="16"/>
        <v>30</v>
      </c>
      <c r="BB29" s="270">
        <v>60</v>
      </c>
      <c r="BC29" s="270">
        <v>0</v>
      </c>
      <c r="BD29" s="271">
        <f t="shared" si="17"/>
        <v>90</v>
      </c>
      <c r="BE29" s="270">
        <v>0</v>
      </c>
      <c r="BF29" s="270">
        <v>14</v>
      </c>
      <c r="BG29" s="271">
        <f t="shared" si="18"/>
        <v>76</v>
      </c>
      <c r="BH29" s="270">
        <v>0</v>
      </c>
      <c r="BI29" s="270">
        <v>2</v>
      </c>
      <c r="BJ29" s="271">
        <f t="shared" si="19"/>
        <v>74</v>
      </c>
      <c r="BK29" s="270">
        <v>30</v>
      </c>
      <c r="BL29" s="270">
        <v>0</v>
      </c>
      <c r="BM29" s="271">
        <f t="shared" si="20"/>
        <v>104</v>
      </c>
      <c r="BN29" s="270">
        <v>0</v>
      </c>
      <c r="BO29" s="270">
        <v>4</v>
      </c>
      <c r="BP29" s="271">
        <f t="shared" si="21"/>
        <v>100</v>
      </c>
      <c r="BQ29" s="270">
        <v>0</v>
      </c>
      <c r="BR29" s="270">
        <v>8</v>
      </c>
      <c r="BS29" s="271">
        <f t="shared" si="22"/>
        <v>92</v>
      </c>
      <c r="BT29" s="270">
        <v>0</v>
      </c>
      <c r="BU29" s="270">
        <v>24</v>
      </c>
      <c r="BV29" s="271">
        <f t="shared" si="23"/>
        <v>68</v>
      </c>
      <c r="BW29" s="270">
        <v>30</v>
      </c>
      <c r="BX29" s="270">
        <v>13</v>
      </c>
      <c r="BY29" s="271">
        <f t="shared" si="24"/>
        <v>85</v>
      </c>
      <c r="BZ29" s="270">
        <v>0</v>
      </c>
      <c r="CA29" s="270">
        <v>3</v>
      </c>
      <c r="CB29" s="271">
        <f t="shared" si="25"/>
        <v>82</v>
      </c>
      <c r="CC29" s="270">
        <v>0</v>
      </c>
      <c r="CD29" s="270">
        <v>0</v>
      </c>
      <c r="CE29" s="271">
        <f t="shared" si="26"/>
        <v>82</v>
      </c>
      <c r="CF29" s="270">
        <v>0</v>
      </c>
      <c r="CG29" s="270">
        <v>21</v>
      </c>
      <c r="CH29" s="271">
        <f t="shared" si="27"/>
        <v>61</v>
      </c>
      <c r="CI29" s="270">
        <v>30</v>
      </c>
      <c r="CJ29" s="270">
        <v>20</v>
      </c>
      <c r="CK29" s="270">
        <f t="shared" si="29"/>
        <v>71</v>
      </c>
      <c r="CL29" s="270">
        <v>0</v>
      </c>
      <c r="CM29" s="270">
        <v>5</v>
      </c>
      <c r="CN29" s="271">
        <f t="shared" si="30"/>
        <v>66</v>
      </c>
      <c r="CO29" s="270">
        <v>0</v>
      </c>
      <c r="CP29" s="270">
        <v>4</v>
      </c>
      <c r="CQ29" s="272">
        <f t="shared" si="56"/>
        <v>62</v>
      </c>
      <c r="CR29" s="144">
        <v>30</v>
      </c>
      <c r="CS29" s="144">
        <v>6</v>
      </c>
      <c r="CT29" s="144">
        <f t="shared" si="58"/>
        <v>86</v>
      </c>
      <c r="CU29" s="144">
        <v>0</v>
      </c>
      <c r="CV29" s="144">
        <v>14</v>
      </c>
      <c r="CW29" s="144">
        <f t="shared" si="31"/>
        <v>72</v>
      </c>
      <c r="CX29" s="144"/>
      <c r="CY29" s="144">
        <v>15</v>
      </c>
      <c r="CZ29" s="144">
        <f t="shared" si="32"/>
        <v>57</v>
      </c>
      <c r="DA29" s="144"/>
      <c r="DB29" s="144">
        <v>2</v>
      </c>
      <c r="DC29" s="144">
        <f t="shared" si="33"/>
        <v>55</v>
      </c>
      <c r="DD29" s="144">
        <v>60</v>
      </c>
      <c r="DE29" s="144">
        <v>0</v>
      </c>
      <c r="DF29" s="220">
        <f t="shared" si="34"/>
        <v>115</v>
      </c>
      <c r="DG29" s="144"/>
      <c r="DH29" s="144">
        <v>39</v>
      </c>
      <c r="DI29" s="144">
        <f t="shared" si="35"/>
        <v>76</v>
      </c>
      <c r="DJ29" s="144"/>
      <c r="DK29" s="144">
        <v>4</v>
      </c>
      <c r="DL29" s="144">
        <f t="shared" si="36"/>
        <v>72</v>
      </c>
      <c r="DM29" s="144">
        <v>30</v>
      </c>
      <c r="DN29" s="144">
        <v>0</v>
      </c>
      <c r="DO29" s="220">
        <f t="shared" si="37"/>
        <v>102</v>
      </c>
      <c r="DP29" s="144"/>
      <c r="DQ29" s="144">
        <v>8</v>
      </c>
      <c r="DR29" s="220">
        <f t="shared" si="38"/>
        <v>94</v>
      </c>
      <c r="DS29" s="144"/>
      <c r="DT29" s="144">
        <v>5</v>
      </c>
      <c r="DU29" s="220">
        <f t="shared" si="39"/>
        <v>89</v>
      </c>
      <c r="DV29" s="144"/>
      <c r="DW29" s="144">
        <v>35</v>
      </c>
      <c r="DX29" s="220">
        <f t="shared" si="40"/>
        <v>54</v>
      </c>
      <c r="DY29" s="144">
        <v>30</v>
      </c>
      <c r="DZ29" s="144">
        <v>1</v>
      </c>
      <c r="EA29" s="220">
        <f t="shared" si="41"/>
        <v>83</v>
      </c>
      <c r="EB29" s="144"/>
      <c r="EC29" s="144">
        <v>2</v>
      </c>
      <c r="ED29" s="220">
        <f t="shared" si="42"/>
        <v>81</v>
      </c>
      <c r="EE29" s="144">
        <v>30</v>
      </c>
      <c r="EF29" s="144">
        <v>12</v>
      </c>
      <c r="EG29" s="215">
        <f t="shared" si="43"/>
        <v>99</v>
      </c>
      <c r="EH29" s="144"/>
      <c r="EI29" s="144">
        <v>3</v>
      </c>
      <c r="EJ29" s="220">
        <f t="shared" si="57"/>
        <v>96</v>
      </c>
      <c r="EK29" s="144">
        <v>30</v>
      </c>
      <c r="EL29" s="144">
        <v>7</v>
      </c>
      <c r="EM29" s="220">
        <f t="shared" si="44"/>
        <v>119</v>
      </c>
      <c r="EN29" s="144">
        <v>0</v>
      </c>
      <c r="EO29" s="144">
        <v>7</v>
      </c>
      <c r="EP29" s="220">
        <f t="shared" si="45"/>
        <v>112</v>
      </c>
      <c r="EQ29" s="144"/>
      <c r="ER29" s="144">
        <v>7</v>
      </c>
      <c r="ES29" s="128">
        <f t="shared" si="46"/>
        <v>105</v>
      </c>
      <c r="ET29" s="144"/>
      <c r="EU29" s="144">
        <v>11</v>
      </c>
      <c r="EV29" s="128">
        <f t="shared" si="47"/>
        <v>94</v>
      </c>
      <c r="EW29" s="144"/>
      <c r="EX29" s="144">
        <v>3</v>
      </c>
      <c r="EY29" s="128">
        <f t="shared" si="48"/>
        <v>91</v>
      </c>
      <c r="EZ29" s="144"/>
      <c r="FA29" s="144">
        <v>0</v>
      </c>
      <c r="FB29" s="128">
        <f t="shared" si="49"/>
        <v>91</v>
      </c>
      <c r="FC29" s="144">
        <v>30</v>
      </c>
      <c r="FD29" s="144">
        <v>1</v>
      </c>
      <c r="FE29" s="128">
        <f t="shared" si="50"/>
        <v>120</v>
      </c>
      <c r="FF29" s="144">
        <v>30</v>
      </c>
      <c r="FG29" s="144">
        <v>2</v>
      </c>
      <c r="FH29" s="128">
        <f t="shared" si="51"/>
        <v>148</v>
      </c>
      <c r="FI29" s="144"/>
      <c r="FJ29" s="144"/>
      <c r="FK29" s="128">
        <f t="shared" si="52"/>
        <v>148</v>
      </c>
      <c r="FL29" s="144"/>
      <c r="FM29" s="144">
        <v>10</v>
      </c>
      <c r="FN29" s="128">
        <f t="shared" si="28"/>
        <v>138</v>
      </c>
      <c r="FO29" s="144"/>
      <c r="FP29" s="144">
        <v>1</v>
      </c>
      <c r="FQ29" s="128">
        <f t="shared" si="53"/>
        <v>137</v>
      </c>
      <c r="FR29" s="144"/>
      <c r="FS29" s="144">
        <v>0</v>
      </c>
      <c r="FT29" s="128">
        <f t="shared" si="59"/>
        <v>137</v>
      </c>
      <c r="FU29" s="144"/>
      <c r="FV29" s="144">
        <v>18</v>
      </c>
      <c r="FW29" s="128">
        <f t="shared" si="55"/>
        <v>119</v>
      </c>
      <c r="FX29"/>
      <c r="FY29"/>
      <c r="FZ29"/>
      <c r="GA29"/>
      <c r="GB29"/>
      <c r="GC29"/>
      <c r="GD29"/>
      <c r="GE29"/>
      <c r="GF29"/>
      <c r="GG29"/>
      <c r="GH29"/>
      <c r="GI29"/>
      <c r="GJ29"/>
    </row>
    <row r="30" spans="1:192" s="112" customFormat="1" ht="12.75" x14ac:dyDescent="0.2">
      <c r="A30" s="106" t="s">
        <v>104</v>
      </c>
      <c r="B30" s="107">
        <f>'INV. FEB'!BX30</f>
        <v>115</v>
      </c>
      <c r="C30" s="108">
        <v>0</v>
      </c>
      <c r="D30" s="108">
        <v>2</v>
      </c>
      <c r="E30" s="109">
        <f t="shared" si="0"/>
        <v>113</v>
      </c>
      <c r="F30" s="108">
        <v>0</v>
      </c>
      <c r="G30" s="108">
        <v>0</v>
      </c>
      <c r="H30" s="109">
        <f t="shared" si="1"/>
        <v>113</v>
      </c>
      <c r="I30" s="108">
        <v>0</v>
      </c>
      <c r="J30" s="108">
        <v>0</v>
      </c>
      <c r="K30" s="109">
        <f t="shared" si="2"/>
        <v>113</v>
      </c>
      <c r="L30" s="108">
        <v>0</v>
      </c>
      <c r="M30" s="108">
        <v>0</v>
      </c>
      <c r="N30" s="109">
        <f t="shared" si="3"/>
        <v>113</v>
      </c>
      <c r="O30" s="108">
        <v>0</v>
      </c>
      <c r="P30" s="108">
        <v>0</v>
      </c>
      <c r="Q30" s="109">
        <f t="shared" si="4"/>
        <v>113</v>
      </c>
      <c r="R30" s="108">
        <v>0</v>
      </c>
      <c r="S30" s="108">
        <v>0</v>
      </c>
      <c r="T30" s="109">
        <f t="shared" si="5"/>
        <v>113</v>
      </c>
      <c r="U30" s="108">
        <v>0</v>
      </c>
      <c r="V30" s="108">
        <v>1</v>
      </c>
      <c r="W30" s="109">
        <f t="shared" si="6"/>
        <v>112</v>
      </c>
      <c r="X30" s="108">
        <v>0</v>
      </c>
      <c r="Y30" s="108">
        <v>0</v>
      </c>
      <c r="Z30" s="109">
        <f t="shared" si="7"/>
        <v>112</v>
      </c>
      <c r="AA30" s="110">
        <v>0</v>
      </c>
      <c r="AB30" s="110">
        <v>0</v>
      </c>
      <c r="AC30" s="111">
        <f t="shared" si="8"/>
        <v>112</v>
      </c>
      <c r="AD30" s="110">
        <v>0</v>
      </c>
      <c r="AE30" s="110">
        <v>0</v>
      </c>
      <c r="AF30" s="111">
        <f t="shared" si="9"/>
        <v>112</v>
      </c>
      <c r="AG30" s="110">
        <v>0</v>
      </c>
      <c r="AH30" s="110">
        <v>0</v>
      </c>
      <c r="AI30" s="111">
        <f t="shared" si="10"/>
        <v>112</v>
      </c>
      <c r="AJ30" s="110">
        <v>0</v>
      </c>
      <c r="AK30" s="110">
        <v>0</v>
      </c>
      <c r="AL30" s="111">
        <f t="shared" si="11"/>
        <v>112</v>
      </c>
      <c r="AM30" s="110">
        <v>0</v>
      </c>
      <c r="AN30" s="110">
        <v>9</v>
      </c>
      <c r="AO30" s="111">
        <f t="shared" si="12"/>
        <v>103</v>
      </c>
      <c r="AP30" s="110">
        <v>0</v>
      </c>
      <c r="AQ30" s="110">
        <v>0</v>
      </c>
      <c r="AR30" s="111">
        <f t="shared" si="13"/>
        <v>103</v>
      </c>
      <c r="AS30" s="110">
        <v>0</v>
      </c>
      <c r="AT30" s="111">
        <v>10</v>
      </c>
      <c r="AU30" s="111">
        <f t="shared" si="14"/>
        <v>93</v>
      </c>
      <c r="AV30" s="110">
        <v>0</v>
      </c>
      <c r="AW30" s="110">
        <v>0</v>
      </c>
      <c r="AX30" s="111">
        <f t="shared" si="15"/>
        <v>93</v>
      </c>
      <c r="AY30" s="110">
        <v>0</v>
      </c>
      <c r="AZ30" s="110">
        <v>0</v>
      </c>
      <c r="BA30" s="111">
        <f t="shared" si="16"/>
        <v>93</v>
      </c>
      <c r="BB30" s="110">
        <v>0</v>
      </c>
      <c r="BC30" s="110">
        <v>0</v>
      </c>
      <c r="BD30" s="111">
        <f t="shared" si="17"/>
        <v>93</v>
      </c>
      <c r="BE30" s="110">
        <v>0</v>
      </c>
      <c r="BF30" s="110">
        <v>0</v>
      </c>
      <c r="BG30" s="111">
        <f t="shared" si="18"/>
        <v>93</v>
      </c>
      <c r="BH30" s="110">
        <v>0</v>
      </c>
      <c r="BI30" s="110">
        <v>0</v>
      </c>
      <c r="BJ30" s="111">
        <f t="shared" si="19"/>
        <v>93</v>
      </c>
      <c r="BK30" s="110">
        <v>0</v>
      </c>
      <c r="BL30" s="110">
        <v>0</v>
      </c>
      <c r="BM30" s="111">
        <f t="shared" si="20"/>
        <v>93</v>
      </c>
      <c r="BN30" s="110">
        <v>0</v>
      </c>
      <c r="BO30" s="110">
        <v>4</v>
      </c>
      <c r="BP30" s="111">
        <f t="shared" si="21"/>
        <v>89</v>
      </c>
      <c r="BQ30" s="110">
        <v>0</v>
      </c>
      <c r="BR30" s="110">
        <v>5</v>
      </c>
      <c r="BS30" s="111">
        <f t="shared" si="22"/>
        <v>84</v>
      </c>
      <c r="BT30" s="110">
        <v>0</v>
      </c>
      <c r="BU30" s="110">
        <v>0</v>
      </c>
      <c r="BV30" s="111">
        <f t="shared" si="23"/>
        <v>84</v>
      </c>
      <c r="BW30" s="110">
        <v>0</v>
      </c>
      <c r="BX30" s="110">
        <v>0</v>
      </c>
      <c r="BY30" s="111">
        <f t="shared" si="24"/>
        <v>84</v>
      </c>
      <c r="BZ30" s="110">
        <v>0</v>
      </c>
      <c r="CA30" s="110">
        <v>0</v>
      </c>
      <c r="CB30" s="111">
        <f t="shared" si="25"/>
        <v>84</v>
      </c>
      <c r="CC30" s="110">
        <v>0</v>
      </c>
      <c r="CD30" s="110">
        <v>0</v>
      </c>
      <c r="CE30" s="111">
        <f t="shared" si="26"/>
        <v>84</v>
      </c>
      <c r="CF30" s="110">
        <v>0</v>
      </c>
      <c r="CG30" s="110">
        <v>5</v>
      </c>
      <c r="CH30" s="111">
        <f t="shared" si="27"/>
        <v>79</v>
      </c>
      <c r="CI30" s="110">
        <v>0</v>
      </c>
      <c r="CJ30" s="110">
        <v>0</v>
      </c>
      <c r="CK30" s="110">
        <f t="shared" si="29"/>
        <v>79</v>
      </c>
      <c r="CL30" s="110">
        <v>0</v>
      </c>
      <c r="CM30" s="110">
        <v>6</v>
      </c>
      <c r="CN30" s="111">
        <f t="shared" si="30"/>
        <v>73</v>
      </c>
      <c r="CO30" s="110">
        <v>0</v>
      </c>
      <c r="CP30" s="110">
        <v>0</v>
      </c>
      <c r="CQ30" s="273">
        <f t="shared" si="56"/>
        <v>73</v>
      </c>
      <c r="CR30" s="131">
        <v>0</v>
      </c>
      <c r="CS30" s="131">
        <v>0</v>
      </c>
      <c r="CT30" s="131">
        <f t="shared" si="58"/>
        <v>73</v>
      </c>
      <c r="CU30" s="131">
        <v>0</v>
      </c>
      <c r="CV30" s="131">
        <v>0</v>
      </c>
      <c r="CW30" s="131">
        <f>CT30+CU30-CV30</f>
        <v>73</v>
      </c>
      <c r="CX30" s="131"/>
      <c r="CY30" s="131"/>
      <c r="CZ30" s="131">
        <f t="shared" si="32"/>
        <v>73</v>
      </c>
      <c r="DA30" s="131"/>
      <c r="DB30" s="131"/>
      <c r="DC30" s="131">
        <f t="shared" si="33"/>
        <v>73</v>
      </c>
      <c r="DD30" s="131"/>
      <c r="DE30" s="131"/>
      <c r="DF30" s="218">
        <f t="shared" si="34"/>
        <v>73</v>
      </c>
      <c r="DG30" s="131"/>
      <c r="DH30" s="131">
        <v>9</v>
      </c>
      <c r="DI30" s="131">
        <f t="shared" si="35"/>
        <v>64</v>
      </c>
      <c r="DJ30" s="131"/>
      <c r="DK30" s="131">
        <v>0</v>
      </c>
      <c r="DL30" s="131">
        <f t="shared" si="36"/>
        <v>64</v>
      </c>
      <c r="DM30" s="131">
        <v>0</v>
      </c>
      <c r="DN30" s="131">
        <v>0</v>
      </c>
      <c r="DO30" s="218">
        <f t="shared" si="37"/>
        <v>64</v>
      </c>
      <c r="DP30" s="131"/>
      <c r="DQ30" s="131">
        <v>0</v>
      </c>
      <c r="DR30" s="218">
        <f t="shared" si="38"/>
        <v>64</v>
      </c>
      <c r="DS30" s="131"/>
      <c r="DT30" s="131">
        <v>0</v>
      </c>
      <c r="DU30" s="218">
        <f t="shared" si="39"/>
        <v>64</v>
      </c>
      <c r="DV30" s="131"/>
      <c r="DW30" s="131">
        <v>5</v>
      </c>
      <c r="DX30" s="218">
        <f t="shared" si="40"/>
        <v>59</v>
      </c>
      <c r="DY30" s="131"/>
      <c r="DZ30" s="131"/>
      <c r="EA30" s="218">
        <f t="shared" si="41"/>
        <v>59</v>
      </c>
      <c r="EB30" s="131"/>
      <c r="EC30" s="131">
        <v>15</v>
      </c>
      <c r="ED30" s="218">
        <f t="shared" si="42"/>
        <v>44</v>
      </c>
      <c r="EE30" s="131"/>
      <c r="EF30" s="131">
        <v>2</v>
      </c>
      <c r="EG30" s="215">
        <f t="shared" si="43"/>
        <v>42</v>
      </c>
      <c r="EH30" s="131"/>
      <c r="EI30" s="131">
        <v>6</v>
      </c>
      <c r="EJ30" s="218">
        <f t="shared" si="57"/>
        <v>36</v>
      </c>
      <c r="EK30" s="131">
        <v>30</v>
      </c>
      <c r="EL30" s="131">
        <v>1</v>
      </c>
      <c r="EM30" s="218">
        <f t="shared" si="44"/>
        <v>65</v>
      </c>
      <c r="EN30" s="131"/>
      <c r="EO30" s="131">
        <v>17</v>
      </c>
      <c r="EP30" s="218">
        <f t="shared" si="45"/>
        <v>48</v>
      </c>
      <c r="EQ30" s="131"/>
      <c r="ER30" s="131">
        <v>0</v>
      </c>
      <c r="ES30" s="128">
        <f t="shared" si="46"/>
        <v>48</v>
      </c>
      <c r="ET30" s="131"/>
      <c r="EU30" s="131">
        <v>17</v>
      </c>
      <c r="EV30" s="128">
        <f t="shared" si="47"/>
        <v>31</v>
      </c>
      <c r="EW30" s="131"/>
      <c r="EX30" s="131"/>
      <c r="EY30" s="128">
        <f t="shared" si="48"/>
        <v>31</v>
      </c>
      <c r="EZ30" s="131"/>
      <c r="FA30" s="131">
        <v>0</v>
      </c>
      <c r="FB30" s="128">
        <f t="shared" si="49"/>
        <v>31</v>
      </c>
      <c r="FC30" s="131"/>
      <c r="FD30" s="218">
        <v>0</v>
      </c>
      <c r="FE30" s="128">
        <f t="shared" si="50"/>
        <v>31</v>
      </c>
      <c r="FF30" s="131"/>
      <c r="FG30" s="131">
        <v>0</v>
      </c>
      <c r="FH30" s="128">
        <f t="shared" si="51"/>
        <v>31</v>
      </c>
      <c r="FI30" s="131"/>
      <c r="FJ30" s="131"/>
      <c r="FK30" s="128">
        <f t="shared" si="52"/>
        <v>31</v>
      </c>
      <c r="FL30" s="131"/>
      <c r="FM30" s="131">
        <v>0</v>
      </c>
      <c r="FN30" s="128">
        <f t="shared" si="28"/>
        <v>31</v>
      </c>
      <c r="FO30" s="131"/>
      <c r="FP30" s="131">
        <v>0</v>
      </c>
      <c r="FQ30" s="128">
        <f t="shared" si="53"/>
        <v>31</v>
      </c>
      <c r="FR30" s="131"/>
      <c r="FS30" s="131">
        <v>0</v>
      </c>
      <c r="FT30" s="128">
        <f t="shared" si="59"/>
        <v>31</v>
      </c>
      <c r="FU30" s="131"/>
      <c r="FV30" s="131"/>
      <c r="FW30" s="128">
        <f t="shared" si="55"/>
        <v>31</v>
      </c>
      <c r="FX30"/>
      <c r="FY30"/>
      <c r="FZ30"/>
      <c r="GA30"/>
      <c r="GB30"/>
      <c r="GC30"/>
      <c r="GD30"/>
      <c r="GE30"/>
      <c r="GF30"/>
      <c r="GG30"/>
      <c r="GH30"/>
      <c r="GI30"/>
      <c r="GJ30"/>
    </row>
    <row r="31" spans="1:192" ht="12.75" x14ac:dyDescent="0.2">
      <c r="A31" s="5" t="s">
        <v>105</v>
      </c>
      <c r="B31" s="29">
        <f>'INV. FEB'!BX31</f>
        <v>5</v>
      </c>
      <c r="C31" s="10">
        <v>0</v>
      </c>
      <c r="D31" s="10">
        <v>0</v>
      </c>
      <c r="E31" s="9">
        <f t="shared" si="0"/>
        <v>5</v>
      </c>
      <c r="F31" s="10">
        <v>0</v>
      </c>
      <c r="G31" s="10">
        <v>0</v>
      </c>
      <c r="H31" s="9">
        <f t="shared" si="1"/>
        <v>5</v>
      </c>
      <c r="I31" s="10">
        <v>0</v>
      </c>
      <c r="J31" s="10">
        <v>0</v>
      </c>
      <c r="K31" s="9">
        <f t="shared" si="2"/>
        <v>5</v>
      </c>
      <c r="L31" s="10">
        <v>0</v>
      </c>
      <c r="M31" s="10">
        <v>0</v>
      </c>
      <c r="N31" s="9">
        <f t="shared" si="3"/>
        <v>5</v>
      </c>
      <c r="O31" s="10">
        <v>0</v>
      </c>
      <c r="P31" s="10">
        <v>0</v>
      </c>
      <c r="Q31" s="9">
        <f t="shared" si="4"/>
        <v>5</v>
      </c>
      <c r="R31" s="10">
        <v>0</v>
      </c>
      <c r="S31" s="10">
        <v>1</v>
      </c>
      <c r="T31" s="9">
        <f t="shared" si="5"/>
        <v>4</v>
      </c>
      <c r="U31" s="10">
        <v>0</v>
      </c>
      <c r="V31" s="10">
        <v>0</v>
      </c>
      <c r="W31" s="9">
        <f t="shared" si="6"/>
        <v>4</v>
      </c>
      <c r="X31" s="10">
        <v>1</v>
      </c>
      <c r="Y31" s="10">
        <v>1</v>
      </c>
      <c r="Z31" s="9">
        <f t="shared" si="7"/>
        <v>4</v>
      </c>
      <c r="AA31" s="78">
        <v>0</v>
      </c>
      <c r="AB31" s="78">
        <v>0</v>
      </c>
      <c r="AC31" s="18">
        <f t="shared" si="8"/>
        <v>4</v>
      </c>
      <c r="AD31" s="79">
        <v>1</v>
      </c>
      <c r="AE31" s="78">
        <v>0</v>
      </c>
      <c r="AF31" s="18">
        <f t="shared" si="9"/>
        <v>5</v>
      </c>
      <c r="AG31" s="78">
        <v>0</v>
      </c>
      <c r="AH31" s="78">
        <v>0</v>
      </c>
      <c r="AI31" s="18">
        <f t="shared" si="10"/>
        <v>5</v>
      </c>
      <c r="AJ31" s="78">
        <v>0</v>
      </c>
      <c r="AK31" s="78">
        <v>0</v>
      </c>
      <c r="AL31" s="18">
        <f t="shared" si="11"/>
        <v>5</v>
      </c>
      <c r="AM31" s="78">
        <v>0</v>
      </c>
      <c r="AN31" s="78">
        <v>0</v>
      </c>
      <c r="AO31" s="18">
        <f t="shared" si="12"/>
        <v>5</v>
      </c>
      <c r="AP31" s="78">
        <v>0</v>
      </c>
      <c r="AQ31" s="78">
        <v>0</v>
      </c>
      <c r="AR31" s="18">
        <f t="shared" si="13"/>
        <v>5</v>
      </c>
      <c r="AS31" s="79">
        <v>0</v>
      </c>
      <c r="AT31" s="80">
        <v>4</v>
      </c>
      <c r="AU31" s="18">
        <f t="shared" si="14"/>
        <v>1</v>
      </c>
      <c r="AV31" s="79">
        <v>0</v>
      </c>
      <c r="AW31" s="79">
        <v>0</v>
      </c>
      <c r="AX31" s="18">
        <f t="shared" si="15"/>
        <v>1</v>
      </c>
      <c r="AY31" s="79">
        <v>4</v>
      </c>
      <c r="AZ31" s="79">
        <v>5</v>
      </c>
      <c r="BA31" s="18">
        <f t="shared" si="16"/>
        <v>0</v>
      </c>
      <c r="BB31" s="79">
        <v>5</v>
      </c>
      <c r="BC31" s="79">
        <v>0</v>
      </c>
      <c r="BD31" s="18">
        <f t="shared" si="17"/>
        <v>5</v>
      </c>
      <c r="BE31" s="79">
        <v>0</v>
      </c>
      <c r="BF31" s="79">
        <v>1</v>
      </c>
      <c r="BG31" s="18">
        <f t="shared" si="18"/>
        <v>4</v>
      </c>
      <c r="BH31" s="79">
        <v>0</v>
      </c>
      <c r="BI31" s="79">
        <v>0</v>
      </c>
      <c r="BJ31" s="18">
        <f t="shared" si="19"/>
        <v>4</v>
      </c>
      <c r="BK31" s="79">
        <v>1</v>
      </c>
      <c r="BL31" s="79">
        <v>0</v>
      </c>
      <c r="BM31" s="18">
        <f t="shared" si="20"/>
        <v>5</v>
      </c>
      <c r="BN31" s="79">
        <v>0</v>
      </c>
      <c r="BO31" s="79">
        <v>0</v>
      </c>
      <c r="BP31" s="18">
        <f t="shared" si="21"/>
        <v>5</v>
      </c>
      <c r="BQ31" s="79">
        <v>0</v>
      </c>
      <c r="BR31" s="79">
        <v>0</v>
      </c>
      <c r="BS31" s="18">
        <f t="shared" si="22"/>
        <v>5</v>
      </c>
      <c r="BT31" s="79">
        <v>0</v>
      </c>
      <c r="BU31" s="79">
        <v>0</v>
      </c>
      <c r="BV31" s="18">
        <f t="shared" si="23"/>
        <v>5</v>
      </c>
      <c r="BW31" s="79">
        <v>0</v>
      </c>
      <c r="BX31" s="79">
        <v>1</v>
      </c>
      <c r="BY31" s="18">
        <f t="shared" si="24"/>
        <v>4</v>
      </c>
      <c r="BZ31" s="79">
        <v>1</v>
      </c>
      <c r="CA31" s="79">
        <v>0</v>
      </c>
      <c r="CB31" s="18">
        <f t="shared" si="25"/>
        <v>5</v>
      </c>
      <c r="CC31" s="79">
        <v>0</v>
      </c>
      <c r="CD31" s="79">
        <v>0</v>
      </c>
      <c r="CE31" s="18">
        <f t="shared" si="26"/>
        <v>5</v>
      </c>
      <c r="CF31" s="79">
        <v>0</v>
      </c>
      <c r="CG31" s="79">
        <v>0</v>
      </c>
      <c r="CH31" s="18">
        <f t="shared" si="27"/>
        <v>5</v>
      </c>
      <c r="CI31" s="79">
        <v>0</v>
      </c>
      <c r="CJ31" s="79"/>
      <c r="CK31" s="79">
        <v>4</v>
      </c>
      <c r="CL31" s="79">
        <v>3</v>
      </c>
      <c r="CM31" s="79">
        <v>3</v>
      </c>
      <c r="CN31" s="80">
        <f t="shared" si="30"/>
        <v>4</v>
      </c>
      <c r="CO31" s="79">
        <v>0</v>
      </c>
      <c r="CP31" s="79">
        <v>0</v>
      </c>
      <c r="CQ31" s="125">
        <f t="shared" si="56"/>
        <v>4</v>
      </c>
      <c r="CR31" s="128">
        <v>0</v>
      </c>
      <c r="CS31" s="128">
        <v>0</v>
      </c>
      <c r="CT31" s="128">
        <f t="shared" si="58"/>
        <v>4</v>
      </c>
      <c r="CU31" s="128">
        <v>0</v>
      </c>
      <c r="CV31" s="128">
        <v>0</v>
      </c>
      <c r="CW31" s="128">
        <f t="shared" si="31"/>
        <v>4</v>
      </c>
      <c r="CX31" s="128"/>
      <c r="CY31" s="128"/>
      <c r="CZ31" s="128">
        <f t="shared" si="32"/>
        <v>4</v>
      </c>
      <c r="DA31" s="128"/>
      <c r="DB31" s="128"/>
      <c r="DC31" s="128">
        <f t="shared" si="33"/>
        <v>4</v>
      </c>
      <c r="DD31" s="128"/>
      <c r="DE31" s="128"/>
      <c r="DF31" s="215">
        <f t="shared" si="34"/>
        <v>4</v>
      </c>
      <c r="DG31" s="128"/>
      <c r="DH31" s="128"/>
      <c r="DI31" s="128">
        <f t="shared" si="35"/>
        <v>4</v>
      </c>
      <c r="DJ31" s="128"/>
      <c r="DK31" s="128"/>
      <c r="DL31" s="128">
        <f t="shared" si="36"/>
        <v>4</v>
      </c>
      <c r="DM31" s="128"/>
      <c r="DN31" s="128"/>
      <c r="DO31" s="215">
        <f t="shared" si="37"/>
        <v>4</v>
      </c>
      <c r="DP31" s="128"/>
      <c r="DQ31" s="128"/>
      <c r="DR31" s="215">
        <f t="shared" si="38"/>
        <v>4</v>
      </c>
      <c r="DS31" s="128"/>
      <c r="DT31" s="128"/>
      <c r="DU31" s="215">
        <f t="shared" si="39"/>
        <v>4</v>
      </c>
      <c r="DV31" s="128"/>
      <c r="DW31" s="128"/>
      <c r="DX31" s="215">
        <f t="shared" si="40"/>
        <v>4</v>
      </c>
      <c r="DY31" s="128"/>
      <c r="DZ31" s="128"/>
      <c r="EA31" s="215">
        <f t="shared" si="41"/>
        <v>4</v>
      </c>
      <c r="EB31" s="128"/>
      <c r="EC31" s="128"/>
      <c r="ED31" s="215">
        <f t="shared" si="42"/>
        <v>4</v>
      </c>
      <c r="EE31" s="128"/>
      <c r="EF31" s="128"/>
      <c r="EG31" s="215">
        <f t="shared" si="43"/>
        <v>4</v>
      </c>
      <c r="EH31" s="128"/>
      <c r="EI31" s="128"/>
      <c r="EJ31" s="215">
        <f t="shared" si="57"/>
        <v>4</v>
      </c>
      <c r="EK31" s="128"/>
      <c r="EL31" s="128">
        <v>1</v>
      </c>
      <c r="EM31" s="215">
        <f t="shared" si="44"/>
        <v>3</v>
      </c>
      <c r="EN31" s="128"/>
      <c r="EO31" s="128"/>
      <c r="EP31" s="215">
        <f t="shared" si="45"/>
        <v>3</v>
      </c>
      <c r="EQ31" s="128"/>
      <c r="ER31" s="128"/>
      <c r="ES31" s="128">
        <f t="shared" si="46"/>
        <v>3</v>
      </c>
      <c r="ET31" s="128"/>
      <c r="EU31" s="128"/>
      <c r="EV31" s="128">
        <f t="shared" si="47"/>
        <v>3</v>
      </c>
      <c r="EW31" s="128"/>
      <c r="EX31" s="128"/>
      <c r="EY31" s="128">
        <f t="shared" si="48"/>
        <v>3</v>
      </c>
      <c r="EZ31" s="128"/>
      <c r="FA31" s="128"/>
      <c r="FB31" s="128">
        <f t="shared" si="49"/>
        <v>3</v>
      </c>
      <c r="FC31" s="128"/>
      <c r="FD31" s="215"/>
      <c r="FE31" s="128">
        <f t="shared" si="50"/>
        <v>3</v>
      </c>
      <c r="FF31" s="128"/>
      <c r="FG31" s="128"/>
      <c r="FH31" s="128">
        <f t="shared" si="51"/>
        <v>3</v>
      </c>
      <c r="FI31" s="128"/>
      <c r="FJ31" s="128"/>
      <c r="FK31" s="128">
        <f t="shared" si="52"/>
        <v>3</v>
      </c>
      <c r="FL31" s="128"/>
      <c r="FM31" s="128"/>
      <c r="FN31" s="128">
        <f t="shared" si="28"/>
        <v>3</v>
      </c>
      <c r="FO31" s="128"/>
      <c r="FP31" s="128"/>
      <c r="FQ31" s="128">
        <f t="shared" si="53"/>
        <v>3</v>
      </c>
      <c r="FR31" s="128"/>
      <c r="FS31" s="128"/>
      <c r="FT31" s="128">
        <f t="shared" si="59"/>
        <v>3</v>
      </c>
      <c r="FU31" s="128"/>
      <c r="FV31" s="128"/>
      <c r="FW31" s="128">
        <f t="shared" si="55"/>
        <v>3</v>
      </c>
    </row>
    <row r="32" spans="1:192" ht="12.75" x14ac:dyDescent="0.2">
      <c r="A32" s="5" t="s">
        <v>106</v>
      </c>
      <c r="B32" s="29">
        <f>'INV. FEB'!BX32</f>
        <v>0</v>
      </c>
      <c r="C32" s="10">
        <v>0</v>
      </c>
      <c r="D32" s="10">
        <v>0</v>
      </c>
      <c r="E32" s="9">
        <f t="shared" si="0"/>
        <v>0</v>
      </c>
      <c r="F32" s="10">
        <v>0</v>
      </c>
      <c r="G32" s="10">
        <v>0</v>
      </c>
      <c r="H32" s="9">
        <f t="shared" si="1"/>
        <v>0</v>
      </c>
      <c r="I32" s="10">
        <v>0</v>
      </c>
      <c r="J32" s="10">
        <v>0</v>
      </c>
      <c r="K32" s="9">
        <f t="shared" si="2"/>
        <v>0</v>
      </c>
      <c r="L32" s="10">
        <v>0</v>
      </c>
      <c r="M32" s="10">
        <v>0</v>
      </c>
      <c r="N32" s="9">
        <f t="shared" si="3"/>
        <v>0</v>
      </c>
      <c r="O32" s="10">
        <v>0</v>
      </c>
      <c r="P32" s="10">
        <v>0</v>
      </c>
      <c r="Q32" s="9">
        <f t="shared" si="4"/>
        <v>0</v>
      </c>
      <c r="R32" s="10">
        <v>0</v>
      </c>
      <c r="S32" s="10">
        <v>0</v>
      </c>
      <c r="T32" s="9">
        <f t="shared" si="5"/>
        <v>0</v>
      </c>
      <c r="U32" s="10">
        <v>0</v>
      </c>
      <c r="V32" s="10">
        <v>0</v>
      </c>
      <c r="W32" s="9">
        <f t="shared" si="6"/>
        <v>0</v>
      </c>
      <c r="X32" s="10">
        <v>0</v>
      </c>
      <c r="Y32" s="10">
        <v>0</v>
      </c>
      <c r="Z32" s="9">
        <f t="shared" si="7"/>
        <v>0</v>
      </c>
      <c r="AA32" s="78">
        <v>0</v>
      </c>
      <c r="AB32" s="78">
        <v>0</v>
      </c>
      <c r="AC32" s="18">
        <f t="shared" si="8"/>
        <v>0</v>
      </c>
      <c r="AD32" s="78">
        <v>0</v>
      </c>
      <c r="AE32" s="78">
        <v>0</v>
      </c>
      <c r="AF32" s="18">
        <f t="shared" si="9"/>
        <v>0</v>
      </c>
      <c r="AG32" s="78">
        <v>0</v>
      </c>
      <c r="AH32" s="78">
        <v>0</v>
      </c>
      <c r="AI32" s="18">
        <f t="shared" si="10"/>
        <v>0</v>
      </c>
      <c r="AJ32" s="78">
        <v>0</v>
      </c>
      <c r="AK32" s="78">
        <v>0</v>
      </c>
      <c r="AL32" s="18">
        <f t="shared" si="11"/>
        <v>0</v>
      </c>
      <c r="AM32" s="78">
        <v>0</v>
      </c>
      <c r="AN32" s="78">
        <v>0</v>
      </c>
      <c r="AO32" s="18">
        <f t="shared" si="12"/>
        <v>0</v>
      </c>
      <c r="AP32" s="78">
        <v>0</v>
      </c>
      <c r="AQ32" s="78">
        <v>0</v>
      </c>
      <c r="AR32" s="18">
        <f t="shared" si="13"/>
        <v>0</v>
      </c>
      <c r="AS32" s="79">
        <v>0</v>
      </c>
      <c r="AT32" s="79">
        <v>0</v>
      </c>
      <c r="AU32" s="18">
        <f t="shared" si="14"/>
        <v>0</v>
      </c>
      <c r="AV32" s="79">
        <v>0</v>
      </c>
      <c r="AW32" s="79">
        <v>0</v>
      </c>
      <c r="AX32" s="18">
        <f t="shared" si="15"/>
        <v>0</v>
      </c>
      <c r="AY32" s="79">
        <v>0</v>
      </c>
      <c r="AZ32" s="79">
        <v>0</v>
      </c>
      <c r="BA32" s="18">
        <f t="shared" si="16"/>
        <v>0</v>
      </c>
      <c r="BB32" s="79">
        <v>0</v>
      </c>
      <c r="BC32" s="79">
        <v>0</v>
      </c>
      <c r="BD32" s="18">
        <f t="shared" si="17"/>
        <v>0</v>
      </c>
      <c r="BE32" s="79">
        <v>0</v>
      </c>
      <c r="BF32" s="79">
        <v>0</v>
      </c>
      <c r="BG32" s="18">
        <f t="shared" si="18"/>
        <v>0</v>
      </c>
      <c r="BH32" s="79">
        <v>0</v>
      </c>
      <c r="BI32" s="79">
        <v>0</v>
      </c>
      <c r="BJ32" s="18">
        <f t="shared" si="19"/>
        <v>0</v>
      </c>
      <c r="BK32" s="79">
        <v>0</v>
      </c>
      <c r="BL32" s="79">
        <v>0</v>
      </c>
      <c r="BM32" s="18">
        <f t="shared" si="20"/>
        <v>0</v>
      </c>
      <c r="BN32" s="79">
        <v>0</v>
      </c>
      <c r="BO32" s="79">
        <v>0</v>
      </c>
      <c r="BP32" s="18">
        <f t="shared" si="21"/>
        <v>0</v>
      </c>
      <c r="BQ32" s="79">
        <v>0</v>
      </c>
      <c r="BR32" s="79">
        <v>0</v>
      </c>
      <c r="BS32" s="18">
        <f t="shared" si="22"/>
        <v>0</v>
      </c>
      <c r="BT32" s="79">
        <v>0</v>
      </c>
      <c r="BU32" s="79">
        <v>0</v>
      </c>
      <c r="BV32" s="18">
        <f t="shared" si="23"/>
        <v>0</v>
      </c>
      <c r="BW32" s="79">
        <v>0</v>
      </c>
      <c r="BX32" s="79">
        <v>2</v>
      </c>
      <c r="BY32" s="18">
        <f t="shared" si="24"/>
        <v>-2</v>
      </c>
      <c r="BZ32" s="79">
        <v>2</v>
      </c>
      <c r="CA32" s="79">
        <v>0</v>
      </c>
      <c r="CB32" s="18">
        <f t="shared" si="25"/>
        <v>0</v>
      </c>
      <c r="CC32" s="79">
        <v>0</v>
      </c>
      <c r="CD32" s="79">
        <v>0</v>
      </c>
      <c r="CE32" s="18">
        <f t="shared" si="26"/>
        <v>0</v>
      </c>
      <c r="CF32" s="79">
        <v>0</v>
      </c>
      <c r="CG32" s="79">
        <v>0</v>
      </c>
      <c r="CH32" s="18">
        <f t="shared" si="27"/>
        <v>0</v>
      </c>
      <c r="CI32" s="79">
        <v>0</v>
      </c>
      <c r="CJ32" s="79">
        <v>0</v>
      </c>
      <c r="CK32" s="79">
        <f t="shared" si="29"/>
        <v>0</v>
      </c>
      <c r="CL32" s="79">
        <v>0</v>
      </c>
      <c r="CM32" s="79">
        <v>0</v>
      </c>
      <c r="CN32" s="80">
        <f t="shared" si="30"/>
        <v>0</v>
      </c>
      <c r="CO32" s="79">
        <v>0</v>
      </c>
      <c r="CP32" s="79">
        <v>0</v>
      </c>
      <c r="CQ32" s="125">
        <f t="shared" si="56"/>
        <v>0</v>
      </c>
      <c r="CR32" s="128">
        <v>0</v>
      </c>
      <c r="CS32" s="128">
        <v>0</v>
      </c>
      <c r="CT32" s="128">
        <f t="shared" si="58"/>
        <v>0</v>
      </c>
      <c r="CU32" s="128">
        <v>0</v>
      </c>
      <c r="CV32" s="128">
        <v>0</v>
      </c>
      <c r="CW32" s="128">
        <f t="shared" si="31"/>
        <v>0</v>
      </c>
      <c r="CX32" s="128"/>
      <c r="CY32" s="128"/>
      <c r="CZ32" s="128">
        <f t="shared" si="32"/>
        <v>0</v>
      </c>
      <c r="DA32" s="128"/>
      <c r="DB32" s="128"/>
      <c r="DC32" s="128">
        <f t="shared" si="33"/>
        <v>0</v>
      </c>
      <c r="DD32" s="128"/>
      <c r="DE32" s="128"/>
      <c r="DF32" s="215">
        <f t="shared" si="34"/>
        <v>0</v>
      </c>
      <c r="DG32" s="128"/>
      <c r="DH32" s="128"/>
      <c r="DI32" s="128">
        <f t="shared" si="35"/>
        <v>0</v>
      </c>
      <c r="DJ32" s="128"/>
      <c r="DK32" s="128"/>
      <c r="DL32" s="128">
        <f t="shared" si="36"/>
        <v>0</v>
      </c>
      <c r="DM32" s="128"/>
      <c r="DN32" s="128"/>
      <c r="DO32" s="215">
        <f t="shared" si="37"/>
        <v>0</v>
      </c>
      <c r="DP32" s="128"/>
      <c r="DQ32" s="128"/>
      <c r="DR32" s="215">
        <f t="shared" si="38"/>
        <v>0</v>
      </c>
      <c r="DS32" s="128"/>
      <c r="DT32" s="128"/>
      <c r="DU32" s="215">
        <f t="shared" si="39"/>
        <v>0</v>
      </c>
      <c r="DV32" s="128"/>
      <c r="DW32" s="128"/>
      <c r="DX32" s="215">
        <f t="shared" si="40"/>
        <v>0</v>
      </c>
      <c r="DY32" s="128"/>
      <c r="DZ32" s="128"/>
      <c r="EA32" s="215">
        <f t="shared" si="41"/>
        <v>0</v>
      </c>
      <c r="EB32" s="128"/>
      <c r="EC32" s="128"/>
      <c r="ED32" s="215">
        <f t="shared" si="42"/>
        <v>0</v>
      </c>
      <c r="EE32" s="128"/>
      <c r="EF32" s="128"/>
      <c r="EG32" s="215">
        <f t="shared" si="43"/>
        <v>0</v>
      </c>
      <c r="EH32" s="128"/>
      <c r="EI32" s="128"/>
      <c r="EJ32" s="215">
        <f t="shared" si="57"/>
        <v>0</v>
      </c>
      <c r="EK32" s="128"/>
      <c r="EL32" s="128"/>
      <c r="EM32" s="215">
        <f t="shared" si="44"/>
        <v>0</v>
      </c>
      <c r="EN32" s="128"/>
      <c r="EO32" s="128"/>
      <c r="EP32" s="215">
        <f t="shared" si="45"/>
        <v>0</v>
      </c>
      <c r="EQ32" s="128"/>
      <c r="ER32" s="128"/>
      <c r="ES32" s="128">
        <f t="shared" si="46"/>
        <v>0</v>
      </c>
      <c r="ET32" s="128"/>
      <c r="EU32" s="128"/>
      <c r="EV32" s="128">
        <f t="shared" si="47"/>
        <v>0</v>
      </c>
      <c r="EW32" s="128"/>
      <c r="EX32" s="128"/>
      <c r="EY32" s="128">
        <f t="shared" si="48"/>
        <v>0</v>
      </c>
      <c r="EZ32" s="128"/>
      <c r="FA32" s="128"/>
      <c r="FB32" s="128">
        <f t="shared" si="49"/>
        <v>0</v>
      </c>
      <c r="FC32" s="128"/>
      <c r="FD32" s="215"/>
      <c r="FE32" s="128">
        <f t="shared" si="50"/>
        <v>0</v>
      </c>
      <c r="FF32" s="128"/>
      <c r="FG32" s="128"/>
      <c r="FH32" s="128">
        <f t="shared" si="51"/>
        <v>0</v>
      </c>
      <c r="FI32" s="128"/>
      <c r="FJ32" s="128"/>
      <c r="FK32" s="128">
        <f t="shared" si="52"/>
        <v>0</v>
      </c>
      <c r="FL32" s="128"/>
      <c r="FM32" s="128"/>
      <c r="FN32" s="128">
        <f t="shared" si="28"/>
        <v>0</v>
      </c>
      <c r="FO32" s="128"/>
      <c r="FP32" s="128"/>
      <c r="FQ32" s="128">
        <f t="shared" si="53"/>
        <v>0</v>
      </c>
      <c r="FR32" s="128"/>
      <c r="FS32" s="128"/>
      <c r="FT32" s="128">
        <f t="shared" si="59"/>
        <v>0</v>
      </c>
      <c r="FU32" s="128"/>
      <c r="FV32" s="128"/>
      <c r="FW32" s="128">
        <f t="shared" si="55"/>
        <v>0</v>
      </c>
    </row>
    <row r="33" spans="1:192" ht="12.75" x14ac:dyDescent="0.2">
      <c r="A33" s="274" t="s">
        <v>107</v>
      </c>
      <c r="B33" s="29">
        <f>'INV. FEB'!BX33</f>
        <v>0</v>
      </c>
      <c r="C33" s="10">
        <v>0</v>
      </c>
      <c r="D33" s="10">
        <v>0</v>
      </c>
      <c r="E33" s="9">
        <f t="shared" si="0"/>
        <v>0</v>
      </c>
      <c r="F33" s="10">
        <v>0</v>
      </c>
      <c r="G33" s="10">
        <v>0</v>
      </c>
      <c r="H33" s="9">
        <f t="shared" si="1"/>
        <v>0</v>
      </c>
      <c r="I33" s="10">
        <v>0</v>
      </c>
      <c r="J33" s="10">
        <v>0</v>
      </c>
      <c r="K33" s="9">
        <f t="shared" si="2"/>
        <v>0</v>
      </c>
      <c r="L33" s="10">
        <v>0</v>
      </c>
      <c r="M33" s="10">
        <v>0</v>
      </c>
      <c r="N33" s="9">
        <f t="shared" si="3"/>
        <v>0</v>
      </c>
      <c r="O33" s="10">
        <v>0</v>
      </c>
      <c r="P33" s="10">
        <v>0</v>
      </c>
      <c r="Q33" s="9">
        <f t="shared" si="4"/>
        <v>0</v>
      </c>
      <c r="R33" s="10">
        <v>0</v>
      </c>
      <c r="S33" s="10">
        <v>0</v>
      </c>
      <c r="T33" s="9">
        <f t="shared" si="5"/>
        <v>0</v>
      </c>
      <c r="U33" s="10">
        <v>0</v>
      </c>
      <c r="V33" s="10">
        <v>0</v>
      </c>
      <c r="W33" s="9">
        <f t="shared" si="6"/>
        <v>0</v>
      </c>
      <c r="X33" s="10">
        <v>0</v>
      </c>
      <c r="Y33" s="10">
        <v>0</v>
      </c>
      <c r="Z33" s="9">
        <f t="shared" si="7"/>
        <v>0</v>
      </c>
      <c r="AA33" s="78">
        <v>0</v>
      </c>
      <c r="AB33" s="78">
        <v>0</v>
      </c>
      <c r="AC33" s="18">
        <f t="shared" si="8"/>
        <v>0</v>
      </c>
      <c r="AD33" s="78">
        <v>0</v>
      </c>
      <c r="AE33" s="78">
        <v>0</v>
      </c>
      <c r="AF33" s="18">
        <f t="shared" si="9"/>
        <v>0</v>
      </c>
      <c r="AG33" s="78">
        <v>0</v>
      </c>
      <c r="AH33" s="78">
        <v>0</v>
      </c>
      <c r="AI33" s="18">
        <f t="shared" si="10"/>
        <v>0</v>
      </c>
      <c r="AJ33" s="78">
        <v>0</v>
      </c>
      <c r="AK33" s="78">
        <v>0</v>
      </c>
      <c r="AL33" s="18">
        <f t="shared" si="11"/>
        <v>0</v>
      </c>
      <c r="AM33" s="78">
        <v>0</v>
      </c>
      <c r="AN33" s="78">
        <v>0</v>
      </c>
      <c r="AO33" s="18">
        <f t="shared" si="12"/>
        <v>0</v>
      </c>
      <c r="AP33" s="78">
        <v>0</v>
      </c>
      <c r="AQ33" s="78">
        <v>0</v>
      </c>
      <c r="AR33" s="18">
        <f t="shared" si="13"/>
        <v>0</v>
      </c>
      <c r="AS33" s="79">
        <v>0</v>
      </c>
      <c r="AT33" s="79">
        <v>0</v>
      </c>
      <c r="AU33" s="18">
        <f t="shared" si="14"/>
        <v>0</v>
      </c>
      <c r="AV33" s="79">
        <v>0</v>
      </c>
      <c r="AW33" s="79">
        <v>0</v>
      </c>
      <c r="AX33" s="18">
        <f t="shared" si="15"/>
        <v>0</v>
      </c>
      <c r="AY33" s="79">
        <v>0</v>
      </c>
      <c r="AZ33" s="79">
        <v>0</v>
      </c>
      <c r="BA33" s="18">
        <f t="shared" si="16"/>
        <v>0</v>
      </c>
      <c r="BB33" s="79">
        <v>0</v>
      </c>
      <c r="BC33" s="79">
        <v>0</v>
      </c>
      <c r="BD33" s="18">
        <f t="shared" si="17"/>
        <v>0</v>
      </c>
      <c r="BE33" s="79">
        <v>0</v>
      </c>
      <c r="BF33" s="79">
        <v>0</v>
      </c>
      <c r="BG33" s="18">
        <f t="shared" si="18"/>
        <v>0</v>
      </c>
      <c r="BH33" s="79">
        <v>0</v>
      </c>
      <c r="BI33" s="79">
        <v>0</v>
      </c>
      <c r="BJ33" s="18">
        <f t="shared" si="19"/>
        <v>0</v>
      </c>
      <c r="BK33" s="79">
        <v>0</v>
      </c>
      <c r="BL33" s="79">
        <v>0</v>
      </c>
      <c r="BM33" s="18">
        <f t="shared" si="20"/>
        <v>0</v>
      </c>
      <c r="BN33" s="79">
        <v>0</v>
      </c>
      <c r="BO33" s="79">
        <v>0</v>
      </c>
      <c r="BP33" s="18">
        <f t="shared" si="21"/>
        <v>0</v>
      </c>
      <c r="BQ33" s="79">
        <v>0</v>
      </c>
      <c r="BR33" s="79">
        <v>0</v>
      </c>
      <c r="BS33" s="18">
        <f t="shared" si="22"/>
        <v>0</v>
      </c>
      <c r="BT33" s="79">
        <v>0</v>
      </c>
      <c r="BU33" s="79">
        <v>0</v>
      </c>
      <c r="BV33" s="18">
        <f t="shared" si="23"/>
        <v>0</v>
      </c>
      <c r="BW33" s="79">
        <v>0</v>
      </c>
      <c r="BX33" s="79">
        <v>0</v>
      </c>
      <c r="BY33" s="18">
        <f t="shared" si="24"/>
        <v>0</v>
      </c>
      <c r="BZ33" s="79">
        <v>0</v>
      </c>
      <c r="CA33" s="79">
        <v>0</v>
      </c>
      <c r="CB33" s="18">
        <f t="shared" si="25"/>
        <v>0</v>
      </c>
      <c r="CC33" s="79">
        <v>0</v>
      </c>
      <c r="CD33" s="79">
        <v>0</v>
      </c>
      <c r="CE33" s="18">
        <f t="shared" si="26"/>
        <v>0</v>
      </c>
      <c r="CF33" s="79">
        <v>0</v>
      </c>
      <c r="CG33" s="79">
        <v>0</v>
      </c>
      <c r="CH33" s="18">
        <f t="shared" si="27"/>
        <v>0</v>
      </c>
      <c r="CI33" s="79">
        <v>0</v>
      </c>
      <c r="CJ33" s="79">
        <v>0</v>
      </c>
      <c r="CK33" s="79">
        <f t="shared" si="29"/>
        <v>0</v>
      </c>
      <c r="CL33" s="79">
        <v>0</v>
      </c>
      <c r="CM33" s="79">
        <v>0</v>
      </c>
      <c r="CN33" s="80">
        <f t="shared" si="30"/>
        <v>0</v>
      </c>
      <c r="CO33" s="79">
        <v>0</v>
      </c>
      <c r="CP33" s="79">
        <v>0</v>
      </c>
      <c r="CQ33" s="125">
        <f t="shared" si="56"/>
        <v>0</v>
      </c>
      <c r="CR33" s="128">
        <v>0</v>
      </c>
      <c r="CS33" s="128">
        <v>0</v>
      </c>
      <c r="CT33" s="128">
        <f t="shared" si="58"/>
        <v>0</v>
      </c>
      <c r="CU33" s="128">
        <v>0</v>
      </c>
      <c r="CV33" s="128">
        <v>0</v>
      </c>
      <c r="CW33" s="128">
        <f t="shared" si="31"/>
        <v>0</v>
      </c>
      <c r="CX33" s="128"/>
      <c r="CY33" s="128"/>
      <c r="CZ33" s="128">
        <f t="shared" si="32"/>
        <v>0</v>
      </c>
      <c r="DA33" s="128"/>
      <c r="DB33" s="128"/>
      <c r="DC33" s="128">
        <f t="shared" si="33"/>
        <v>0</v>
      </c>
      <c r="DD33" s="128"/>
      <c r="DE33" s="128"/>
      <c r="DF33" s="215">
        <f t="shared" si="34"/>
        <v>0</v>
      </c>
      <c r="DG33" s="128"/>
      <c r="DH33" s="128"/>
      <c r="DI33" s="128">
        <f t="shared" si="35"/>
        <v>0</v>
      </c>
      <c r="DJ33" s="128"/>
      <c r="DK33" s="128"/>
      <c r="DL33" s="128">
        <f t="shared" si="36"/>
        <v>0</v>
      </c>
      <c r="DM33" s="128"/>
      <c r="DN33" s="128"/>
      <c r="DO33" s="215">
        <f t="shared" si="37"/>
        <v>0</v>
      </c>
      <c r="DP33" s="128"/>
      <c r="DQ33" s="128"/>
      <c r="DR33" s="215">
        <f t="shared" si="38"/>
        <v>0</v>
      </c>
      <c r="DS33" s="128"/>
      <c r="DT33" s="128"/>
      <c r="DU33" s="215">
        <f t="shared" si="39"/>
        <v>0</v>
      </c>
      <c r="DV33" s="128"/>
      <c r="DW33" s="128"/>
      <c r="DX33" s="215">
        <f t="shared" si="40"/>
        <v>0</v>
      </c>
      <c r="DY33" s="128"/>
      <c r="DZ33" s="128"/>
      <c r="EA33" s="215">
        <f t="shared" si="41"/>
        <v>0</v>
      </c>
      <c r="EB33" s="128"/>
      <c r="EC33" s="128"/>
      <c r="ED33" s="215">
        <f t="shared" si="42"/>
        <v>0</v>
      </c>
      <c r="EE33" s="128"/>
      <c r="EF33" s="128"/>
      <c r="EG33" s="215">
        <f t="shared" si="43"/>
        <v>0</v>
      </c>
      <c r="EH33" s="128"/>
      <c r="EI33" s="128"/>
      <c r="EJ33" s="215">
        <f t="shared" si="57"/>
        <v>0</v>
      </c>
      <c r="EK33" s="128"/>
      <c r="EL33" s="128">
        <v>2</v>
      </c>
      <c r="EM33" s="215">
        <f t="shared" si="44"/>
        <v>-2</v>
      </c>
      <c r="EN33" s="128"/>
      <c r="EO33" s="128"/>
      <c r="EP33" s="215">
        <f t="shared" si="45"/>
        <v>-2</v>
      </c>
      <c r="EQ33" s="128">
        <v>4</v>
      </c>
      <c r="ER33" s="128"/>
      <c r="ES33" s="128">
        <f t="shared" si="46"/>
        <v>2</v>
      </c>
      <c r="ET33" s="128"/>
      <c r="EU33" s="128"/>
      <c r="EV33" s="128">
        <f t="shared" si="47"/>
        <v>2</v>
      </c>
      <c r="EW33" s="128"/>
      <c r="EX33" s="128"/>
      <c r="EY33" s="128">
        <f t="shared" si="48"/>
        <v>2</v>
      </c>
      <c r="EZ33" s="128"/>
      <c r="FA33" s="128"/>
      <c r="FB33" s="128">
        <f t="shared" si="49"/>
        <v>2</v>
      </c>
      <c r="FC33" s="128"/>
      <c r="FD33" s="215"/>
      <c r="FE33" s="128">
        <f t="shared" si="50"/>
        <v>2</v>
      </c>
      <c r="FF33" s="128"/>
      <c r="FG33" s="128"/>
      <c r="FH33" s="128">
        <f t="shared" si="51"/>
        <v>2</v>
      </c>
      <c r="FI33" s="128"/>
      <c r="FJ33" s="128"/>
      <c r="FK33" s="128">
        <f t="shared" si="52"/>
        <v>2</v>
      </c>
      <c r="FL33" s="128"/>
      <c r="FM33" s="128"/>
      <c r="FN33" s="128">
        <f t="shared" si="28"/>
        <v>2</v>
      </c>
      <c r="FO33" s="128"/>
      <c r="FP33" s="128"/>
      <c r="FQ33" s="128">
        <f t="shared" si="53"/>
        <v>2</v>
      </c>
      <c r="FR33" s="128"/>
      <c r="FS33" s="128"/>
      <c r="FT33" s="128">
        <f t="shared" si="59"/>
        <v>2</v>
      </c>
      <c r="FU33" s="128"/>
      <c r="FV33" s="128"/>
      <c r="FW33" s="128">
        <f t="shared" si="55"/>
        <v>2</v>
      </c>
    </row>
    <row r="34" spans="1:192" ht="12.75" x14ac:dyDescent="0.2">
      <c r="A34" s="5" t="s">
        <v>108</v>
      </c>
      <c r="B34" s="29">
        <f>'INV. FEB'!BX34</f>
        <v>0</v>
      </c>
      <c r="C34" s="10">
        <v>0</v>
      </c>
      <c r="D34" s="10">
        <v>0</v>
      </c>
      <c r="E34" s="9">
        <f t="shared" si="0"/>
        <v>0</v>
      </c>
      <c r="F34" s="10">
        <v>0</v>
      </c>
      <c r="G34" s="10">
        <v>0</v>
      </c>
      <c r="H34" s="9">
        <f t="shared" si="1"/>
        <v>0</v>
      </c>
      <c r="I34" s="10">
        <v>0</v>
      </c>
      <c r="J34" s="10">
        <v>0</v>
      </c>
      <c r="K34" s="9">
        <f t="shared" si="2"/>
        <v>0</v>
      </c>
      <c r="L34" s="10">
        <v>0</v>
      </c>
      <c r="M34" s="10">
        <v>0</v>
      </c>
      <c r="N34" s="9">
        <f t="shared" si="3"/>
        <v>0</v>
      </c>
      <c r="O34" s="10">
        <v>0</v>
      </c>
      <c r="P34" s="10">
        <v>0</v>
      </c>
      <c r="Q34" s="9">
        <f t="shared" si="4"/>
        <v>0</v>
      </c>
      <c r="R34" s="10">
        <v>0</v>
      </c>
      <c r="S34" s="10">
        <v>0</v>
      </c>
      <c r="T34" s="9">
        <f t="shared" si="5"/>
        <v>0</v>
      </c>
      <c r="U34" s="10">
        <v>0</v>
      </c>
      <c r="V34" s="10">
        <v>0</v>
      </c>
      <c r="W34" s="9">
        <f t="shared" si="6"/>
        <v>0</v>
      </c>
      <c r="X34" s="10">
        <v>0</v>
      </c>
      <c r="Y34" s="10">
        <v>0</v>
      </c>
      <c r="Z34" s="9">
        <f t="shared" si="7"/>
        <v>0</v>
      </c>
      <c r="AA34" s="78">
        <v>0</v>
      </c>
      <c r="AB34" s="78">
        <v>0</v>
      </c>
      <c r="AC34" s="18">
        <f t="shared" si="8"/>
        <v>0</v>
      </c>
      <c r="AD34" s="78">
        <v>0</v>
      </c>
      <c r="AE34" s="78">
        <v>0</v>
      </c>
      <c r="AF34" s="18">
        <f t="shared" si="9"/>
        <v>0</v>
      </c>
      <c r="AG34" s="78">
        <v>0</v>
      </c>
      <c r="AH34" s="78">
        <v>0</v>
      </c>
      <c r="AI34" s="18">
        <f t="shared" si="10"/>
        <v>0</v>
      </c>
      <c r="AJ34" s="78">
        <v>0</v>
      </c>
      <c r="AK34" s="78">
        <v>0</v>
      </c>
      <c r="AL34" s="18">
        <f t="shared" si="11"/>
        <v>0</v>
      </c>
      <c r="AM34" s="78">
        <v>0</v>
      </c>
      <c r="AN34" s="78">
        <v>0</v>
      </c>
      <c r="AO34" s="18">
        <f t="shared" si="12"/>
        <v>0</v>
      </c>
      <c r="AP34" s="78">
        <v>0</v>
      </c>
      <c r="AQ34" s="78">
        <v>0</v>
      </c>
      <c r="AR34" s="18">
        <f t="shared" si="13"/>
        <v>0</v>
      </c>
      <c r="AS34" s="79">
        <v>0</v>
      </c>
      <c r="AT34" s="79">
        <v>0</v>
      </c>
      <c r="AU34" s="18">
        <f t="shared" si="14"/>
        <v>0</v>
      </c>
      <c r="AV34" s="79">
        <v>0</v>
      </c>
      <c r="AW34" s="79">
        <v>0</v>
      </c>
      <c r="AX34" s="18">
        <f t="shared" si="15"/>
        <v>0</v>
      </c>
      <c r="AY34" s="79">
        <v>0</v>
      </c>
      <c r="AZ34" s="79">
        <v>0</v>
      </c>
      <c r="BA34" s="18">
        <f t="shared" si="16"/>
        <v>0</v>
      </c>
      <c r="BB34" s="79">
        <v>0</v>
      </c>
      <c r="BC34" s="79">
        <v>0</v>
      </c>
      <c r="BD34" s="18">
        <f t="shared" si="17"/>
        <v>0</v>
      </c>
      <c r="BE34" s="79">
        <v>0</v>
      </c>
      <c r="BF34" s="79">
        <v>0</v>
      </c>
      <c r="BG34" s="18">
        <f t="shared" si="18"/>
        <v>0</v>
      </c>
      <c r="BH34" s="79">
        <v>0</v>
      </c>
      <c r="BI34" s="79">
        <v>0</v>
      </c>
      <c r="BJ34" s="18">
        <f t="shared" si="19"/>
        <v>0</v>
      </c>
      <c r="BK34" s="79">
        <v>0</v>
      </c>
      <c r="BL34" s="79">
        <v>0</v>
      </c>
      <c r="BM34" s="18">
        <f t="shared" si="20"/>
        <v>0</v>
      </c>
      <c r="BN34" s="79">
        <v>0</v>
      </c>
      <c r="BO34" s="79">
        <v>0</v>
      </c>
      <c r="BP34" s="18">
        <f t="shared" si="21"/>
        <v>0</v>
      </c>
      <c r="BQ34" s="79">
        <v>0</v>
      </c>
      <c r="BR34" s="79">
        <v>0</v>
      </c>
      <c r="BS34" s="18">
        <f t="shared" si="22"/>
        <v>0</v>
      </c>
      <c r="BT34" s="79">
        <v>0</v>
      </c>
      <c r="BU34" s="79">
        <v>0</v>
      </c>
      <c r="BV34" s="18">
        <f t="shared" si="23"/>
        <v>0</v>
      </c>
      <c r="BW34" s="79">
        <v>0</v>
      </c>
      <c r="BX34" s="79">
        <v>0</v>
      </c>
      <c r="BY34" s="18">
        <f t="shared" si="24"/>
        <v>0</v>
      </c>
      <c r="BZ34" s="79">
        <v>0</v>
      </c>
      <c r="CA34" s="79">
        <v>0</v>
      </c>
      <c r="CB34" s="18">
        <f t="shared" si="25"/>
        <v>0</v>
      </c>
      <c r="CC34" s="79">
        <v>0</v>
      </c>
      <c r="CD34" s="79">
        <v>0</v>
      </c>
      <c r="CE34" s="18">
        <f t="shared" si="26"/>
        <v>0</v>
      </c>
      <c r="CF34" s="79">
        <v>0</v>
      </c>
      <c r="CG34" s="79">
        <v>0</v>
      </c>
      <c r="CH34" s="18">
        <f t="shared" si="27"/>
        <v>0</v>
      </c>
      <c r="CI34" s="79">
        <v>0</v>
      </c>
      <c r="CJ34" s="79">
        <v>0</v>
      </c>
      <c r="CK34" s="79">
        <f t="shared" si="29"/>
        <v>0</v>
      </c>
      <c r="CL34" s="79">
        <v>0</v>
      </c>
      <c r="CM34" s="79">
        <v>0</v>
      </c>
      <c r="CN34" s="80">
        <f t="shared" si="30"/>
        <v>0</v>
      </c>
      <c r="CO34" s="79">
        <v>0</v>
      </c>
      <c r="CP34" s="79">
        <v>0</v>
      </c>
      <c r="CQ34" s="125">
        <f t="shared" si="56"/>
        <v>0</v>
      </c>
      <c r="CR34" s="128">
        <v>0</v>
      </c>
      <c r="CS34" s="128">
        <v>0</v>
      </c>
      <c r="CT34" s="128">
        <f t="shared" si="58"/>
        <v>0</v>
      </c>
      <c r="CU34" s="128">
        <v>0</v>
      </c>
      <c r="CV34" s="128">
        <v>0</v>
      </c>
      <c r="CW34" s="128">
        <f t="shared" si="31"/>
        <v>0</v>
      </c>
      <c r="CX34" s="128"/>
      <c r="CY34" s="128"/>
      <c r="CZ34" s="128">
        <f t="shared" si="32"/>
        <v>0</v>
      </c>
      <c r="DA34" s="128"/>
      <c r="DB34" s="128"/>
      <c r="DC34" s="128">
        <f t="shared" si="33"/>
        <v>0</v>
      </c>
      <c r="DD34" s="128"/>
      <c r="DE34" s="128"/>
      <c r="DF34" s="215">
        <f t="shared" si="34"/>
        <v>0</v>
      </c>
      <c r="DG34" s="128"/>
      <c r="DH34" s="128"/>
      <c r="DI34" s="128">
        <f t="shared" si="35"/>
        <v>0</v>
      </c>
      <c r="DJ34" s="128"/>
      <c r="DK34" s="128"/>
      <c r="DL34" s="128">
        <f t="shared" si="36"/>
        <v>0</v>
      </c>
      <c r="DM34" s="128"/>
      <c r="DN34" s="128"/>
      <c r="DO34" s="215">
        <f t="shared" si="37"/>
        <v>0</v>
      </c>
      <c r="DP34" s="128"/>
      <c r="DQ34" s="128"/>
      <c r="DR34" s="215">
        <f t="shared" si="38"/>
        <v>0</v>
      </c>
      <c r="DS34" s="128"/>
      <c r="DT34" s="128"/>
      <c r="DU34" s="215">
        <f t="shared" si="39"/>
        <v>0</v>
      </c>
      <c r="DV34" s="128"/>
      <c r="DW34" s="128"/>
      <c r="DX34" s="215">
        <f t="shared" si="40"/>
        <v>0</v>
      </c>
      <c r="DY34" s="128"/>
      <c r="DZ34" s="128"/>
      <c r="EA34" s="215">
        <f t="shared" si="41"/>
        <v>0</v>
      </c>
      <c r="EB34" s="128"/>
      <c r="EC34" s="128"/>
      <c r="ED34" s="215">
        <f t="shared" si="42"/>
        <v>0</v>
      </c>
      <c r="EE34" s="128"/>
      <c r="EF34" s="128"/>
      <c r="EG34" s="215">
        <f t="shared" si="43"/>
        <v>0</v>
      </c>
      <c r="EH34" s="128"/>
      <c r="EI34" s="128"/>
      <c r="EJ34" s="215">
        <f t="shared" si="57"/>
        <v>0</v>
      </c>
      <c r="EK34" s="128"/>
      <c r="EL34" s="128"/>
      <c r="EM34" s="215">
        <f t="shared" si="44"/>
        <v>0</v>
      </c>
      <c r="EN34" s="128"/>
      <c r="EO34" s="128"/>
      <c r="EP34" s="215">
        <f t="shared" si="45"/>
        <v>0</v>
      </c>
      <c r="EQ34" s="128"/>
      <c r="ER34" s="128"/>
      <c r="ES34" s="128">
        <f t="shared" si="46"/>
        <v>0</v>
      </c>
      <c r="ET34" s="128"/>
      <c r="EU34" s="128"/>
      <c r="EV34" s="128">
        <f t="shared" si="47"/>
        <v>0</v>
      </c>
      <c r="EW34" s="128"/>
      <c r="EX34" s="128"/>
      <c r="EY34" s="128">
        <f t="shared" si="48"/>
        <v>0</v>
      </c>
      <c r="EZ34" s="128"/>
      <c r="FA34" s="128"/>
      <c r="FB34" s="128">
        <f t="shared" si="49"/>
        <v>0</v>
      </c>
      <c r="FC34" s="128"/>
      <c r="FD34" s="215"/>
      <c r="FE34" s="128">
        <f t="shared" si="50"/>
        <v>0</v>
      </c>
      <c r="FF34" s="128"/>
      <c r="FG34" s="128"/>
      <c r="FH34" s="128">
        <f t="shared" si="51"/>
        <v>0</v>
      </c>
      <c r="FI34" s="128"/>
      <c r="FJ34" s="128"/>
      <c r="FK34" s="128">
        <f t="shared" si="52"/>
        <v>0</v>
      </c>
      <c r="FL34" s="128"/>
      <c r="FM34" s="128"/>
      <c r="FN34" s="128">
        <f t="shared" si="28"/>
        <v>0</v>
      </c>
      <c r="FO34" s="128"/>
      <c r="FP34" s="128"/>
      <c r="FQ34" s="128">
        <f t="shared" si="53"/>
        <v>0</v>
      </c>
      <c r="FR34" s="128"/>
      <c r="FS34" s="128"/>
      <c r="FT34" s="128">
        <f t="shared" si="59"/>
        <v>0</v>
      </c>
      <c r="FU34" s="128"/>
      <c r="FV34" s="128"/>
      <c r="FW34" s="128">
        <f t="shared" si="55"/>
        <v>0</v>
      </c>
    </row>
    <row r="35" spans="1:192" ht="12.75" x14ac:dyDescent="0.2">
      <c r="A35" s="13" t="s">
        <v>109</v>
      </c>
      <c r="B35" s="29">
        <f>'INV. FEB'!BX35</f>
        <v>2</v>
      </c>
      <c r="C35" s="10">
        <v>0</v>
      </c>
      <c r="D35" s="10">
        <v>0</v>
      </c>
      <c r="E35" s="9">
        <f t="shared" si="0"/>
        <v>2</v>
      </c>
      <c r="F35" s="10">
        <v>0</v>
      </c>
      <c r="G35" s="10">
        <v>0</v>
      </c>
      <c r="H35" s="9">
        <f t="shared" si="1"/>
        <v>2</v>
      </c>
      <c r="I35" s="10">
        <v>0</v>
      </c>
      <c r="J35" s="10">
        <v>0</v>
      </c>
      <c r="K35" s="9">
        <f t="shared" si="2"/>
        <v>2</v>
      </c>
      <c r="L35" s="10">
        <v>0</v>
      </c>
      <c r="M35" s="10">
        <v>0</v>
      </c>
      <c r="N35" s="9">
        <f t="shared" si="3"/>
        <v>2</v>
      </c>
      <c r="O35" s="10">
        <v>0</v>
      </c>
      <c r="P35" s="10">
        <v>0</v>
      </c>
      <c r="Q35" s="9">
        <f t="shared" si="4"/>
        <v>2</v>
      </c>
      <c r="R35" s="10">
        <v>0</v>
      </c>
      <c r="S35" s="10">
        <v>0</v>
      </c>
      <c r="T35" s="9">
        <f t="shared" si="5"/>
        <v>2</v>
      </c>
      <c r="U35" s="10">
        <v>0</v>
      </c>
      <c r="V35" s="10">
        <v>0</v>
      </c>
      <c r="W35" s="9">
        <f t="shared" si="6"/>
        <v>2</v>
      </c>
      <c r="X35" s="10">
        <v>0</v>
      </c>
      <c r="Y35" s="10">
        <v>0</v>
      </c>
      <c r="Z35" s="9">
        <f t="shared" si="7"/>
        <v>2</v>
      </c>
      <c r="AA35" s="78">
        <v>0</v>
      </c>
      <c r="AB35" s="78">
        <v>0</v>
      </c>
      <c r="AC35" s="18">
        <f t="shared" si="8"/>
        <v>2</v>
      </c>
      <c r="AD35" s="78">
        <v>0</v>
      </c>
      <c r="AE35" s="78">
        <v>0</v>
      </c>
      <c r="AF35" s="18">
        <f t="shared" si="9"/>
        <v>2</v>
      </c>
      <c r="AG35" s="78">
        <v>0</v>
      </c>
      <c r="AH35" s="78">
        <v>0</v>
      </c>
      <c r="AI35" s="18">
        <f t="shared" si="10"/>
        <v>2</v>
      </c>
      <c r="AJ35" s="78">
        <v>0</v>
      </c>
      <c r="AK35" s="78">
        <v>0</v>
      </c>
      <c r="AL35" s="18">
        <f t="shared" si="11"/>
        <v>2</v>
      </c>
      <c r="AM35" s="78">
        <v>0</v>
      </c>
      <c r="AN35" s="78">
        <v>0</v>
      </c>
      <c r="AO35" s="18">
        <f t="shared" si="12"/>
        <v>2</v>
      </c>
      <c r="AP35" s="78">
        <v>0</v>
      </c>
      <c r="AQ35" s="78">
        <v>0</v>
      </c>
      <c r="AR35" s="18">
        <f t="shared" si="13"/>
        <v>2</v>
      </c>
      <c r="AS35" s="79">
        <v>0</v>
      </c>
      <c r="AT35" s="79">
        <v>0</v>
      </c>
      <c r="AU35" s="18">
        <f t="shared" si="14"/>
        <v>2</v>
      </c>
      <c r="AV35" s="79">
        <v>0</v>
      </c>
      <c r="AW35" s="79">
        <v>0</v>
      </c>
      <c r="AX35" s="18">
        <f t="shared" si="15"/>
        <v>2</v>
      </c>
      <c r="AY35" s="79">
        <v>0</v>
      </c>
      <c r="AZ35" s="79">
        <v>0</v>
      </c>
      <c r="BA35" s="18">
        <f t="shared" si="16"/>
        <v>2</v>
      </c>
      <c r="BB35" s="79">
        <v>0</v>
      </c>
      <c r="BC35" s="79">
        <v>0</v>
      </c>
      <c r="BD35" s="18">
        <f t="shared" si="17"/>
        <v>2</v>
      </c>
      <c r="BE35" s="79">
        <v>0</v>
      </c>
      <c r="BF35" s="79">
        <v>0</v>
      </c>
      <c r="BG35" s="18">
        <f t="shared" si="18"/>
        <v>2</v>
      </c>
      <c r="BH35" s="79">
        <v>0</v>
      </c>
      <c r="BI35" s="79">
        <v>0</v>
      </c>
      <c r="BJ35" s="18">
        <f t="shared" si="19"/>
        <v>2</v>
      </c>
      <c r="BK35" s="79">
        <v>0</v>
      </c>
      <c r="BL35" s="79">
        <v>0</v>
      </c>
      <c r="BM35" s="18">
        <f t="shared" si="20"/>
        <v>2</v>
      </c>
      <c r="BN35" s="79">
        <v>0</v>
      </c>
      <c r="BO35" s="79">
        <v>0</v>
      </c>
      <c r="BP35" s="18">
        <f t="shared" si="21"/>
        <v>2</v>
      </c>
      <c r="BQ35" s="79">
        <v>0</v>
      </c>
      <c r="BR35" s="79">
        <v>0</v>
      </c>
      <c r="BS35" s="18">
        <f t="shared" si="22"/>
        <v>2</v>
      </c>
      <c r="BT35" s="79">
        <v>0</v>
      </c>
      <c r="BU35" s="79">
        <v>0</v>
      </c>
      <c r="BV35" s="18">
        <f t="shared" si="23"/>
        <v>2</v>
      </c>
      <c r="BW35" s="79">
        <v>0</v>
      </c>
      <c r="BX35" s="79">
        <v>0</v>
      </c>
      <c r="BY35" s="18">
        <f t="shared" si="24"/>
        <v>2</v>
      </c>
      <c r="BZ35" s="79">
        <v>0</v>
      </c>
      <c r="CA35" s="79">
        <v>0</v>
      </c>
      <c r="CB35" s="18">
        <f t="shared" si="25"/>
        <v>2</v>
      </c>
      <c r="CC35" s="79">
        <v>0</v>
      </c>
      <c r="CD35" s="79">
        <v>0</v>
      </c>
      <c r="CE35" s="18">
        <f t="shared" si="26"/>
        <v>2</v>
      </c>
      <c r="CF35" s="79">
        <v>0</v>
      </c>
      <c r="CG35" s="79">
        <v>0</v>
      </c>
      <c r="CH35" s="18">
        <f t="shared" si="27"/>
        <v>2</v>
      </c>
      <c r="CI35" s="79">
        <v>0</v>
      </c>
      <c r="CJ35" s="79">
        <v>0</v>
      </c>
      <c r="CK35" s="79">
        <f t="shared" si="29"/>
        <v>2</v>
      </c>
      <c r="CL35" s="79">
        <v>0</v>
      </c>
      <c r="CM35" s="79">
        <v>0</v>
      </c>
      <c r="CN35" s="80">
        <f t="shared" si="30"/>
        <v>2</v>
      </c>
      <c r="CO35" s="79">
        <v>0</v>
      </c>
      <c r="CP35" s="79">
        <v>0</v>
      </c>
      <c r="CQ35" s="125">
        <f t="shared" si="56"/>
        <v>2</v>
      </c>
      <c r="CR35" s="128">
        <v>0</v>
      </c>
      <c r="CS35" s="128">
        <v>0</v>
      </c>
      <c r="CT35" s="128">
        <f t="shared" si="58"/>
        <v>2</v>
      </c>
      <c r="CU35" s="128">
        <v>0</v>
      </c>
      <c r="CV35" s="128">
        <v>0</v>
      </c>
      <c r="CW35" s="128">
        <f t="shared" si="31"/>
        <v>2</v>
      </c>
      <c r="CX35" s="128"/>
      <c r="CY35" s="128"/>
      <c r="CZ35" s="128">
        <f t="shared" si="32"/>
        <v>2</v>
      </c>
      <c r="DA35" s="128"/>
      <c r="DB35" s="128"/>
      <c r="DC35" s="128">
        <f t="shared" si="33"/>
        <v>2</v>
      </c>
      <c r="DD35" s="128"/>
      <c r="DE35" s="128"/>
      <c r="DF35" s="215">
        <f t="shared" si="34"/>
        <v>2</v>
      </c>
      <c r="DG35" s="128"/>
      <c r="DH35" s="128"/>
      <c r="DI35" s="128">
        <f t="shared" si="35"/>
        <v>2</v>
      </c>
      <c r="DJ35" s="128"/>
      <c r="DK35" s="128"/>
      <c r="DL35" s="128">
        <f t="shared" si="36"/>
        <v>2</v>
      </c>
      <c r="DM35" s="128"/>
      <c r="DN35" s="128"/>
      <c r="DO35" s="215">
        <f t="shared" si="37"/>
        <v>2</v>
      </c>
      <c r="DP35" s="128"/>
      <c r="DQ35" s="128"/>
      <c r="DR35" s="215">
        <f t="shared" si="38"/>
        <v>2</v>
      </c>
      <c r="DS35" s="128"/>
      <c r="DT35" s="128"/>
      <c r="DU35" s="215">
        <f t="shared" si="39"/>
        <v>2</v>
      </c>
      <c r="DV35" s="128"/>
      <c r="DW35" s="128"/>
      <c r="DX35" s="215">
        <f t="shared" si="40"/>
        <v>2</v>
      </c>
      <c r="DY35" s="128"/>
      <c r="DZ35" s="128"/>
      <c r="EA35" s="215">
        <f t="shared" si="41"/>
        <v>2</v>
      </c>
      <c r="EB35" s="128"/>
      <c r="EC35" s="128"/>
      <c r="ED35" s="215">
        <f t="shared" si="42"/>
        <v>2</v>
      </c>
      <c r="EE35" s="128"/>
      <c r="EF35" s="128"/>
      <c r="EG35" s="215">
        <f t="shared" si="43"/>
        <v>2</v>
      </c>
      <c r="EH35" s="128"/>
      <c r="EI35" s="128"/>
      <c r="EJ35" s="215">
        <f t="shared" si="57"/>
        <v>2</v>
      </c>
      <c r="EK35" s="128"/>
      <c r="EL35" s="128"/>
      <c r="EM35" s="215">
        <f t="shared" si="44"/>
        <v>2</v>
      </c>
      <c r="EN35" s="128"/>
      <c r="EO35" s="128"/>
      <c r="EP35" s="215">
        <f t="shared" si="45"/>
        <v>2</v>
      </c>
      <c r="EQ35" s="128"/>
      <c r="ER35" s="128"/>
      <c r="ES35" s="128">
        <f t="shared" si="46"/>
        <v>2</v>
      </c>
      <c r="ET35" s="128"/>
      <c r="EU35" s="128"/>
      <c r="EV35" s="128">
        <f t="shared" si="47"/>
        <v>2</v>
      </c>
      <c r="EW35" s="128"/>
      <c r="EX35" s="128"/>
      <c r="EY35" s="128">
        <f t="shared" si="48"/>
        <v>2</v>
      </c>
      <c r="EZ35" s="128"/>
      <c r="FA35" s="128"/>
      <c r="FB35" s="128">
        <f t="shared" si="49"/>
        <v>2</v>
      </c>
      <c r="FC35" s="128"/>
      <c r="FD35" s="215"/>
      <c r="FE35" s="128">
        <f t="shared" si="50"/>
        <v>2</v>
      </c>
      <c r="FF35" s="128"/>
      <c r="FG35" s="128"/>
      <c r="FH35" s="128">
        <f t="shared" si="51"/>
        <v>2</v>
      </c>
      <c r="FI35" s="128"/>
      <c r="FJ35" s="128"/>
      <c r="FK35" s="128">
        <f t="shared" si="52"/>
        <v>2</v>
      </c>
      <c r="FL35" s="128"/>
      <c r="FM35" s="128"/>
      <c r="FN35" s="128">
        <f t="shared" ref="FN35:FN65" si="60">FK35+FL35-FM35</f>
        <v>2</v>
      </c>
      <c r="FO35" s="128"/>
      <c r="FP35" s="128"/>
      <c r="FQ35" s="128">
        <f t="shared" si="53"/>
        <v>2</v>
      </c>
      <c r="FR35" s="128"/>
      <c r="FS35" s="128"/>
      <c r="FT35" s="128">
        <f t="shared" si="59"/>
        <v>2</v>
      </c>
      <c r="FU35" s="128"/>
      <c r="FV35" s="128"/>
      <c r="FW35" s="128">
        <f t="shared" si="55"/>
        <v>2</v>
      </c>
    </row>
    <row r="36" spans="1:192" ht="12.75" x14ac:dyDescent="0.2">
      <c r="A36" s="13" t="s">
        <v>110</v>
      </c>
      <c r="B36" s="29">
        <f>'INV. FEB'!BX36</f>
        <v>1</v>
      </c>
      <c r="C36" s="10">
        <v>0</v>
      </c>
      <c r="D36" s="10">
        <v>0</v>
      </c>
      <c r="E36" s="9">
        <f t="shared" si="0"/>
        <v>1</v>
      </c>
      <c r="F36" s="10">
        <v>0</v>
      </c>
      <c r="G36" s="10">
        <v>0</v>
      </c>
      <c r="H36" s="9">
        <f t="shared" si="1"/>
        <v>1</v>
      </c>
      <c r="I36" s="10">
        <v>0</v>
      </c>
      <c r="J36" s="10">
        <v>0</v>
      </c>
      <c r="K36" s="9">
        <f t="shared" si="2"/>
        <v>1</v>
      </c>
      <c r="L36" s="10">
        <v>0</v>
      </c>
      <c r="M36" s="10">
        <v>0</v>
      </c>
      <c r="N36" s="9">
        <f t="shared" si="3"/>
        <v>1</v>
      </c>
      <c r="O36" s="10">
        <v>0</v>
      </c>
      <c r="P36" s="10">
        <v>0</v>
      </c>
      <c r="Q36" s="9">
        <f t="shared" si="4"/>
        <v>1</v>
      </c>
      <c r="R36" s="10">
        <v>0</v>
      </c>
      <c r="S36" s="10">
        <v>0</v>
      </c>
      <c r="T36" s="9">
        <f t="shared" si="5"/>
        <v>1</v>
      </c>
      <c r="U36" s="10">
        <v>0</v>
      </c>
      <c r="V36" s="10">
        <v>0</v>
      </c>
      <c r="W36" s="9">
        <f t="shared" si="6"/>
        <v>1</v>
      </c>
      <c r="X36" s="10">
        <v>0</v>
      </c>
      <c r="Y36" s="10">
        <v>0</v>
      </c>
      <c r="Z36" s="9">
        <f t="shared" si="7"/>
        <v>1</v>
      </c>
      <c r="AA36" s="78">
        <v>0</v>
      </c>
      <c r="AB36" s="78">
        <v>0</v>
      </c>
      <c r="AC36" s="18">
        <f t="shared" si="8"/>
        <v>1</v>
      </c>
      <c r="AD36" s="78">
        <v>0</v>
      </c>
      <c r="AE36" s="78">
        <v>0</v>
      </c>
      <c r="AF36" s="18">
        <f t="shared" si="9"/>
        <v>1</v>
      </c>
      <c r="AG36" s="78">
        <v>0</v>
      </c>
      <c r="AH36" s="78">
        <v>0</v>
      </c>
      <c r="AI36" s="18">
        <f t="shared" si="10"/>
        <v>1</v>
      </c>
      <c r="AJ36" s="78">
        <v>0</v>
      </c>
      <c r="AK36" s="78">
        <v>0</v>
      </c>
      <c r="AL36" s="18">
        <f t="shared" si="11"/>
        <v>1</v>
      </c>
      <c r="AM36" s="78">
        <v>0</v>
      </c>
      <c r="AN36" s="78">
        <v>0</v>
      </c>
      <c r="AO36" s="18">
        <f t="shared" si="12"/>
        <v>1</v>
      </c>
      <c r="AP36" s="78">
        <v>0</v>
      </c>
      <c r="AQ36" s="78">
        <v>0</v>
      </c>
      <c r="AR36" s="18">
        <f t="shared" si="13"/>
        <v>1</v>
      </c>
      <c r="AS36" s="79">
        <v>0</v>
      </c>
      <c r="AT36" s="79">
        <v>0</v>
      </c>
      <c r="AU36" s="18">
        <f t="shared" si="14"/>
        <v>1</v>
      </c>
      <c r="AV36" s="79">
        <v>0</v>
      </c>
      <c r="AW36" s="79">
        <v>0</v>
      </c>
      <c r="AX36" s="18">
        <f t="shared" si="15"/>
        <v>1</v>
      </c>
      <c r="AY36" s="79">
        <v>0</v>
      </c>
      <c r="AZ36" s="79">
        <v>0</v>
      </c>
      <c r="BA36" s="18">
        <f t="shared" si="16"/>
        <v>1</v>
      </c>
      <c r="BB36" s="79">
        <v>0</v>
      </c>
      <c r="BC36" s="79">
        <v>0</v>
      </c>
      <c r="BD36" s="18">
        <f t="shared" si="17"/>
        <v>1</v>
      </c>
      <c r="BE36" s="79">
        <v>0</v>
      </c>
      <c r="BF36" s="79">
        <v>0</v>
      </c>
      <c r="BG36" s="18">
        <f t="shared" si="18"/>
        <v>1</v>
      </c>
      <c r="BH36" s="79">
        <v>0</v>
      </c>
      <c r="BI36" s="79">
        <v>0</v>
      </c>
      <c r="BJ36" s="18">
        <f t="shared" si="19"/>
        <v>1</v>
      </c>
      <c r="BK36" s="79">
        <v>0</v>
      </c>
      <c r="BL36" s="79">
        <v>0</v>
      </c>
      <c r="BM36" s="18">
        <f t="shared" si="20"/>
        <v>1</v>
      </c>
      <c r="BN36" s="79">
        <v>0</v>
      </c>
      <c r="BO36" s="79">
        <v>0</v>
      </c>
      <c r="BP36" s="18">
        <f t="shared" si="21"/>
        <v>1</v>
      </c>
      <c r="BQ36" s="79">
        <v>0</v>
      </c>
      <c r="BR36" s="79">
        <v>0</v>
      </c>
      <c r="BS36" s="18">
        <f t="shared" si="22"/>
        <v>1</v>
      </c>
      <c r="BT36" s="79">
        <v>0</v>
      </c>
      <c r="BU36" s="79">
        <v>0</v>
      </c>
      <c r="BV36" s="18">
        <f t="shared" si="23"/>
        <v>1</v>
      </c>
      <c r="BW36" s="79">
        <v>0</v>
      </c>
      <c r="BX36" s="79">
        <v>0</v>
      </c>
      <c r="BY36" s="18">
        <f t="shared" si="24"/>
        <v>1</v>
      </c>
      <c r="BZ36" s="79">
        <v>0</v>
      </c>
      <c r="CA36" s="79">
        <v>0</v>
      </c>
      <c r="CB36" s="18">
        <f t="shared" si="25"/>
        <v>1</v>
      </c>
      <c r="CC36" s="79">
        <v>0</v>
      </c>
      <c r="CD36" s="79">
        <v>0</v>
      </c>
      <c r="CE36" s="18">
        <f t="shared" si="26"/>
        <v>1</v>
      </c>
      <c r="CF36" s="79">
        <v>0</v>
      </c>
      <c r="CG36" s="79">
        <v>0</v>
      </c>
      <c r="CH36" s="18">
        <f t="shared" si="27"/>
        <v>1</v>
      </c>
      <c r="CI36" s="79">
        <v>0</v>
      </c>
      <c r="CJ36" s="79">
        <v>0</v>
      </c>
      <c r="CK36" s="79">
        <f t="shared" si="29"/>
        <v>1</v>
      </c>
      <c r="CL36" s="79">
        <v>0</v>
      </c>
      <c r="CM36" s="79">
        <v>0</v>
      </c>
      <c r="CN36" s="80">
        <f t="shared" si="30"/>
        <v>1</v>
      </c>
      <c r="CO36" s="79">
        <v>0</v>
      </c>
      <c r="CP36" s="79">
        <v>0</v>
      </c>
      <c r="CQ36" s="125">
        <f t="shared" si="56"/>
        <v>1</v>
      </c>
      <c r="CR36" s="128">
        <v>0</v>
      </c>
      <c r="CS36" s="128">
        <v>0</v>
      </c>
      <c r="CT36" s="128">
        <f t="shared" si="58"/>
        <v>1</v>
      </c>
      <c r="CU36" s="128">
        <v>0</v>
      </c>
      <c r="CV36" s="128">
        <v>0</v>
      </c>
      <c r="CW36" s="128">
        <f t="shared" si="31"/>
        <v>1</v>
      </c>
      <c r="CX36" s="128"/>
      <c r="CY36" s="128"/>
      <c r="CZ36" s="128">
        <f t="shared" si="32"/>
        <v>1</v>
      </c>
      <c r="DA36" s="128"/>
      <c r="DB36" s="128"/>
      <c r="DC36" s="128">
        <f t="shared" si="33"/>
        <v>1</v>
      </c>
      <c r="DD36" s="128"/>
      <c r="DE36" s="128"/>
      <c r="DF36" s="215">
        <f t="shared" si="34"/>
        <v>1</v>
      </c>
      <c r="DG36" s="128"/>
      <c r="DH36" s="128"/>
      <c r="DI36" s="128">
        <f t="shared" si="35"/>
        <v>1</v>
      </c>
      <c r="DJ36" s="128"/>
      <c r="DK36" s="128"/>
      <c r="DL36" s="128">
        <f t="shared" si="36"/>
        <v>1</v>
      </c>
      <c r="DM36" s="128"/>
      <c r="DN36" s="128"/>
      <c r="DO36" s="215">
        <f t="shared" si="37"/>
        <v>1</v>
      </c>
      <c r="DP36" s="128"/>
      <c r="DQ36" s="128"/>
      <c r="DR36" s="215">
        <f t="shared" si="38"/>
        <v>1</v>
      </c>
      <c r="DS36" s="128"/>
      <c r="DT36" s="128"/>
      <c r="DU36" s="215">
        <f t="shared" si="39"/>
        <v>1</v>
      </c>
      <c r="DV36" s="128"/>
      <c r="DW36" s="128"/>
      <c r="DX36" s="215">
        <f t="shared" si="40"/>
        <v>1</v>
      </c>
      <c r="DY36" s="128"/>
      <c r="DZ36" s="128"/>
      <c r="EA36" s="215">
        <f t="shared" si="41"/>
        <v>1</v>
      </c>
      <c r="EB36" s="128"/>
      <c r="EC36" s="128"/>
      <c r="ED36" s="215">
        <f t="shared" si="42"/>
        <v>1</v>
      </c>
      <c r="EE36" s="128"/>
      <c r="EF36" s="128"/>
      <c r="EG36" s="215">
        <f t="shared" si="43"/>
        <v>1</v>
      </c>
      <c r="EH36" s="128"/>
      <c r="EI36" s="128"/>
      <c r="EJ36" s="215">
        <f t="shared" si="57"/>
        <v>1</v>
      </c>
      <c r="EK36" s="128"/>
      <c r="EL36" s="128"/>
      <c r="EM36" s="215">
        <f t="shared" si="44"/>
        <v>1</v>
      </c>
      <c r="EN36" s="128"/>
      <c r="EO36" s="128"/>
      <c r="EP36" s="215">
        <f t="shared" si="45"/>
        <v>1</v>
      </c>
      <c r="EQ36" s="128"/>
      <c r="ER36" s="128"/>
      <c r="ES36" s="128">
        <f t="shared" si="46"/>
        <v>1</v>
      </c>
      <c r="ET36" s="128"/>
      <c r="EU36" s="128"/>
      <c r="EV36" s="128">
        <f t="shared" si="47"/>
        <v>1</v>
      </c>
      <c r="EW36" s="128"/>
      <c r="EX36" s="128"/>
      <c r="EY36" s="128">
        <f t="shared" si="48"/>
        <v>1</v>
      </c>
      <c r="EZ36" s="128"/>
      <c r="FA36" s="128"/>
      <c r="FB36" s="128">
        <f t="shared" si="49"/>
        <v>1</v>
      </c>
      <c r="FC36" s="128"/>
      <c r="FD36" s="215"/>
      <c r="FE36" s="128">
        <f t="shared" si="50"/>
        <v>1</v>
      </c>
      <c r="FF36" s="128"/>
      <c r="FG36" s="128"/>
      <c r="FH36" s="128">
        <f t="shared" si="51"/>
        <v>1</v>
      </c>
      <c r="FI36" s="128"/>
      <c r="FJ36" s="128"/>
      <c r="FK36" s="128">
        <f t="shared" si="52"/>
        <v>1</v>
      </c>
      <c r="FL36" s="128"/>
      <c r="FM36" s="128"/>
      <c r="FN36" s="128">
        <f t="shared" si="60"/>
        <v>1</v>
      </c>
      <c r="FO36" s="128"/>
      <c r="FP36" s="128"/>
      <c r="FQ36" s="128">
        <f t="shared" si="53"/>
        <v>1</v>
      </c>
      <c r="FR36" s="128"/>
      <c r="FS36" s="128"/>
      <c r="FT36" s="128">
        <f t="shared" si="59"/>
        <v>1</v>
      </c>
      <c r="FU36" s="128"/>
      <c r="FV36" s="128"/>
      <c r="FW36" s="128">
        <f t="shared" si="55"/>
        <v>1</v>
      </c>
    </row>
    <row r="37" spans="1:192" ht="12.75" x14ac:dyDescent="0.2">
      <c r="A37" s="13" t="s">
        <v>111</v>
      </c>
      <c r="B37" s="29">
        <f>'INV. FEB'!BX37</f>
        <v>1</v>
      </c>
      <c r="C37" s="10">
        <v>0</v>
      </c>
      <c r="D37" s="10">
        <v>0</v>
      </c>
      <c r="E37" s="9">
        <f t="shared" si="0"/>
        <v>1</v>
      </c>
      <c r="F37" s="10">
        <v>0</v>
      </c>
      <c r="G37" s="10">
        <v>0</v>
      </c>
      <c r="H37" s="9">
        <f t="shared" si="1"/>
        <v>1</v>
      </c>
      <c r="I37" s="10">
        <v>0</v>
      </c>
      <c r="J37" s="10">
        <v>0</v>
      </c>
      <c r="K37" s="9">
        <f t="shared" si="2"/>
        <v>1</v>
      </c>
      <c r="L37" s="10">
        <v>0</v>
      </c>
      <c r="M37" s="10">
        <v>0</v>
      </c>
      <c r="N37" s="9">
        <f t="shared" si="3"/>
        <v>1</v>
      </c>
      <c r="O37" s="10">
        <v>0</v>
      </c>
      <c r="P37" s="10">
        <v>0</v>
      </c>
      <c r="Q37" s="9">
        <f t="shared" si="4"/>
        <v>1</v>
      </c>
      <c r="R37" s="10">
        <v>0</v>
      </c>
      <c r="S37" s="10">
        <v>0</v>
      </c>
      <c r="T37" s="9">
        <f t="shared" si="5"/>
        <v>1</v>
      </c>
      <c r="U37" s="10">
        <v>0</v>
      </c>
      <c r="V37" s="10">
        <v>0</v>
      </c>
      <c r="W37" s="9">
        <f t="shared" si="6"/>
        <v>1</v>
      </c>
      <c r="X37" s="10">
        <v>0</v>
      </c>
      <c r="Y37" s="10">
        <v>0</v>
      </c>
      <c r="Z37" s="9">
        <f t="shared" si="7"/>
        <v>1</v>
      </c>
      <c r="AA37" s="78">
        <v>0</v>
      </c>
      <c r="AB37" s="78">
        <v>0</v>
      </c>
      <c r="AC37" s="18">
        <f t="shared" si="8"/>
        <v>1</v>
      </c>
      <c r="AD37" s="78">
        <v>0</v>
      </c>
      <c r="AE37" s="78">
        <v>0</v>
      </c>
      <c r="AF37" s="18">
        <f t="shared" si="9"/>
        <v>1</v>
      </c>
      <c r="AG37" s="78">
        <v>0</v>
      </c>
      <c r="AH37" s="78">
        <v>0</v>
      </c>
      <c r="AI37" s="18">
        <f t="shared" si="10"/>
        <v>1</v>
      </c>
      <c r="AJ37" s="78">
        <v>0</v>
      </c>
      <c r="AK37" s="78">
        <v>0</v>
      </c>
      <c r="AL37" s="18">
        <f t="shared" si="11"/>
        <v>1</v>
      </c>
      <c r="AM37" s="78">
        <v>0</v>
      </c>
      <c r="AN37" s="78">
        <v>0</v>
      </c>
      <c r="AO37" s="18">
        <f t="shared" si="12"/>
        <v>1</v>
      </c>
      <c r="AP37" s="78">
        <v>0</v>
      </c>
      <c r="AQ37" s="78">
        <v>0</v>
      </c>
      <c r="AR37" s="18">
        <f t="shared" si="13"/>
        <v>1</v>
      </c>
      <c r="AS37" s="79">
        <v>0</v>
      </c>
      <c r="AT37" s="79">
        <v>0</v>
      </c>
      <c r="AU37" s="18">
        <f t="shared" si="14"/>
        <v>1</v>
      </c>
      <c r="AV37" s="79">
        <v>0</v>
      </c>
      <c r="AW37" s="79">
        <v>0</v>
      </c>
      <c r="AX37" s="18">
        <f t="shared" si="15"/>
        <v>1</v>
      </c>
      <c r="AY37" s="79">
        <v>0</v>
      </c>
      <c r="AZ37" s="79">
        <v>0</v>
      </c>
      <c r="BA37" s="18">
        <f t="shared" si="16"/>
        <v>1</v>
      </c>
      <c r="BB37" s="79">
        <v>0</v>
      </c>
      <c r="BC37" s="79">
        <v>0</v>
      </c>
      <c r="BD37" s="18">
        <f t="shared" si="17"/>
        <v>1</v>
      </c>
      <c r="BE37" s="79">
        <v>0</v>
      </c>
      <c r="BF37" s="79">
        <v>0</v>
      </c>
      <c r="BG37" s="18">
        <f t="shared" si="18"/>
        <v>1</v>
      </c>
      <c r="BH37" s="79">
        <v>0</v>
      </c>
      <c r="BI37" s="79">
        <v>0</v>
      </c>
      <c r="BJ37" s="18">
        <f t="shared" si="19"/>
        <v>1</v>
      </c>
      <c r="BK37" s="79">
        <v>0</v>
      </c>
      <c r="BL37" s="79">
        <v>0</v>
      </c>
      <c r="BM37" s="18">
        <f t="shared" si="20"/>
        <v>1</v>
      </c>
      <c r="BN37" s="79">
        <v>0</v>
      </c>
      <c r="BO37" s="79">
        <v>0</v>
      </c>
      <c r="BP37" s="18">
        <f t="shared" si="21"/>
        <v>1</v>
      </c>
      <c r="BQ37" s="79">
        <v>0</v>
      </c>
      <c r="BR37" s="79">
        <v>0</v>
      </c>
      <c r="BS37" s="18">
        <f t="shared" si="22"/>
        <v>1</v>
      </c>
      <c r="BT37" s="79">
        <v>0</v>
      </c>
      <c r="BU37" s="79">
        <v>0</v>
      </c>
      <c r="BV37" s="18">
        <f t="shared" si="23"/>
        <v>1</v>
      </c>
      <c r="BW37" s="79">
        <v>0</v>
      </c>
      <c r="BX37" s="79">
        <v>0</v>
      </c>
      <c r="BY37" s="18">
        <f t="shared" si="24"/>
        <v>1</v>
      </c>
      <c r="BZ37" s="79">
        <v>0</v>
      </c>
      <c r="CA37" s="79">
        <v>0</v>
      </c>
      <c r="CB37" s="18">
        <f t="shared" si="25"/>
        <v>1</v>
      </c>
      <c r="CC37" s="79">
        <v>0</v>
      </c>
      <c r="CD37" s="79">
        <v>0</v>
      </c>
      <c r="CE37" s="18">
        <f t="shared" si="26"/>
        <v>1</v>
      </c>
      <c r="CF37" s="79">
        <v>0</v>
      </c>
      <c r="CG37" s="79">
        <v>0</v>
      </c>
      <c r="CH37" s="18">
        <f t="shared" si="27"/>
        <v>1</v>
      </c>
      <c r="CI37" s="79">
        <v>0</v>
      </c>
      <c r="CJ37" s="79">
        <v>0</v>
      </c>
      <c r="CK37" s="79">
        <f t="shared" si="29"/>
        <v>1</v>
      </c>
      <c r="CL37" s="79">
        <v>0</v>
      </c>
      <c r="CM37" s="79">
        <v>0</v>
      </c>
      <c r="CN37" s="80">
        <f t="shared" si="30"/>
        <v>1</v>
      </c>
      <c r="CO37" s="79">
        <v>0</v>
      </c>
      <c r="CP37" s="79">
        <v>0</v>
      </c>
      <c r="CQ37" s="125">
        <f t="shared" si="56"/>
        <v>1</v>
      </c>
      <c r="CR37" s="128">
        <v>0</v>
      </c>
      <c r="CS37" s="128">
        <v>0</v>
      </c>
      <c r="CT37" s="128">
        <f t="shared" si="58"/>
        <v>1</v>
      </c>
      <c r="CU37" s="128">
        <v>0</v>
      </c>
      <c r="CV37" s="128">
        <v>0</v>
      </c>
      <c r="CW37" s="128">
        <f t="shared" si="31"/>
        <v>1</v>
      </c>
      <c r="CX37" s="128"/>
      <c r="CY37" s="128"/>
      <c r="CZ37" s="128">
        <f t="shared" si="32"/>
        <v>1</v>
      </c>
      <c r="DA37" s="128"/>
      <c r="DB37" s="128"/>
      <c r="DC37" s="128">
        <f t="shared" si="33"/>
        <v>1</v>
      </c>
      <c r="DD37" s="128"/>
      <c r="DE37" s="128"/>
      <c r="DF37" s="215">
        <f t="shared" si="34"/>
        <v>1</v>
      </c>
      <c r="DG37" s="128"/>
      <c r="DH37" s="128"/>
      <c r="DI37" s="128">
        <f t="shared" si="35"/>
        <v>1</v>
      </c>
      <c r="DJ37" s="128"/>
      <c r="DK37" s="128"/>
      <c r="DL37" s="128">
        <f t="shared" si="36"/>
        <v>1</v>
      </c>
      <c r="DM37" s="128"/>
      <c r="DN37" s="128"/>
      <c r="DO37" s="215">
        <f t="shared" si="37"/>
        <v>1</v>
      </c>
      <c r="DP37" s="128"/>
      <c r="DQ37" s="128"/>
      <c r="DR37" s="215">
        <f t="shared" si="38"/>
        <v>1</v>
      </c>
      <c r="DS37" s="128"/>
      <c r="DT37" s="128"/>
      <c r="DU37" s="215">
        <f t="shared" si="39"/>
        <v>1</v>
      </c>
      <c r="DV37" s="128"/>
      <c r="DW37" s="128"/>
      <c r="DX37" s="215">
        <f t="shared" si="40"/>
        <v>1</v>
      </c>
      <c r="DY37" s="128"/>
      <c r="DZ37" s="128"/>
      <c r="EA37" s="215">
        <f t="shared" si="41"/>
        <v>1</v>
      </c>
      <c r="EB37" s="128"/>
      <c r="EC37" s="128"/>
      <c r="ED37" s="215">
        <f t="shared" si="42"/>
        <v>1</v>
      </c>
      <c r="EE37" s="128"/>
      <c r="EF37" s="128"/>
      <c r="EG37" s="215">
        <f t="shared" si="43"/>
        <v>1</v>
      </c>
      <c r="EH37" s="128"/>
      <c r="EI37" s="128"/>
      <c r="EJ37" s="215">
        <f t="shared" si="57"/>
        <v>1</v>
      </c>
      <c r="EK37" s="128"/>
      <c r="EL37" s="128"/>
      <c r="EM37" s="215">
        <f t="shared" si="44"/>
        <v>1</v>
      </c>
      <c r="EN37" s="128"/>
      <c r="EO37" s="128"/>
      <c r="EP37" s="215">
        <f t="shared" si="45"/>
        <v>1</v>
      </c>
      <c r="EQ37" s="128"/>
      <c r="ER37" s="128"/>
      <c r="ES37" s="128">
        <f t="shared" si="46"/>
        <v>1</v>
      </c>
      <c r="ET37" s="128"/>
      <c r="EU37" s="128"/>
      <c r="EV37" s="128">
        <f t="shared" si="47"/>
        <v>1</v>
      </c>
      <c r="EW37" s="128"/>
      <c r="EX37" s="128"/>
      <c r="EY37" s="128">
        <f t="shared" si="48"/>
        <v>1</v>
      </c>
      <c r="EZ37" s="128"/>
      <c r="FA37" s="128"/>
      <c r="FB37" s="128">
        <f t="shared" si="49"/>
        <v>1</v>
      </c>
      <c r="FC37" s="128"/>
      <c r="FD37" s="215"/>
      <c r="FE37" s="128">
        <f t="shared" si="50"/>
        <v>1</v>
      </c>
      <c r="FF37" s="128"/>
      <c r="FG37" s="128"/>
      <c r="FH37" s="128">
        <f t="shared" si="51"/>
        <v>1</v>
      </c>
      <c r="FI37" s="128"/>
      <c r="FJ37" s="128"/>
      <c r="FK37" s="128">
        <f t="shared" si="52"/>
        <v>1</v>
      </c>
      <c r="FL37" s="128"/>
      <c r="FM37" s="128"/>
      <c r="FN37" s="128">
        <f t="shared" si="60"/>
        <v>1</v>
      </c>
      <c r="FO37" s="128"/>
      <c r="FP37" s="128"/>
      <c r="FQ37" s="128">
        <f t="shared" si="53"/>
        <v>1</v>
      </c>
      <c r="FR37" s="128"/>
      <c r="FS37" s="128"/>
      <c r="FT37" s="128">
        <f t="shared" si="59"/>
        <v>1</v>
      </c>
      <c r="FU37" s="128"/>
      <c r="FV37" s="128"/>
      <c r="FW37" s="128">
        <f t="shared" si="55"/>
        <v>1</v>
      </c>
    </row>
    <row r="38" spans="1:192" ht="12.75" x14ac:dyDescent="0.2">
      <c r="A38" s="13" t="s">
        <v>112</v>
      </c>
      <c r="B38" s="29">
        <f>'INV. FEB'!BX38</f>
        <v>0</v>
      </c>
      <c r="C38" s="10">
        <v>0</v>
      </c>
      <c r="D38" s="10">
        <v>0</v>
      </c>
      <c r="E38" s="9">
        <f t="shared" si="0"/>
        <v>0</v>
      </c>
      <c r="F38" s="10">
        <v>0</v>
      </c>
      <c r="G38" s="10">
        <v>0</v>
      </c>
      <c r="H38" s="9">
        <f t="shared" si="1"/>
        <v>0</v>
      </c>
      <c r="I38" s="10">
        <v>0</v>
      </c>
      <c r="J38" s="10">
        <v>0</v>
      </c>
      <c r="K38" s="9">
        <f t="shared" si="2"/>
        <v>0</v>
      </c>
      <c r="L38" s="10">
        <v>0</v>
      </c>
      <c r="M38" s="10">
        <v>0</v>
      </c>
      <c r="N38" s="9">
        <f t="shared" si="3"/>
        <v>0</v>
      </c>
      <c r="O38" s="10">
        <v>0</v>
      </c>
      <c r="P38" s="10">
        <v>0</v>
      </c>
      <c r="Q38" s="9">
        <f t="shared" si="4"/>
        <v>0</v>
      </c>
      <c r="R38" s="10">
        <v>0</v>
      </c>
      <c r="S38" s="10">
        <v>0</v>
      </c>
      <c r="T38" s="9">
        <f t="shared" si="5"/>
        <v>0</v>
      </c>
      <c r="U38" s="10">
        <v>0</v>
      </c>
      <c r="V38" s="10">
        <v>0</v>
      </c>
      <c r="W38" s="9">
        <f t="shared" si="6"/>
        <v>0</v>
      </c>
      <c r="X38" s="10">
        <v>0</v>
      </c>
      <c r="Y38" s="10">
        <v>0</v>
      </c>
      <c r="Z38" s="9">
        <f t="shared" si="7"/>
        <v>0</v>
      </c>
      <c r="AA38" s="78">
        <v>0</v>
      </c>
      <c r="AB38" s="78">
        <v>0</v>
      </c>
      <c r="AC38" s="18">
        <f t="shared" si="8"/>
        <v>0</v>
      </c>
      <c r="AD38" s="78">
        <v>0</v>
      </c>
      <c r="AE38" s="78">
        <v>0</v>
      </c>
      <c r="AF38" s="18">
        <f t="shared" si="9"/>
        <v>0</v>
      </c>
      <c r="AG38" s="78">
        <v>0</v>
      </c>
      <c r="AH38" s="78">
        <v>0</v>
      </c>
      <c r="AI38" s="18">
        <f t="shared" si="10"/>
        <v>0</v>
      </c>
      <c r="AJ38" s="78">
        <v>0</v>
      </c>
      <c r="AK38" s="78">
        <v>0</v>
      </c>
      <c r="AL38" s="18">
        <f t="shared" si="11"/>
        <v>0</v>
      </c>
      <c r="AM38" s="78">
        <v>0</v>
      </c>
      <c r="AN38" s="78">
        <v>0</v>
      </c>
      <c r="AO38" s="18">
        <f t="shared" si="12"/>
        <v>0</v>
      </c>
      <c r="AP38" s="78">
        <v>0</v>
      </c>
      <c r="AQ38" s="78">
        <v>0</v>
      </c>
      <c r="AR38" s="18">
        <f t="shared" si="13"/>
        <v>0</v>
      </c>
      <c r="AS38" s="79">
        <v>0</v>
      </c>
      <c r="AT38" s="79">
        <v>0</v>
      </c>
      <c r="AU38" s="18">
        <f t="shared" si="14"/>
        <v>0</v>
      </c>
      <c r="AV38" s="79">
        <v>0</v>
      </c>
      <c r="AW38" s="79">
        <v>0</v>
      </c>
      <c r="AX38" s="18">
        <f t="shared" si="15"/>
        <v>0</v>
      </c>
      <c r="AY38" s="79">
        <v>0</v>
      </c>
      <c r="AZ38" s="79">
        <v>0</v>
      </c>
      <c r="BA38" s="18">
        <f t="shared" si="16"/>
        <v>0</v>
      </c>
      <c r="BB38" s="79">
        <v>0</v>
      </c>
      <c r="BC38" s="79">
        <v>0</v>
      </c>
      <c r="BD38" s="18">
        <f t="shared" si="17"/>
        <v>0</v>
      </c>
      <c r="BE38" s="79">
        <v>0</v>
      </c>
      <c r="BF38" s="79">
        <v>0</v>
      </c>
      <c r="BG38" s="18">
        <f t="shared" si="18"/>
        <v>0</v>
      </c>
      <c r="BH38" s="79">
        <v>0</v>
      </c>
      <c r="BI38" s="79">
        <v>0</v>
      </c>
      <c r="BJ38" s="18">
        <f t="shared" si="19"/>
        <v>0</v>
      </c>
      <c r="BK38" s="79">
        <v>0</v>
      </c>
      <c r="BL38" s="79">
        <v>0</v>
      </c>
      <c r="BM38" s="18">
        <f t="shared" si="20"/>
        <v>0</v>
      </c>
      <c r="BN38" s="79">
        <v>0</v>
      </c>
      <c r="BO38" s="79">
        <v>0</v>
      </c>
      <c r="BP38" s="18">
        <f t="shared" si="21"/>
        <v>0</v>
      </c>
      <c r="BQ38" s="79">
        <v>0</v>
      </c>
      <c r="BR38" s="79">
        <v>0</v>
      </c>
      <c r="BS38" s="18">
        <f t="shared" si="22"/>
        <v>0</v>
      </c>
      <c r="BT38" s="79">
        <v>0</v>
      </c>
      <c r="BU38" s="79">
        <v>0</v>
      </c>
      <c r="BV38" s="18">
        <f t="shared" si="23"/>
        <v>0</v>
      </c>
      <c r="BW38" s="79">
        <v>0</v>
      </c>
      <c r="BX38" s="79">
        <v>0</v>
      </c>
      <c r="BY38" s="18">
        <f t="shared" si="24"/>
        <v>0</v>
      </c>
      <c r="BZ38" s="79">
        <v>0</v>
      </c>
      <c r="CA38" s="79">
        <v>0</v>
      </c>
      <c r="CB38" s="18">
        <f t="shared" si="25"/>
        <v>0</v>
      </c>
      <c r="CC38" s="79">
        <v>0</v>
      </c>
      <c r="CD38" s="79">
        <v>0</v>
      </c>
      <c r="CE38" s="18">
        <f t="shared" si="26"/>
        <v>0</v>
      </c>
      <c r="CF38" s="79">
        <v>0</v>
      </c>
      <c r="CG38" s="79">
        <v>0</v>
      </c>
      <c r="CH38" s="18">
        <f t="shared" si="27"/>
        <v>0</v>
      </c>
      <c r="CI38" s="79">
        <v>0</v>
      </c>
      <c r="CJ38" s="79">
        <v>0</v>
      </c>
      <c r="CK38" s="79">
        <f t="shared" si="29"/>
        <v>0</v>
      </c>
      <c r="CL38" s="79">
        <v>0</v>
      </c>
      <c r="CM38" s="79">
        <v>0</v>
      </c>
      <c r="CN38" s="80">
        <f t="shared" si="30"/>
        <v>0</v>
      </c>
      <c r="CO38" s="79">
        <v>0</v>
      </c>
      <c r="CP38" s="79">
        <v>0</v>
      </c>
      <c r="CQ38" s="125">
        <f t="shared" si="56"/>
        <v>0</v>
      </c>
      <c r="CR38" s="128">
        <v>0</v>
      </c>
      <c r="CS38" s="128">
        <v>0</v>
      </c>
      <c r="CT38" s="128">
        <f t="shared" si="58"/>
        <v>0</v>
      </c>
      <c r="CU38" s="128">
        <v>0</v>
      </c>
      <c r="CV38" s="128">
        <v>0</v>
      </c>
      <c r="CW38" s="128">
        <f t="shared" si="31"/>
        <v>0</v>
      </c>
      <c r="CX38" s="128"/>
      <c r="CY38" s="128"/>
      <c r="CZ38" s="128">
        <f t="shared" si="32"/>
        <v>0</v>
      </c>
      <c r="DA38" s="128"/>
      <c r="DB38" s="128"/>
      <c r="DC38" s="128">
        <f t="shared" si="33"/>
        <v>0</v>
      </c>
      <c r="DD38" s="128"/>
      <c r="DE38" s="128"/>
      <c r="DF38" s="215">
        <f t="shared" si="34"/>
        <v>0</v>
      </c>
      <c r="DG38" s="128"/>
      <c r="DH38" s="128"/>
      <c r="DI38" s="128">
        <f t="shared" si="35"/>
        <v>0</v>
      </c>
      <c r="DJ38" s="128"/>
      <c r="DK38" s="128"/>
      <c r="DL38" s="128">
        <f t="shared" si="36"/>
        <v>0</v>
      </c>
      <c r="DM38" s="128"/>
      <c r="DN38" s="128"/>
      <c r="DO38" s="215">
        <f t="shared" si="37"/>
        <v>0</v>
      </c>
      <c r="DP38" s="128"/>
      <c r="DQ38" s="128"/>
      <c r="DR38" s="215">
        <f t="shared" si="38"/>
        <v>0</v>
      </c>
      <c r="DS38" s="128"/>
      <c r="DT38" s="128"/>
      <c r="DU38" s="215">
        <f t="shared" si="39"/>
        <v>0</v>
      </c>
      <c r="DV38" s="128"/>
      <c r="DW38" s="128"/>
      <c r="DX38" s="215">
        <f t="shared" si="40"/>
        <v>0</v>
      </c>
      <c r="DY38" s="128"/>
      <c r="DZ38" s="128"/>
      <c r="EA38" s="215">
        <f t="shared" si="41"/>
        <v>0</v>
      </c>
      <c r="EB38" s="128"/>
      <c r="EC38" s="128"/>
      <c r="ED38" s="215">
        <f t="shared" si="42"/>
        <v>0</v>
      </c>
      <c r="EE38" s="128"/>
      <c r="EF38" s="128"/>
      <c r="EG38" s="215">
        <f t="shared" si="43"/>
        <v>0</v>
      </c>
      <c r="EH38" s="128"/>
      <c r="EI38" s="128"/>
      <c r="EJ38" s="215">
        <f t="shared" si="57"/>
        <v>0</v>
      </c>
      <c r="EK38" s="128"/>
      <c r="EL38" s="128"/>
      <c r="EM38" s="215">
        <f t="shared" si="44"/>
        <v>0</v>
      </c>
      <c r="EN38" s="128"/>
      <c r="EO38" s="128"/>
      <c r="EP38" s="215">
        <f t="shared" si="45"/>
        <v>0</v>
      </c>
      <c r="EQ38" s="128"/>
      <c r="ER38" s="128"/>
      <c r="ES38" s="128">
        <f t="shared" si="46"/>
        <v>0</v>
      </c>
      <c r="ET38" s="128"/>
      <c r="EU38" s="128"/>
      <c r="EV38" s="128">
        <f t="shared" si="47"/>
        <v>0</v>
      </c>
      <c r="EW38" s="128"/>
      <c r="EX38" s="128"/>
      <c r="EY38" s="128">
        <f t="shared" si="48"/>
        <v>0</v>
      </c>
      <c r="EZ38" s="128"/>
      <c r="FA38" s="128"/>
      <c r="FB38" s="128">
        <f t="shared" si="49"/>
        <v>0</v>
      </c>
      <c r="FC38" s="128"/>
      <c r="FD38" s="215"/>
      <c r="FE38" s="128">
        <f t="shared" si="50"/>
        <v>0</v>
      </c>
      <c r="FF38" s="128"/>
      <c r="FG38" s="128"/>
      <c r="FH38" s="128">
        <f t="shared" si="51"/>
        <v>0</v>
      </c>
      <c r="FI38" s="128"/>
      <c r="FJ38" s="128"/>
      <c r="FK38" s="128">
        <f t="shared" si="52"/>
        <v>0</v>
      </c>
      <c r="FL38" s="128"/>
      <c r="FM38" s="128"/>
      <c r="FN38" s="128">
        <f t="shared" si="60"/>
        <v>0</v>
      </c>
      <c r="FO38" s="128"/>
      <c r="FP38" s="128"/>
      <c r="FQ38" s="128">
        <f t="shared" si="53"/>
        <v>0</v>
      </c>
      <c r="FR38" s="128"/>
      <c r="FS38" s="128"/>
      <c r="FT38" s="128">
        <f t="shared" si="59"/>
        <v>0</v>
      </c>
      <c r="FU38" s="128"/>
      <c r="FV38" s="128"/>
      <c r="FW38" s="128">
        <f t="shared" si="55"/>
        <v>0</v>
      </c>
    </row>
    <row r="39" spans="1:192" ht="12.75" x14ac:dyDescent="0.2">
      <c r="A39" s="13" t="s">
        <v>113</v>
      </c>
      <c r="B39" s="29">
        <f>'INV. FEB'!BX39</f>
        <v>1</v>
      </c>
      <c r="C39" s="10">
        <v>0</v>
      </c>
      <c r="D39" s="10">
        <v>0</v>
      </c>
      <c r="E39" s="9">
        <f t="shared" si="0"/>
        <v>1</v>
      </c>
      <c r="F39" s="10">
        <v>0</v>
      </c>
      <c r="G39" s="10">
        <v>0</v>
      </c>
      <c r="H39" s="9">
        <f t="shared" si="1"/>
        <v>1</v>
      </c>
      <c r="I39" s="10">
        <v>0</v>
      </c>
      <c r="J39" s="10">
        <v>0</v>
      </c>
      <c r="K39" s="9">
        <f t="shared" si="2"/>
        <v>1</v>
      </c>
      <c r="L39" s="10">
        <v>0</v>
      </c>
      <c r="M39" s="10">
        <v>0</v>
      </c>
      <c r="N39" s="9">
        <f t="shared" si="3"/>
        <v>1</v>
      </c>
      <c r="O39" s="10">
        <v>0</v>
      </c>
      <c r="P39" s="10">
        <v>0</v>
      </c>
      <c r="Q39" s="9">
        <f t="shared" si="4"/>
        <v>1</v>
      </c>
      <c r="R39" s="10">
        <v>0</v>
      </c>
      <c r="S39" s="10">
        <v>0</v>
      </c>
      <c r="T39" s="9">
        <f t="shared" si="5"/>
        <v>1</v>
      </c>
      <c r="U39" s="10">
        <v>0</v>
      </c>
      <c r="V39" s="10">
        <v>0</v>
      </c>
      <c r="W39" s="9">
        <f t="shared" si="6"/>
        <v>1</v>
      </c>
      <c r="X39" s="10">
        <v>0</v>
      </c>
      <c r="Y39" s="10">
        <v>0</v>
      </c>
      <c r="Z39" s="9">
        <f t="shared" si="7"/>
        <v>1</v>
      </c>
      <c r="AA39" s="78">
        <v>0</v>
      </c>
      <c r="AB39" s="78">
        <v>0</v>
      </c>
      <c r="AC39" s="18">
        <f t="shared" si="8"/>
        <v>1</v>
      </c>
      <c r="AD39" s="78">
        <v>0</v>
      </c>
      <c r="AE39" s="78">
        <v>0</v>
      </c>
      <c r="AF39" s="18">
        <f t="shared" si="9"/>
        <v>1</v>
      </c>
      <c r="AG39" s="78">
        <v>0</v>
      </c>
      <c r="AH39" s="78">
        <v>0</v>
      </c>
      <c r="AI39" s="18">
        <f t="shared" si="10"/>
        <v>1</v>
      </c>
      <c r="AJ39" s="78">
        <v>0</v>
      </c>
      <c r="AK39" s="78">
        <v>0</v>
      </c>
      <c r="AL39" s="18">
        <f t="shared" si="11"/>
        <v>1</v>
      </c>
      <c r="AM39" s="78">
        <v>0</v>
      </c>
      <c r="AN39" s="78">
        <v>0</v>
      </c>
      <c r="AO39" s="18">
        <f t="shared" si="12"/>
        <v>1</v>
      </c>
      <c r="AP39" s="78">
        <v>0</v>
      </c>
      <c r="AQ39" s="78">
        <v>0</v>
      </c>
      <c r="AR39" s="18">
        <f t="shared" si="13"/>
        <v>1</v>
      </c>
      <c r="AS39" s="79">
        <v>0</v>
      </c>
      <c r="AT39" s="79">
        <v>0</v>
      </c>
      <c r="AU39" s="18">
        <f t="shared" si="14"/>
        <v>1</v>
      </c>
      <c r="AV39" s="79">
        <v>0</v>
      </c>
      <c r="AW39" s="79">
        <v>0</v>
      </c>
      <c r="AX39" s="18">
        <f t="shared" si="15"/>
        <v>1</v>
      </c>
      <c r="AY39" s="79">
        <v>0</v>
      </c>
      <c r="AZ39" s="79">
        <v>0</v>
      </c>
      <c r="BA39" s="18">
        <f t="shared" si="16"/>
        <v>1</v>
      </c>
      <c r="BB39" s="79">
        <v>0</v>
      </c>
      <c r="BC39" s="79">
        <v>0</v>
      </c>
      <c r="BD39" s="18">
        <f t="shared" si="17"/>
        <v>1</v>
      </c>
      <c r="BE39" s="79">
        <v>0</v>
      </c>
      <c r="BF39" s="79">
        <v>0</v>
      </c>
      <c r="BG39" s="18">
        <f t="shared" si="18"/>
        <v>1</v>
      </c>
      <c r="BH39" s="79">
        <v>0</v>
      </c>
      <c r="BI39" s="79">
        <v>0</v>
      </c>
      <c r="BJ39" s="18">
        <f t="shared" si="19"/>
        <v>1</v>
      </c>
      <c r="BK39" s="79">
        <v>0</v>
      </c>
      <c r="BL39" s="79">
        <v>0</v>
      </c>
      <c r="BM39" s="18">
        <f t="shared" si="20"/>
        <v>1</v>
      </c>
      <c r="BN39" s="79">
        <v>0</v>
      </c>
      <c r="BO39" s="79">
        <v>0</v>
      </c>
      <c r="BP39" s="18">
        <f t="shared" si="21"/>
        <v>1</v>
      </c>
      <c r="BQ39" s="79">
        <v>0</v>
      </c>
      <c r="BR39" s="79">
        <v>0</v>
      </c>
      <c r="BS39" s="18">
        <f t="shared" si="22"/>
        <v>1</v>
      </c>
      <c r="BT39" s="79">
        <v>0</v>
      </c>
      <c r="BU39" s="79">
        <v>0</v>
      </c>
      <c r="BV39" s="18">
        <f t="shared" si="23"/>
        <v>1</v>
      </c>
      <c r="BW39" s="79">
        <v>0</v>
      </c>
      <c r="BX39" s="79">
        <v>0</v>
      </c>
      <c r="BY39" s="18">
        <f t="shared" si="24"/>
        <v>1</v>
      </c>
      <c r="BZ39" s="79">
        <v>0</v>
      </c>
      <c r="CA39" s="79">
        <v>0</v>
      </c>
      <c r="CB39" s="18">
        <f t="shared" si="25"/>
        <v>1</v>
      </c>
      <c r="CC39" s="79">
        <v>0</v>
      </c>
      <c r="CD39" s="79">
        <v>0</v>
      </c>
      <c r="CE39" s="18">
        <f t="shared" si="26"/>
        <v>1</v>
      </c>
      <c r="CF39" s="79">
        <v>0</v>
      </c>
      <c r="CG39" s="79">
        <v>0</v>
      </c>
      <c r="CH39" s="18">
        <f t="shared" si="27"/>
        <v>1</v>
      </c>
      <c r="CI39" s="79">
        <v>0</v>
      </c>
      <c r="CJ39" s="79">
        <v>0</v>
      </c>
      <c r="CK39" s="79">
        <f t="shared" si="29"/>
        <v>1</v>
      </c>
      <c r="CL39" s="79">
        <v>0</v>
      </c>
      <c r="CM39" s="79">
        <v>0</v>
      </c>
      <c r="CN39" s="80">
        <f t="shared" si="30"/>
        <v>1</v>
      </c>
      <c r="CO39" s="79">
        <v>0</v>
      </c>
      <c r="CP39" s="79">
        <v>0</v>
      </c>
      <c r="CQ39" s="125">
        <f t="shared" si="56"/>
        <v>1</v>
      </c>
      <c r="CR39" s="128">
        <v>0</v>
      </c>
      <c r="CS39" s="128">
        <v>0</v>
      </c>
      <c r="CT39" s="128">
        <f t="shared" si="58"/>
        <v>1</v>
      </c>
      <c r="CU39" s="128">
        <v>0</v>
      </c>
      <c r="CV39" s="128">
        <v>0</v>
      </c>
      <c r="CW39" s="128">
        <f t="shared" si="31"/>
        <v>1</v>
      </c>
      <c r="CX39" s="128"/>
      <c r="CY39" s="128"/>
      <c r="CZ39" s="128">
        <f t="shared" si="32"/>
        <v>1</v>
      </c>
      <c r="DA39" s="128"/>
      <c r="DB39" s="128"/>
      <c r="DC39" s="128">
        <f t="shared" si="33"/>
        <v>1</v>
      </c>
      <c r="DD39" s="128"/>
      <c r="DE39" s="128"/>
      <c r="DF39" s="215">
        <f t="shared" si="34"/>
        <v>1</v>
      </c>
      <c r="DG39" s="128"/>
      <c r="DH39" s="128"/>
      <c r="DI39" s="128">
        <f t="shared" si="35"/>
        <v>1</v>
      </c>
      <c r="DJ39" s="128"/>
      <c r="DK39" s="128"/>
      <c r="DL39" s="128">
        <f t="shared" si="36"/>
        <v>1</v>
      </c>
      <c r="DM39" s="128"/>
      <c r="DN39" s="128"/>
      <c r="DO39" s="215">
        <f t="shared" si="37"/>
        <v>1</v>
      </c>
      <c r="DP39" s="128"/>
      <c r="DQ39" s="128"/>
      <c r="DR39" s="215">
        <f t="shared" si="38"/>
        <v>1</v>
      </c>
      <c r="DS39" s="128"/>
      <c r="DT39" s="128"/>
      <c r="DU39" s="215">
        <f t="shared" si="39"/>
        <v>1</v>
      </c>
      <c r="DV39" s="128"/>
      <c r="DW39" s="128"/>
      <c r="DX39" s="215">
        <f t="shared" si="40"/>
        <v>1</v>
      </c>
      <c r="DY39" s="128"/>
      <c r="DZ39" s="128"/>
      <c r="EA39" s="215">
        <f t="shared" si="41"/>
        <v>1</v>
      </c>
      <c r="EB39" s="128"/>
      <c r="EC39" s="128"/>
      <c r="ED39" s="215">
        <f t="shared" si="42"/>
        <v>1</v>
      </c>
      <c r="EE39" s="128"/>
      <c r="EF39" s="128"/>
      <c r="EG39" s="215">
        <f t="shared" si="43"/>
        <v>1</v>
      </c>
      <c r="EH39" s="128"/>
      <c r="EI39" s="128"/>
      <c r="EJ39" s="215">
        <f t="shared" si="57"/>
        <v>1</v>
      </c>
      <c r="EK39" s="128"/>
      <c r="EL39" s="128"/>
      <c r="EM39" s="215">
        <f t="shared" si="44"/>
        <v>1</v>
      </c>
      <c r="EN39" s="128"/>
      <c r="EO39" s="128"/>
      <c r="EP39" s="215">
        <f t="shared" si="45"/>
        <v>1</v>
      </c>
      <c r="EQ39" s="128"/>
      <c r="ER39" s="128"/>
      <c r="ES39" s="128">
        <f t="shared" si="46"/>
        <v>1</v>
      </c>
      <c r="ET39" s="128"/>
      <c r="EU39" s="128"/>
      <c r="EV39" s="128">
        <f t="shared" si="47"/>
        <v>1</v>
      </c>
      <c r="EW39" s="128"/>
      <c r="EX39" s="128"/>
      <c r="EY39" s="128">
        <f t="shared" si="48"/>
        <v>1</v>
      </c>
      <c r="EZ39" s="128"/>
      <c r="FA39" s="128"/>
      <c r="FB39" s="128">
        <f t="shared" si="49"/>
        <v>1</v>
      </c>
      <c r="FC39" s="128"/>
      <c r="FD39" s="215"/>
      <c r="FE39" s="128">
        <f t="shared" si="50"/>
        <v>1</v>
      </c>
      <c r="FF39" s="128"/>
      <c r="FG39" s="128"/>
      <c r="FH39" s="128">
        <f t="shared" si="51"/>
        <v>1</v>
      </c>
      <c r="FI39" s="128"/>
      <c r="FJ39" s="128"/>
      <c r="FK39" s="128">
        <f t="shared" si="52"/>
        <v>1</v>
      </c>
      <c r="FL39" s="128"/>
      <c r="FM39" s="128"/>
      <c r="FN39" s="128">
        <f t="shared" si="60"/>
        <v>1</v>
      </c>
      <c r="FO39" s="128"/>
      <c r="FP39" s="128"/>
      <c r="FQ39" s="128">
        <f t="shared" si="53"/>
        <v>1</v>
      </c>
      <c r="FR39" s="128"/>
      <c r="FS39" s="128"/>
      <c r="FT39" s="128">
        <f t="shared" si="59"/>
        <v>1</v>
      </c>
      <c r="FU39" s="128"/>
      <c r="FV39" s="128"/>
      <c r="FW39" s="128">
        <f t="shared" si="55"/>
        <v>1</v>
      </c>
    </row>
    <row r="40" spans="1:192" ht="12.75" x14ac:dyDescent="0.2">
      <c r="A40" s="13" t="s">
        <v>114</v>
      </c>
      <c r="B40" s="29">
        <f>'INV. FEB'!BX40</f>
        <v>1</v>
      </c>
      <c r="C40" s="10">
        <v>0</v>
      </c>
      <c r="D40" s="10">
        <v>0</v>
      </c>
      <c r="E40" s="9">
        <f t="shared" si="0"/>
        <v>1</v>
      </c>
      <c r="F40" s="10">
        <v>0</v>
      </c>
      <c r="G40" s="10">
        <v>0</v>
      </c>
      <c r="H40" s="9">
        <f t="shared" si="1"/>
        <v>1</v>
      </c>
      <c r="I40" s="10">
        <v>0</v>
      </c>
      <c r="J40" s="10">
        <v>0</v>
      </c>
      <c r="K40" s="9">
        <f t="shared" si="2"/>
        <v>1</v>
      </c>
      <c r="L40" s="10">
        <v>0</v>
      </c>
      <c r="M40" s="10">
        <v>0</v>
      </c>
      <c r="N40" s="9">
        <f t="shared" si="3"/>
        <v>1</v>
      </c>
      <c r="O40" s="10">
        <v>0</v>
      </c>
      <c r="P40" s="10">
        <v>0</v>
      </c>
      <c r="Q40" s="9">
        <f t="shared" si="4"/>
        <v>1</v>
      </c>
      <c r="R40" s="10">
        <v>0</v>
      </c>
      <c r="S40" s="10">
        <v>0</v>
      </c>
      <c r="T40" s="9">
        <f t="shared" si="5"/>
        <v>1</v>
      </c>
      <c r="U40" s="10">
        <v>0</v>
      </c>
      <c r="V40" s="10">
        <v>0</v>
      </c>
      <c r="W40" s="9">
        <f t="shared" si="6"/>
        <v>1</v>
      </c>
      <c r="X40" s="10">
        <v>0</v>
      </c>
      <c r="Y40" s="10">
        <v>0</v>
      </c>
      <c r="Z40" s="9">
        <f t="shared" si="7"/>
        <v>1</v>
      </c>
      <c r="AA40" s="78">
        <v>0</v>
      </c>
      <c r="AB40" s="78">
        <v>0</v>
      </c>
      <c r="AC40" s="18">
        <f t="shared" si="8"/>
        <v>1</v>
      </c>
      <c r="AD40" s="78">
        <v>0</v>
      </c>
      <c r="AE40" s="78">
        <v>0</v>
      </c>
      <c r="AF40" s="18">
        <f t="shared" si="9"/>
        <v>1</v>
      </c>
      <c r="AG40" s="78">
        <v>0</v>
      </c>
      <c r="AH40" s="78">
        <v>0</v>
      </c>
      <c r="AI40" s="18">
        <f t="shared" si="10"/>
        <v>1</v>
      </c>
      <c r="AJ40" s="78">
        <v>0</v>
      </c>
      <c r="AK40" s="78">
        <v>0</v>
      </c>
      <c r="AL40" s="18">
        <f t="shared" si="11"/>
        <v>1</v>
      </c>
      <c r="AM40" s="78">
        <v>0</v>
      </c>
      <c r="AN40" s="78">
        <v>0</v>
      </c>
      <c r="AO40" s="18">
        <f t="shared" si="12"/>
        <v>1</v>
      </c>
      <c r="AP40" s="78">
        <v>0</v>
      </c>
      <c r="AQ40" s="78">
        <v>0</v>
      </c>
      <c r="AR40" s="18">
        <f t="shared" si="13"/>
        <v>1</v>
      </c>
      <c r="AS40" s="79">
        <v>0</v>
      </c>
      <c r="AT40" s="79">
        <v>0</v>
      </c>
      <c r="AU40" s="18">
        <f t="shared" si="14"/>
        <v>1</v>
      </c>
      <c r="AV40" s="79">
        <v>0</v>
      </c>
      <c r="AW40" s="79">
        <v>0</v>
      </c>
      <c r="AX40" s="18">
        <f t="shared" si="15"/>
        <v>1</v>
      </c>
      <c r="AY40" s="79">
        <v>0</v>
      </c>
      <c r="AZ40" s="79">
        <v>0</v>
      </c>
      <c r="BA40" s="18">
        <f t="shared" si="16"/>
        <v>1</v>
      </c>
      <c r="BB40" s="79">
        <v>0</v>
      </c>
      <c r="BC40" s="79">
        <v>0</v>
      </c>
      <c r="BD40" s="18">
        <f t="shared" si="17"/>
        <v>1</v>
      </c>
      <c r="BE40" s="79">
        <v>0</v>
      </c>
      <c r="BF40" s="79">
        <v>0</v>
      </c>
      <c r="BG40" s="18">
        <f t="shared" si="18"/>
        <v>1</v>
      </c>
      <c r="BH40" s="79">
        <v>0</v>
      </c>
      <c r="BI40" s="79">
        <v>0</v>
      </c>
      <c r="BJ40" s="18">
        <f t="shared" si="19"/>
        <v>1</v>
      </c>
      <c r="BK40" s="79">
        <v>0</v>
      </c>
      <c r="BL40" s="79">
        <v>0</v>
      </c>
      <c r="BM40" s="18">
        <f t="shared" si="20"/>
        <v>1</v>
      </c>
      <c r="BN40" s="79">
        <v>0</v>
      </c>
      <c r="BO40" s="79">
        <v>0</v>
      </c>
      <c r="BP40" s="18">
        <f t="shared" si="21"/>
        <v>1</v>
      </c>
      <c r="BQ40" s="79">
        <v>0</v>
      </c>
      <c r="BR40" s="79">
        <v>0</v>
      </c>
      <c r="BS40" s="18">
        <f t="shared" si="22"/>
        <v>1</v>
      </c>
      <c r="BT40" s="79">
        <v>0</v>
      </c>
      <c r="BU40" s="79">
        <v>0</v>
      </c>
      <c r="BV40" s="18">
        <f t="shared" si="23"/>
        <v>1</v>
      </c>
      <c r="BW40" s="79">
        <v>0</v>
      </c>
      <c r="BX40" s="79">
        <v>0</v>
      </c>
      <c r="BY40" s="18">
        <f t="shared" si="24"/>
        <v>1</v>
      </c>
      <c r="BZ40" s="79">
        <v>0</v>
      </c>
      <c r="CA40" s="79">
        <v>0</v>
      </c>
      <c r="CB40" s="18">
        <f t="shared" si="25"/>
        <v>1</v>
      </c>
      <c r="CC40" s="79">
        <v>0</v>
      </c>
      <c r="CD40" s="79">
        <v>0</v>
      </c>
      <c r="CE40" s="18">
        <f t="shared" si="26"/>
        <v>1</v>
      </c>
      <c r="CF40" s="79">
        <v>0</v>
      </c>
      <c r="CG40" s="79">
        <v>0</v>
      </c>
      <c r="CH40" s="18">
        <f t="shared" si="27"/>
        <v>1</v>
      </c>
      <c r="CI40" s="79">
        <v>0</v>
      </c>
      <c r="CJ40" s="79">
        <v>0</v>
      </c>
      <c r="CK40" s="79">
        <f t="shared" si="29"/>
        <v>1</v>
      </c>
      <c r="CL40" s="79">
        <v>0</v>
      </c>
      <c r="CM40" s="79">
        <v>0</v>
      </c>
      <c r="CN40" s="80">
        <f t="shared" si="30"/>
        <v>1</v>
      </c>
      <c r="CO40" s="79">
        <v>0</v>
      </c>
      <c r="CP40" s="79">
        <v>0</v>
      </c>
      <c r="CQ40" s="125">
        <f t="shared" si="56"/>
        <v>1</v>
      </c>
      <c r="CR40" s="128">
        <v>0</v>
      </c>
      <c r="CS40" s="128">
        <v>0</v>
      </c>
      <c r="CT40" s="128">
        <f t="shared" si="58"/>
        <v>1</v>
      </c>
      <c r="CU40" s="128">
        <v>0</v>
      </c>
      <c r="CV40" s="128">
        <v>0</v>
      </c>
      <c r="CW40" s="128">
        <f t="shared" si="31"/>
        <v>1</v>
      </c>
      <c r="CX40" s="128"/>
      <c r="CY40" s="128"/>
      <c r="CZ40" s="128">
        <f t="shared" si="32"/>
        <v>1</v>
      </c>
      <c r="DA40" s="128"/>
      <c r="DB40" s="128"/>
      <c r="DC40" s="128">
        <f t="shared" si="33"/>
        <v>1</v>
      </c>
      <c r="DD40" s="128"/>
      <c r="DE40" s="128"/>
      <c r="DF40" s="215">
        <f t="shared" si="34"/>
        <v>1</v>
      </c>
      <c r="DG40" s="128"/>
      <c r="DH40" s="128"/>
      <c r="DI40" s="128">
        <f t="shared" si="35"/>
        <v>1</v>
      </c>
      <c r="DJ40" s="128"/>
      <c r="DK40" s="128"/>
      <c r="DL40" s="128">
        <f t="shared" si="36"/>
        <v>1</v>
      </c>
      <c r="DM40" s="128"/>
      <c r="DN40" s="128"/>
      <c r="DO40" s="215">
        <f t="shared" si="37"/>
        <v>1</v>
      </c>
      <c r="DP40" s="128"/>
      <c r="DQ40" s="128"/>
      <c r="DR40" s="215">
        <f t="shared" si="38"/>
        <v>1</v>
      </c>
      <c r="DS40" s="128"/>
      <c r="DT40" s="128"/>
      <c r="DU40" s="215">
        <f t="shared" si="39"/>
        <v>1</v>
      </c>
      <c r="DV40" s="128"/>
      <c r="DW40" s="128"/>
      <c r="DX40" s="215">
        <f t="shared" si="40"/>
        <v>1</v>
      </c>
      <c r="DY40" s="128"/>
      <c r="DZ40" s="128"/>
      <c r="EA40" s="215">
        <f t="shared" si="41"/>
        <v>1</v>
      </c>
      <c r="EB40" s="128"/>
      <c r="EC40" s="128"/>
      <c r="ED40" s="215">
        <f t="shared" si="42"/>
        <v>1</v>
      </c>
      <c r="EE40" s="128"/>
      <c r="EF40" s="128"/>
      <c r="EG40" s="215">
        <f t="shared" si="43"/>
        <v>1</v>
      </c>
      <c r="EH40" s="128"/>
      <c r="EI40" s="128"/>
      <c r="EJ40" s="215">
        <f t="shared" si="57"/>
        <v>1</v>
      </c>
      <c r="EK40" s="128"/>
      <c r="EL40" s="128"/>
      <c r="EM40" s="215">
        <f t="shared" si="44"/>
        <v>1</v>
      </c>
      <c r="EN40" s="128"/>
      <c r="EO40" s="128"/>
      <c r="EP40" s="215">
        <f t="shared" si="45"/>
        <v>1</v>
      </c>
      <c r="EQ40" s="128"/>
      <c r="ER40" s="128"/>
      <c r="ES40" s="128">
        <f t="shared" si="46"/>
        <v>1</v>
      </c>
      <c r="ET40" s="128"/>
      <c r="EU40" s="128"/>
      <c r="EV40" s="128">
        <f t="shared" si="47"/>
        <v>1</v>
      </c>
      <c r="EW40" s="128"/>
      <c r="EX40" s="128"/>
      <c r="EY40" s="128">
        <f t="shared" si="48"/>
        <v>1</v>
      </c>
      <c r="EZ40" s="128"/>
      <c r="FA40" s="128"/>
      <c r="FB40" s="128">
        <f t="shared" si="49"/>
        <v>1</v>
      </c>
      <c r="FC40" s="128"/>
      <c r="FD40" s="215"/>
      <c r="FE40" s="128">
        <f t="shared" si="50"/>
        <v>1</v>
      </c>
      <c r="FF40" s="128"/>
      <c r="FG40" s="128"/>
      <c r="FH40" s="128">
        <f t="shared" si="51"/>
        <v>1</v>
      </c>
      <c r="FI40" s="128"/>
      <c r="FJ40" s="128"/>
      <c r="FK40" s="128">
        <f t="shared" si="52"/>
        <v>1</v>
      </c>
      <c r="FL40" s="128"/>
      <c r="FM40" s="128"/>
      <c r="FN40" s="128">
        <f t="shared" si="60"/>
        <v>1</v>
      </c>
      <c r="FO40" s="128"/>
      <c r="FP40" s="128"/>
      <c r="FQ40" s="128">
        <f t="shared" si="53"/>
        <v>1</v>
      </c>
      <c r="FR40" s="128"/>
      <c r="FS40" s="128"/>
      <c r="FT40" s="128">
        <f t="shared" si="59"/>
        <v>1</v>
      </c>
      <c r="FU40" s="128"/>
      <c r="FV40" s="128"/>
      <c r="FW40" s="128">
        <f t="shared" si="55"/>
        <v>1</v>
      </c>
    </row>
    <row r="41" spans="1:192" ht="12.75" x14ac:dyDescent="0.2">
      <c r="A41" s="5" t="s">
        <v>115</v>
      </c>
      <c r="B41" s="29">
        <f>'INV. FEB'!BX41</f>
        <v>3</v>
      </c>
      <c r="C41" s="10">
        <v>0</v>
      </c>
      <c r="D41" s="10">
        <v>0</v>
      </c>
      <c r="E41" s="9">
        <f t="shared" si="0"/>
        <v>3</v>
      </c>
      <c r="F41" s="10">
        <v>0</v>
      </c>
      <c r="G41" s="10">
        <v>0</v>
      </c>
      <c r="H41" s="9">
        <f t="shared" si="1"/>
        <v>3</v>
      </c>
      <c r="I41" s="10">
        <v>0</v>
      </c>
      <c r="J41" s="10">
        <v>0</v>
      </c>
      <c r="K41" s="9">
        <f t="shared" si="2"/>
        <v>3</v>
      </c>
      <c r="L41" s="10">
        <v>0</v>
      </c>
      <c r="M41" s="10">
        <v>0</v>
      </c>
      <c r="N41" s="9">
        <f t="shared" si="3"/>
        <v>3</v>
      </c>
      <c r="O41" s="10">
        <v>0</v>
      </c>
      <c r="P41" s="10">
        <v>0</v>
      </c>
      <c r="Q41" s="9">
        <f t="shared" si="4"/>
        <v>3</v>
      </c>
      <c r="R41" s="10">
        <v>0</v>
      </c>
      <c r="S41" s="10">
        <v>0</v>
      </c>
      <c r="T41" s="9">
        <f t="shared" si="5"/>
        <v>3</v>
      </c>
      <c r="U41" s="10">
        <v>0</v>
      </c>
      <c r="V41" s="10">
        <v>0</v>
      </c>
      <c r="W41" s="9">
        <f t="shared" si="6"/>
        <v>3</v>
      </c>
      <c r="X41" s="10">
        <v>0</v>
      </c>
      <c r="Y41" s="10">
        <v>0</v>
      </c>
      <c r="Z41" s="9">
        <f t="shared" si="7"/>
        <v>3</v>
      </c>
      <c r="AA41" s="78">
        <v>0</v>
      </c>
      <c r="AB41" s="78">
        <v>0</v>
      </c>
      <c r="AC41" s="18">
        <f t="shared" si="8"/>
        <v>3</v>
      </c>
      <c r="AD41" s="78">
        <v>0</v>
      </c>
      <c r="AE41" s="78">
        <v>0</v>
      </c>
      <c r="AF41" s="18">
        <f t="shared" si="9"/>
        <v>3</v>
      </c>
      <c r="AG41" s="78">
        <v>0</v>
      </c>
      <c r="AH41" s="78">
        <v>0</v>
      </c>
      <c r="AI41" s="18">
        <f t="shared" si="10"/>
        <v>3</v>
      </c>
      <c r="AJ41" s="78">
        <v>0</v>
      </c>
      <c r="AK41" s="78">
        <v>0</v>
      </c>
      <c r="AL41" s="18">
        <f t="shared" si="11"/>
        <v>3</v>
      </c>
      <c r="AM41" s="78">
        <v>0</v>
      </c>
      <c r="AN41" s="78">
        <v>0</v>
      </c>
      <c r="AO41" s="18">
        <f t="shared" si="12"/>
        <v>3</v>
      </c>
      <c r="AP41" s="78">
        <v>0</v>
      </c>
      <c r="AQ41" s="78">
        <v>0</v>
      </c>
      <c r="AR41" s="18">
        <f t="shared" si="13"/>
        <v>3</v>
      </c>
      <c r="AS41" s="79">
        <v>0</v>
      </c>
      <c r="AT41" s="80">
        <v>1</v>
      </c>
      <c r="AU41" s="18">
        <f t="shared" si="14"/>
        <v>2</v>
      </c>
      <c r="AV41" s="79">
        <v>0</v>
      </c>
      <c r="AW41" s="79">
        <v>0</v>
      </c>
      <c r="AX41" s="18">
        <f t="shared" si="15"/>
        <v>2</v>
      </c>
      <c r="AY41" s="79">
        <v>0</v>
      </c>
      <c r="AZ41" s="79">
        <v>0</v>
      </c>
      <c r="BA41" s="18">
        <f t="shared" si="16"/>
        <v>2</v>
      </c>
      <c r="BB41" s="79">
        <v>0</v>
      </c>
      <c r="BC41" s="79">
        <v>0</v>
      </c>
      <c r="BD41" s="18">
        <f t="shared" si="17"/>
        <v>2</v>
      </c>
      <c r="BE41" s="79">
        <v>0</v>
      </c>
      <c r="BF41" s="79">
        <v>0</v>
      </c>
      <c r="BG41" s="18">
        <f t="shared" si="18"/>
        <v>2</v>
      </c>
      <c r="BH41" s="79">
        <v>0</v>
      </c>
      <c r="BI41" s="79">
        <v>0</v>
      </c>
      <c r="BJ41" s="18">
        <f t="shared" si="19"/>
        <v>2</v>
      </c>
      <c r="BK41" s="79">
        <v>0</v>
      </c>
      <c r="BL41" s="79">
        <v>0</v>
      </c>
      <c r="BM41" s="18">
        <f t="shared" si="20"/>
        <v>2</v>
      </c>
      <c r="BN41" s="79">
        <v>0</v>
      </c>
      <c r="BO41" s="79">
        <v>0</v>
      </c>
      <c r="BP41" s="18">
        <f t="shared" si="21"/>
        <v>2</v>
      </c>
      <c r="BQ41" s="79">
        <v>0</v>
      </c>
      <c r="BR41" s="79">
        <v>0</v>
      </c>
      <c r="BS41" s="18">
        <f t="shared" si="22"/>
        <v>2</v>
      </c>
      <c r="BT41" s="79">
        <v>0</v>
      </c>
      <c r="BU41" s="79">
        <v>0</v>
      </c>
      <c r="BV41" s="18">
        <f t="shared" si="23"/>
        <v>2</v>
      </c>
      <c r="BW41" s="79">
        <v>0</v>
      </c>
      <c r="BX41" s="79">
        <v>0</v>
      </c>
      <c r="BY41" s="18">
        <f t="shared" si="24"/>
        <v>2</v>
      </c>
      <c r="BZ41" s="79">
        <v>0</v>
      </c>
      <c r="CA41" s="79">
        <v>0</v>
      </c>
      <c r="CB41" s="18">
        <f t="shared" si="25"/>
        <v>2</v>
      </c>
      <c r="CC41" s="79">
        <v>0</v>
      </c>
      <c r="CD41" s="79">
        <v>0</v>
      </c>
      <c r="CE41" s="18">
        <f t="shared" si="26"/>
        <v>2</v>
      </c>
      <c r="CF41" s="79">
        <v>0</v>
      </c>
      <c r="CG41" s="79">
        <v>0</v>
      </c>
      <c r="CH41" s="18">
        <f t="shared" si="27"/>
        <v>2</v>
      </c>
      <c r="CI41" s="79">
        <v>0</v>
      </c>
      <c r="CJ41" s="79">
        <v>0</v>
      </c>
      <c r="CK41" s="79">
        <f t="shared" si="29"/>
        <v>2</v>
      </c>
      <c r="CL41" s="79">
        <v>0</v>
      </c>
      <c r="CM41" s="79">
        <v>0</v>
      </c>
      <c r="CN41" s="80">
        <v>1</v>
      </c>
      <c r="CO41" s="79">
        <v>1</v>
      </c>
      <c r="CP41" s="79">
        <v>0</v>
      </c>
      <c r="CQ41" s="125">
        <f t="shared" si="56"/>
        <v>2</v>
      </c>
      <c r="CR41" s="128">
        <v>0</v>
      </c>
      <c r="CS41" s="128">
        <v>0</v>
      </c>
      <c r="CT41" s="128">
        <f t="shared" si="58"/>
        <v>2</v>
      </c>
      <c r="CU41" s="128">
        <v>0</v>
      </c>
      <c r="CV41" s="128">
        <v>0</v>
      </c>
      <c r="CW41" s="128">
        <f t="shared" si="31"/>
        <v>2</v>
      </c>
      <c r="CX41" s="128"/>
      <c r="CY41" s="128">
        <v>1</v>
      </c>
      <c r="CZ41" s="128">
        <f t="shared" si="32"/>
        <v>1</v>
      </c>
      <c r="DA41" s="128">
        <v>1</v>
      </c>
      <c r="DB41" s="128"/>
      <c r="DC41" s="128">
        <f t="shared" si="33"/>
        <v>2</v>
      </c>
      <c r="DD41" s="128">
        <v>0</v>
      </c>
      <c r="DE41" s="128">
        <v>0</v>
      </c>
      <c r="DF41" s="215">
        <f t="shared" si="34"/>
        <v>2</v>
      </c>
      <c r="DG41" s="128"/>
      <c r="DH41" s="128"/>
      <c r="DI41" s="128">
        <f t="shared" si="35"/>
        <v>2</v>
      </c>
      <c r="DJ41" s="128"/>
      <c r="DK41" s="128"/>
      <c r="DL41" s="128">
        <f t="shared" si="36"/>
        <v>2</v>
      </c>
      <c r="DM41" s="128"/>
      <c r="DN41" s="128"/>
      <c r="DO41" s="215">
        <f t="shared" si="37"/>
        <v>2</v>
      </c>
      <c r="DP41" s="128"/>
      <c r="DQ41" s="128"/>
      <c r="DR41" s="215">
        <f t="shared" si="38"/>
        <v>2</v>
      </c>
      <c r="DS41" s="128"/>
      <c r="DT41" s="128"/>
      <c r="DU41" s="215">
        <f t="shared" si="39"/>
        <v>2</v>
      </c>
      <c r="DV41" s="128"/>
      <c r="DW41" s="128"/>
      <c r="DX41" s="215">
        <f t="shared" si="40"/>
        <v>2</v>
      </c>
      <c r="DY41" s="128"/>
      <c r="DZ41" s="128"/>
      <c r="EA41" s="215">
        <f t="shared" si="41"/>
        <v>2</v>
      </c>
      <c r="EB41" s="128"/>
      <c r="EC41" s="128"/>
      <c r="ED41" s="215">
        <f t="shared" si="42"/>
        <v>2</v>
      </c>
      <c r="EE41" s="128"/>
      <c r="EF41" s="128"/>
      <c r="EG41" s="215">
        <f t="shared" si="43"/>
        <v>2</v>
      </c>
      <c r="EH41" s="128"/>
      <c r="EI41" s="128"/>
      <c r="EJ41" s="215">
        <f t="shared" si="57"/>
        <v>2</v>
      </c>
      <c r="EK41" s="128"/>
      <c r="EL41" s="128"/>
      <c r="EM41" s="215">
        <f t="shared" si="44"/>
        <v>2</v>
      </c>
      <c r="EN41" s="128"/>
      <c r="EO41" s="128"/>
      <c r="EP41" s="215">
        <f t="shared" si="45"/>
        <v>2</v>
      </c>
      <c r="EQ41" s="128"/>
      <c r="ER41" s="128"/>
      <c r="ES41" s="128">
        <f t="shared" si="46"/>
        <v>2</v>
      </c>
      <c r="ET41" s="128"/>
      <c r="EU41" s="128"/>
      <c r="EV41" s="128">
        <f t="shared" si="47"/>
        <v>2</v>
      </c>
      <c r="EW41" s="128"/>
      <c r="EX41" s="128"/>
      <c r="EY41" s="128">
        <f t="shared" si="48"/>
        <v>2</v>
      </c>
      <c r="EZ41" s="128"/>
      <c r="FA41" s="128"/>
      <c r="FB41" s="128">
        <f t="shared" si="49"/>
        <v>2</v>
      </c>
      <c r="FC41" s="128"/>
      <c r="FD41" s="215"/>
      <c r="FE41" s="128">
        <f t="shared" si="50"/>
        <v>2</v>
      </c>
      <c r="FF41" s="128"/>
      <c r="FG41" s="128"/>
      <c r="FH41" s="128">
        <f t="shared" si="51"/>
        <v>2</v>
      </c>
      <c r="FI41" s="128"/>
      <c r="FJ41" s="128"/>
      <c r="FK41" s="128">
        <f t="shared" si="52"/>
        <v>2</v>
      </c>
      <c r="FL41" s="128"/>
      <c r="FM41" s="128"/>
      <c r="FN41" s="128">
        <f t="shared" si="60"/>
        <v>2</v>
      </c>
      <c r="FO41" s="128"/>
      <c r="FP41" s="128"/>
      <c r="FQ41" s="128">
        <f t="shared" si="53"/>
        <v>2</v>
      </c>
      <c r="FR41" s="128"/>
      <c r="FS41" s="128"/>
      <c r="FT41" s="128">
        <f t="shared" si="59"/>
        <v>2</v>
      </c>
      <c r="FU41" s="128"/>
      <c r="FV41" s="128"/>
      <c r="FW41" s="128">
        <f t="shared" si="55"/>
        <v>2</v>
      </c>
    </row>
    <row r="42" spans="1:192" s="181" customFormat="1" ht="12.75" x14ac:dyDescent="0.2">
      <c r="A42" s="172" t="s">
        <v>116</v>
      </c>
      <c r="B42" s="173">
        <f>'INV. FEB'!BX42</f>
        <v>38</v>
      </c>
      <c r="C42" s="174">
        <v>0</v>
      </c>
      <c r="D42" s="174">
        <v>6</v>
      </c>
      <c r="E42" s="175">
        <f t="shared" si="0"/>
        <v>32</v>
      </c>
      <c r="F42" s="174">
        <v>0</v>
      </c>
      <c r="G42" s="174">
        <v>21</v>
      </c>
      <c r="H42" s="175">
        <f t="shared" si="1"/>
        <v>11</v>
      </c>
      <c r="I42" s="174">
        <v>40</v>
      </c>
      <c r="J42" s="174">
        <v>1</v>
      </c>
      <c r="K42" s="175">
        <f t="shared" si="2"/>
        <v>50</v>
      </c>
      <c r="L42" s="174">
        <v>0</v>
      </c>
      <c r="M42" s="174">
        <v>1</v>
      </c>
      <c r="N42" s="175">
        <f t="shared" si="3"/>
        <v>49</v>
      </c>
      <c r="O42" s="174">
        <v>0</v>
      </c>
      <c r="P42" s="174">
        <v>0</v>
      </c>
      <c r="Q42" s="175">
        <f t="shared" si="4"/>
        <v>49</v>
      </c>
      <c r="R42" s="174">
        <v>0</v>
      </c>
      <c r="S42" s="174">
        <v>5</v>
      </c>
      <c r="T42" s="175">
        <f t="shared" si="5"/>
        <v>44</v>
      </c>
      <c r="U42" s="174">
        <v>0</v>
      </c>
      <c r="V42" s="174">
        <v>11</v>
      </c>
      <c r="W42" s="175">
        <f t="shared" si="6"/>
        <v>33</v>
      </c>
      <c r="X42" s="174">
        <v>0</v>
      </c>
      <c r="Y42" s="174">
        <v>2</v>
      </c>
      <c r="Z42" s="175">
        <f t="shared" si="7"/>
        <v>31</v>
      </c>
      <c r="AA42" s="176">
        <v>0</v>
      </c>
      <c r="AB42" s="176">
        <v>3</v>
      </c>
      <c r="AC42" s="177">
        <f t="shared" si="8"/>
        <v>28</v>
      </c>
      <c r="AD42" s="176">
        <v>0</v>
      </c>
      <c r="AE42" s="176">
        <v>13</v>
      </c>
      <c r="AF42" s="177">
        <f t="shared" si="9"/>
        <v>15</v>
      </c>
      <c r="AG42" s="176">
        <v>0</v>
      </c>
      <c r="AH42" s="176">
        <v>5</v>
      </c>
      <c r="AI42" s="177">
        <f t="shared" si="10"/>
        <v>10</v>
      </c>
      <c r="AJ42" s="176">
        <v>40</v>
      </c>
      <c r="AK42" s="176">
        <v>4</v>
      </c>
      <c r="AL42" s="177">
        <f t="shared" si="11"/>
        <v>46</v>
      </c>
      <c r="AM42" s="176">
        <v>0</v>
      </c>
      <c r="AN42" s="176">
        <v>8</v>
      </c>
      <c r="AO42" s="177">
        <f t="shared" si="12"/>
        <v>38</v>
      </c>
      <c r="AP42" s="176">
        <v>0</v>
      </c>
      <c r="AQ42" s="176">
        <v>4</v>
      </c>
      <c r="AR42" s="177">
        <f t="shared" si="13"/>
        <v>34</v>
      </c>
      <c r="AS42" s="176">
        <v>0</v>
      </c>
      <c r="AT42" s="177">
        <v>3</v>
      </c>
      <c r="AU42" s="177">
        <f t="shared" si="14"/>
        <v>31</v>
      </c>
      <c r="AV42" s="176">
        <v>0</v>
      </c>
      <c r="AW42" s="176">
        <v>0</v>
      </c>
      <c r="AX42" s="177">
        <f t="shared" si="15"/>
        <v>31</v>
      </c>
      <c r="AY42" s="176">
        <v>0</v>
      </c>
      <c r="AZ42" s="176">
        <v>2</v>
      </c>
      <c r="BA42" s="177">
        <f t="shared" si="16"/>
        <v>29</v>
      </c>
      <c r="BB42" s="176">
        <v>0</v>
      </c>
      <c r="BC42" s="176">
        <v>0</v>
      </c>
      <c r="BD42" s="177">
        <f t="shared" si="17"/>
        <v>29</v>
      </c>
      <c r="BE42" s="176">
        <v>0</v>
      </c>
      <c r="BF42" s="176">
        <v>0</v>
      </c>
      <c r="BG42" s="177">
        <f t="shared" si="18"/>
        <v>29</v>
      </c>
      <c r="BH42" s="176">
        <v>0</v>
      </c>
      <c r="BI42" s="176">
        <v>0</v>
      </c>
      <c r="BJ42" s="177">
        <f t="shared" si="19"/>
        <v>29</v>
      </c>
      <c r="BK42" s="176">
        <v>0</v>
      </c>
      <c r="BL42" s="176">
        <v>1</v>
      </c>
      <c r="BM42" s="177">
        <f t="shared" si="20"/>
        <v>28</v>
      </c>
      <c r="BN42" s="176">
        <v>0</v>
      </c>
      <c r="BO42" s="176">
        <v>0</v>
      </c>
      <c r="BP42" s="177">
        <f t="shared" si="21"/>
        <v>28</v>
      </c>
      <c r="BQ42" s="176">
        <v>0</v>
      </c>
      <c r="BR42" s="176">
        <v>3</v>
      </c>
      <c r="BS42" s="177">
        <f t="shared" si="22"/>
        <v>25</v>
      </c>
      <c r="BT42" s="176">
        <v>0</v>
      </c>
      <c r="BU42" s="176">
        <v>1</v>
      </c>
      <c r="BV42" s="177">
        <f t="shared" si="23"/>
        <v>24</v>
      </c>
      <c r="BW42" s="176">
        <v>0</v>
      </c>
      <c r="BX42" s="176">
        <v>1</v>
      </c>
      <c r="BY42" s="177">
        <f t="shared" si="24"/>
        <v>23</v>
      </c>
      <c r="BZ42" s="176">
        <v>0</v>
      </c>
      <c r="CA42" s="176">
        <v>1</v>
      </c>
      <c r="CB42" s="177">
        <f t="shared" si="25"/>
        <v>22</v>
      </c>
      <c r="CC42" s="176">
        <v>0</v>
      </c>
      <c r="CD42" s="176">
        <v>4</v>
      </c>
      <c r="CE42" s="177">
        <f t="shared" si="26"/>
        <v>18</v>
      </c>
      <c r="CF42" s="176">
        <v>0</v>
      </c>
      <c r="CG42" s="176">
        <v>2</v>
      </c>
      <c r="CH42" s="177">
        <f t="shared" si="27"/>
        <v>16</v>
      </c>
      <c r="CI42" s="176">
        <v>0</v>
      </c>
      <c r="CJ42" s="176">
        <v>9</v>
      </c>
      <c r="CK42" s="176">
        <f t="shared" si="29"/>
        <v>7</v>
      </c>
      <c r="CL42" s="176">
        <v>0</v>
      </c>
      <c r="CM42" s="176">
        <v>9</v>
      </c>
      <c r="CN42" s="177">
        <f t="shared" si="30"/>
        <v>-2</v>
      </c>
      <c r="CO42" s="176">
        <v>40</v>
      </c>
      <c r="CP42" s="176">
        <v>0</v>
      </c>
      <c r="CQ42" s="178">
        <v>25</v>
      </c>
      <c r="CR42" s="179"/>
      <c r="CS42" s="180">
        <v>5</v>
      </c>
      <c r="CT42" s="180">
        <f t="shared" si="58"/>
        <v>20</v>
      </c>
      <c r="CU42" s="180">
        <v>0</v>
      </c>
      <c r="CV42" s="180">
        <v>1</v>
      </c>
      <c r="CW42" s="180">
        <f t="shared" si="31"/>
        <v>19</v>
      </c>
      <c r="CX42" s="180"/>
      <c r="CY42" s="180"/>
      <c r="CZ42" s="180">
        <f t="shared" si="32"/>
        <v>19</v>
      </c>
      <c r="DA42" s="180">
        <v>0</v>
      </c>
      <c r="DB42" s="180">
        <v>10</v>
      </c>
      <c r="DC42" s="180">
        <f t="shared" si="33"/>
        <v>9</v>
      </c>
      <c r="DD42" s="180"/>
      <c r="DE42" s="180">
        <v>3</v>
      </c>
      <c r="DF42" s="221">
        <f t="shared" si="34"/>
        <v>6</v>
      </c>
      <c r="DG42" s="180">
        <v>40</v>
      </c>
      <c r="DH42" s="180">
        <v>0</v>
      </c>
      <c r="DI42" s="180">
        <f t="shared" si="35"/>
        <v>46</v>
      </c>
      <c r="DJ42" s="180"/>
      <c r="DK42" s="180">
        <v>8</v>
      </c>
      <c r="DL42" s="180">
        <f t="shared" si="36"/>
        <v>38</v>
      </c>
      <c r="DM42" s="180"/>
      <c r="DN42" s="180">
        <v>5</v>
      </c>
      <c r="DO42" s="221">
        <f t="shared" si="37"/>
        <v>33</v>
      </c>
      <c r="DP42" s="180"/>
      <c r="DQ42" s="180"/>
      <c r="DR42" s="221">
        <f t="shared" si="38"/>
        <v>33</v>
      </c>
      <c r="DS42" s="180"/>
      <c r="DT42" s="180">
        <v>5</v>
      </c>
      <c r="DU42" s="221">
        <f t="shared" si="39"/>
        <v>28</v>
      </c>
      <c r="DV42" s="180"/>
      <c r="DW42" s="180"/>
      <c r="DX42" s="221">
        <f t="shared" si="40"/>
        <v>28</v>
      </c>
      <c r="DY42" s="180"/>
      <c r="DZ42" s="180"/>
      <c r="EA42" s="221">
        <f t="shared" si="41"/>
        <v>28</v>
      </c>
      <c r="EB42" s="180"/>
      <c r="EC42" s="180">
        <v>1</v>
      </c>
      <c r="ED42" s="221">
        <f t="shared" si="42"/>
        <v>27</v>
      </c>
      <c r="EE42" s="180"/>
      <c r="EF42" s="180"/>
      <c r="EG42" s="215">
        <f t="shared" si="43"/>
        <v>27</v>
      </c>
      <c r="EH42" s="180"/>
      <c r="EI42" s="180"/>
      <c r="EJ42" s="215">
        <f t="shared" si="57"/>
        <v>27</v>
      </c>
      <c r="EK42" s="180"/>
      <c r="EL42" s="180"/>
      <c r="EM42" s="221">
        <f t="shared" si="44"/>
        <v>27</v>
      </c>
      <c r="EN42" s="180"/>
      <c r="EO42" s="180"/>
      <c r="EP42" s="221">
        <f t="shared" si="45"/>
        <v>27</v>
      </c>
      <c r="EQ42" s="180"/>
      <c r="ER42" s="180"/>
      <c r="ES42" s="128">
        <f t="shared" si="46"/>
        <v>27</v>
      </c>
      <c r="ET42" s="180"/>
      <c r="EU42" s="180"/>
      <c r="EV42" s="128">
        <f t="shared" si="47"/>
        <v>27</v>
      </c>
      <c r="EW42" s="180"/>
      <c r="EX42" s="180"/>
      <c r="EY42" s="128">
        <f t="shared" si="48"/>
        <v>27</v>
      </c>
      <c r="EZ42" s="180"/>
      <c r="FA42" s="180"/>
      <c r="FB42" s="128">
        <f t="shared" si="49"/>
        <v>27</v>
      </c>
      <c r="FC42" s="180"/>
      <c r="FD42" s="221"/>
      <c r="FE42" s="128">
        <f t="shared" si="50"/>
        <v>27</v>
      </c>
      <c r="FF42" s="180"/>
      <c r="FG42" s="180"/>
      <c r="FH42" s="128">
        <f t="shared" si="51"/>
        <v>27</v>
      </c>
      <c r="FI42" s="180"/>
      <c r="FJ42" s="180"/>
      <c r="FK42" s="128">
        <f t="shared" si="52"/>
        <v>27</v>
      </c>
      <c r="FL42" s="180"/>
      <c r="FM42" s="180"/>
      <c r="FN42" s="128">
        <f t="shared" si="60"/>
        <v>27</v>
      </c>
      <c r="FO42" s="180"/>
      <c r="FP42" s="180"/>
      <c r="FQ42" s="128">
        <f t="shared" si="53"/>
        <v>27</v>
      </c>
      <c r="FR42" s="180"/>
      <c r="FS42" s="180"/>
      <c r="FT42" s="128">
        <f t="shared" si="59"/>
        <v>27</v>
      </c>
      <c r="FU42" s="180"/>
      <c r="FV42" s="180"/>
      <c r="FW42" s="128">
        <f t="shared" si="55"/>
        <v>27</v>
      </c>
      <c r="FX42"/>
      <c r="FY42"/>
      <c r="FZ42"/>
      <c r="GA42"/>
      <c r="GB42"/>
      <c r="GC42"/>
      <c r="GD42"/>
      <c r="GE42"/>
      <c r="GF42"/>
      <c r="GG42"/>
      <c r="GH42"/>
      <c r="GI42"/>
      <c r="GJ42"/>
    </row>
    <row r="43" spans="1:192" ht="12.75" x14ac:dyDescent="0.2">
      <c r="A43" s="5" t="s">
        <v>117</v>
      </c>
      <c r="B43" s="29">
        <f>'INV. FEB'!BX43</f>
        <v>2</v>
      </c>
      <c r="C43" s="10">
        <v>0</v>
      </c>
      <c r="D43" s="10">
        <v>0</v>
      </c>
      <c r="E43" s="9">
        <f t="shared" si="0"/>
        <v>2</v>
      </c>
      <c r="F43" s="10">
        <v>0</v>
      </c>
      <c r="G43" s="10">
        <v>0</v>
      </c>
      <c r="H43" s="9">
        <f t="shared" si="1"/>
        <v>2</v>
      </c>
      <c r="I43" s="10">
        <v>0</v>
      </c>
      <c r="J43" s="10">
        <v>0</v>
      </c>
      <c r="K43" s="9">
        <f t="shared" si="2"/>
        <v>2</v>
      </c>
      <c r="L43" s="10">
        <v>0</v>
      </c>
      <c r="M43" s="10">
        <v>0</v>
      </c>
      <c r="N43" s="9">
        <f t="shared" si="3"/>
        <v>2</v>
      </c>
      <c r="O43" s="10">
        <v>0</v>
      </c>
      <c r="P43" s="10">
        <v>0</v>
      </c>
      <c r="Q43" s="9">
        <f t="shared" si="4"/>
        <v>2</v>
      </c>
      <c r="R43" s="10">
        <v>0</v>
      </c>
      <c r="S43" s="10">
        <v>0</v>
      </c>
      <c r="T43" s="9">
        <f t="shared" si="5"/>
        <v>2</v>
      </c>
      <c r="U43" s="10">
        <v>0</v>
      </c>
      <c r="V43" s="10">
        <v>1</v>
      </c>
      <c r="W43" s="9">
        <f t="shared" si="6"/>
        <v>1</v>
      </c>
      <c r="X43" s="10">
        <v>1</v>
      </c>
      <c r="Y43" s="10">
        <v>0</v>
      </c>
      <c r="Z43" s="9">
        <f t="shared" si="7"/>
        <v>2</v>
      </c>
      <c r="AA43" s="78">
        <v>0</v>
      </c>
      <c r="AB43" s="79">
        <v>1</v>
      </c>
      <c r="AC43" s="18">
        <f t="shared" si="8"/>
        <v>1</v>
      </c>
      <c r="AD43" s="79">
        <v>1</v>
      </c>
      <c r="AE43" s="78">
        <v>0</v>
      </c>
      <c r="AF43" s="18">
        <f t="shared" si="9"/>
        <v>2</v>
      </c>
      <c r="AG43" s="78">
        <v>0</v>
      </c>
      <c r="AH43" s="78">
        <v>0</v>
      </c>
      <c r="AI43" s="18">
        <f t="shared" si="10"/>
        <v>2</v>
      </c>
      <c r="AJ43" s="78">
        <v>0</v>
      </c>
      <c r="AK43" s="78">
        <v>0</v>
      </c>
      <c r="AL43" s="18">
        <f t="shared" si="11"/>
        <v>2</v>
      </c>
      <c r="AM43" s="78">
        <v>0</v>
      </c>
      <c r="AN43" s="78">
        <v>0</v>
      </c>
      <c r="AO43" s="18">
        <f t="shared" si="12"/>
        <v>2</v>
      </c>
      <c r="AP43" s="78">
        <v>0</v>
      </c>
      <c r="AQ43" s="78">
        <v>0</v>
      </c>
      <c r="AR43" s="18">
        <f t="shared" si="13"/>
        <v>2</v>
      </c>
      <c r="AS43" s="79">
        <v>0</v>
      </c>
      <c r="AT43" s="80">
        <v>3</v>
      </c>
      <c r="AU43" s="18">
        <f t="shared" si="14"/>
        <v>-1</v>
      </c>
      <c r="AV43" s="79">
        <v>0</v>
      </c>
      <c r="AW43" s="79">
        <v>0</v>
      </c>
      <c r="AX43" s="18">
        <f t="shared" si="15"/>
        <v>-1</v>
      </c>
      <c r="AY43" s="79">
        <v>0</v>
      </c>
      <c r="AZ43" s="79">
        <v>0</v>
      </c>
      <c r="BA43" s="18">
        <f t="shared" si="16"/>
        <v>-1</v>
      </c>
      <c r="BB43" s="79">
        <v>3</v>
      </c>
      <c r="BC43" s="79">
        <v>0</v>
      </c>
      <c r="BD43" s="18">
        <f t="shared" si="17"/>
        <v>2</v>
      </c>
      <c r="BE43" s="79">
        <v>0</v>
      </c>
      <c r="BF43" s="79">
        <v>0</v>
      </c>
      <c r="BG43" s="18">
        <f t="shared" si="18"/>
        <v>2</v>
      </c>
      <c r="BH43" s="79">
        <v>0</v>
      </c>
      <c r="BI43" s="79">
        <v>0</v>
      </c>
      <c r="BJ43" s="18">
        <f t="shared" si="19"/>
        <v>2</v>
      </c>
      <c r="BK43" s="79">
        <v>0</v>
      </c>
      <c r="BL43" s="79">
        <v>0</v>
      </c>
      <c r="BM43" s="18">
        <f t="shared" si="20"/>
        <v>2</v>
      </c>
      <c r="BN43" s="79">
        <v>0</v>
      </c>
      <c r="BO43" s="79">
        <v>0</v>
      </c>
      <c r="BP43" s="18">
        <f t="shared" si="21"/>
        <v>2</v>
      </c>
      <c r="BQ43" s="79">
        <v>0</v>
      </c>
      <c r="BR43" s="79">
        <v>1</v>
      </c>
      <c r="BS43" s="18">
        <f t="shared" si="22"/>
        <v>1</v>
      </c>
      <c r="BT43" s="79">
        <v>1</v>
      </c>
      <c r="BU43" s="79">
        <v>3</v>
      </c>
      <c r="BV43" s="18">
        <f t="shared" si="23"/>
        <v>-1</v>
      </c>
      <c r="BW43" s="79">
        <v>3</v>
      </c>
      <c r="BX43" s="79">
        <v>1</v>
      </c>
      <c r="BY43" s="18">
        <f t="shared" si="24"/>
        <v>1</v>
      </c>
      <c r="BZ43" s="79">
        <v>0</v>
      </c>
      <c r="CA43" s="79">
        <v>0</v>
      </c>
      <c r="CB43" s="18">
        <f t="shared" si="25"/>
        <v>1</v>
      </c>
      <c r="CC43" s="79">
        <v>0</v>
      </c>
      <c r="CD43" s="79">
        <v>0</v>
      </c>
      <c r="CE43" s="18">
        <f t="shared" si="26"/>
        <v>1</v>
      </c>
      <c r="CF43" s="79">
        <v>0</v>
      </c>
      <c r="CG43" s="79">
        <v>1</v>
      </c>
      <c r="CH43" s="18">
        <f t="shared" si="27"/>
        <v>0</v>
      </c>
      <c r="CI43" s="79">
        <v>2</v>
      </c>
      <c r="CJ43" s="79">
        <v>0</v>
      </c>
      <c r="CK43" s="79">
        <f t="shared" si="29"/>
        <v>2</v>
      </c>
      <c r="CL43" s="79">
        <v>0</v>
      </c>
      <c r="CM43" s="79">
        <v>0</v>
      </c>
      <c r="CN43" s="80">
        <f t="shared" si="30"/>
        <v>2</v>
      </c>
      <c r="CO43" s="79">
        <v>0</v>
      </c>
      <c r="CP43" s="79">
        <v>0</v>
      </c>
      <c r="CQ43" s="125">
        <f t="shared" si="56"/>
        <v>2</v>
      </c>
      <c r="CR43" s="129">
        <v>0</v>
      </c>
      <c r="CS43" s="128">
        <v>0</v>
      </c>
      <c r="CT43" s="128">
        <f t="shared" si="58"/>
        <v>2</v>
      </c>
      <c r="CU43" s="128">
        <v>0</v>
      </c>
      <c r="CV43" s="128">
        <v>0</v>
      </c>
      <c r="CW43" s="128">
        <f t="shared" si="31"/>
        <v>2</v>
      </c>
      <c r="CX43" s="128"/>
      <c r="CY43" s="128">
        <v>1</v>
      </c>
      <c r="CZ43" s="128">
        <f t="shared" si="32"/>
        <v>1</v>
      </c>
      <c r="DA43" s="128">
        <v>2</v>
      </c>
      <c r="DB43" s="128">
        <v>1</v>
      </c>
      <c r="DC43" s="128">
        <f t="shared" si="33"/>
        <v>2</v>
      </c>
      <c r="DD43" s="128"/>
      <c r="DE43" s="128">
        <v>0</v>
      </c>
      <c r="DF43" s="215">
        <f t="shared" si="34"/>
        <v>2</v>
      </c>
      <c r="DG43" s="128"/>
      <c r="DH43" s="128"/>
      <c r="DI43" s="128">
        <f t="shared" si="35"/>
        <v>2</v>
      </c>
      <c r="DJ43" s="128"/>
      <c r="DK43" s="128"/>
      <c r="DL43" s="128">
        <f t="shared" si="36"/>
        <v>2</v>
      </c>
      <c r="DM43" s="128"/>
      <c r="DN43" s="128"/>
      <c r="DO43" s="215">
        <f t="shared" si="37"/>
        <v>2</v>
      </c>
      <c r="DP43" s="128"/>
      <c r="DQ43" s="128"/>
      <c r="DR43" s="215">
        <f t="shared" si="38"/>
        <v>2</v>
      </c>
      <c r="DS43" s="128"/>
      <c r="DT43" s="128">
        <v>0</v>
      </c>
      <c r="DU43" s="215">
        <f t="shared" si="39"/>
        <v>2</v>
      </c>
      <c r="DV43" s="128"/>
      <c r="DW43" s="128"/>
      <c r="DX43" s="215">
        <f t="shared" si="40"/>
        <v>2</v>
      </c>
      <c r="DY43" s="128"/>
      <c r="DZ43" s="128"/>
      <c r="EA43" s="215">
        <f t="shared" si="41"/>
        <v>2</v>
      </c>
      <c r="EB43" s="128"/>
      <c r="EC43" s="128"/>
      <c r="ED43" s="215">
        <f t="shared" si="42"/>
        <v>2</v>
      </c>
      <c r="EE43" s="128"/>
      <c r="EF43" s="128"/>
      <c r="EG43" s="215">
        <f t="shared" si="43"/>
        <v>2</v>
      </c>
      <c r="EH43" s="128"/>
      <c r="EI43" s="128"/>
      <c r="EJ43" s="215">
        <f t="shared" si="57"/>
        <v>2</v>
      </c>
      <c r="EK43" s="128"/>
      <c r="EL43" s="128"/>
      <c r="EM43" s="215">
        <f t="shared" si="44"/>
        <v>2</v>
      </c>
      <c r="EN43" s="128"/>
      <c r="EO43" s="128"/>
      <c r="EP43" s="215">
        <f t="shared" si="45"/>
        <v>2</v>
      </c>
      <c r="EQ43" s="128"/>
      <c r="ER43" s="128"/>
      <c r="ES43" s="128">
        <f t="shared" si="46"/>
        <v>2</v>
      </c>
      <c r="ET43" s="128"/>
      <c r="EU43" s="128"/>
      <c r="EV43" s="128">
        <f t="shared" si="47"/>
        <v>2</v>
      </c>
      <c r="EW43" s="128"/>
      <c r="EX43" s="128"/>
      <c r="EY43" s="128">
        <f t="shared" si="48"/>
        <v>2</v>
      </c>
      <c r="EZ43" s="128"/>
      <c r="FA43" s="128"/>
      <c r="FB43" s="128">
        <f t="shared" si="49"/>
        <v>2</v>
      </c>
      <c r="FC43" s="128"/>
      <c r="FD43" s="215"/>
      <c r="FE43" s="128">
        <f t="shared" si="50"/>
        <v>2</v>
      </c>
      <c r="FF43" s="128"/>
      <c r="FG43" s="128"/>
      <c r="FH43" s="128">
        <f t="shared" si="51"/>
        <v>2</v>
      </c>
      <c r="FI43" s="128"/>
      <c r="FJ43" s="128"/>
      <c r="FK43" s="128">
        <f t="shared" si="52"/>
        <v>2</v>
      </c>
      <c r="FL43" s="128"/>
      <c r="FM43" s="128"/>
      <c r="FN43" s="128">
        <f t="shared" si="60"/>
        <v>2</v>
      </c>
      <c r="FO43" s="128"/>
      <c r="FP43" s="128"/>
      <c r="FQ43" s="128">
        <f t="shared" si="53"/>
        <v>2</v>
      </c>
      <c r="FR43" s="128"/>
      <c r="FS43" s="128"/>
      <c r="FT43" s="128">
        <f t="shared" si="59"/>
        <v>2</v>
      </c>
      <c r="FU43" s="128"/>
      <c r="FV43" s="128"/>
      <c r="FW43" s="128">
        <f t="shared" si="55"/>
        <v>2</v>
      </c>
    </row>
    <row r="44" spans="1:192" s="191" customFormat="1" ht="12.75" x14ac:dyDescent="0.2">
      <c r="A44" s="182" t="s">
        <v>118</v>
      </c>
      <c r="B44" s="183">
        <f>'INV. FEB'!BX44</f>
        <v>24</v>
      </c>
      <c r="C44" s="184">
        <v>0</v>
      </c>
      <c r="D44" s="184">
        <v>1</v>
      </c>
      <c r="E44" s="185">
        <f t="shared" si="0"/>
        <v>23</v>
      </c>
      <c r="F44" s="184">
        <v>0</v>
      </c>
      <c r="G44" s="184">
        <v>10</v>
      </c>
      <c r="H44" s="185">
        <f t="shared" si="1"/>
        <v>13</v>
      </c>
      <c r="I44" s="184">
        <v>40</v>
      </c>
      <c r="J44" s="184">
        <v>0</v>
      </c>
      <c r="K44" s="185">
        <f t="shared" si="2"/>
        <v>53</v>
      </c>
      <c r="L44" s="184">
        <v>0</v>
      </c>
      <c r="M44" s="184">
        <v>2</v>
      </c>
      <c r="N44" s="185">
        <f t="shared" si="3"/>
        <v>51</v>
      </c>
      <c r="O44" s="184">
        <v>0</v>
      </c>
      <c r="P44" s="184">
        <v>3</v>
      </c>
      <c r="Q44" s="185">
        <f t="shared" si="4"/>
        <v>48</v>
      </c>
      <c r="R44" s="184">
        <v>0</v>
      </c>
      <c r="S44" s="184">
        <v>11</v>
      </c>
      <c r="T44" s="185">
        <f t="shared" si="5"/>
        <v>37</v>
      </c>
      <c r="U44" s="184">
        <v>0</v>
      </c>
      <c r="V44" s="184">
        <v>2</v>
      </c>
      <c r="W44" s="185">
        <f t="shared" si="6"/>
        <v>35</v>
      </c>
      <c r="X44" s="184">
        <v>0</v>
      </c>
      <c r="Y44" s="184">
        <v>7</v>
      </c>
      <c r="Z44" s="185">
        <f t="shared" si="7"/>
        <v>28</v>
      </c>
      <c r="AA44" s="186">
        <v>0</v>
      </c>
      <c r="AB44" s="186">
        <v>14</v>
      </c>
      <c r="AC44" s="187">
        <f t="shared" si="8"/>
        <v>14</v>
      </c>
      <c r="AD44" s="186">
        <v>20</v>
      </c>
      <c r="AE44" s="186">
        <v>0</v>
      </c>
      <c r="AF44" s="187">
        <f t="shared" si="9"/>
        <v>34</v>
      </c>
      <c r="AG44" s="186">
        <v>0</v>
      </c>
      <c r="AH44" s="186">
        <v>2</v>
      </c>
      <c r="AI44" s="187">
        <f t="shared" si="10"/>
        <v>32</v>
      </c>
      <c r="AJ44" s="186">
        <v>20</v>
      </c>
      <c r="AK44" s="186">
        <v>7</v>
      </c>
      <c r="AL44" s="187">
        <f t="shared" si="11"/>
        <v>45</v>
      </c>
      <c r="AM44" s="186">
        <v>0</v>
      </c>
      <c r="AN44" s="186">
        <v>0</v>
      </c>
      <c r="AO44" s="187">
        <f t="shared" si="12"/>
        <v>45</v>
      </c>
      <c r="AP44" s="186">
        <v>0</v>
      </c>
      <c r="AQ44" s="186">
        <v>4</v>
      </c>
      <c r="AR44" s="187">
        <f t="shared" si="13"/>
        <v>41</v>
      </c>
      <c r="AS44" s="186">
        <v>0</v>
      </c>
      <c r="AT44" s="187">
        <v>0</v>
      </c>
      <c r="AU44" s="187">
        <f t="shared" si="14"/>
        <v>41</v>
      </c>
      <c r="AV44" s="186">
        <v>0</v>
      </c>
      <c r="AW44" s="186">
        <v>3</v>
      </c>
      <c r="AX44" s="187">
        <f t="shared" si="15"/>
        <v>38</v>
      </c>
      <c r="AY44" s="186">
        <v>0</v>
      </c>
      <c r="AZ44" s="186">
        <v>11</v>
      </c>
      <c r="BA44" s="187">
        <f t="shared" si="16"/>
        <v>27</v>
      </c>
      <c r="BB44" s="186">
        <v>0</v>
      </c>
      <c r="BC44" s="186">
        <v>0</v>
      </c>
      <c r="BD44" s="187">
        <f t="shared" si="17"/>
        <v>27</v>
      </c>
      <c r="BE44" s="186">
        <v>0</v>
      </c>
      <c r="BF44" s="186">
        <v>15</v>
      </c>
      <c r="BG44" s="187">
        <f t="shared" si="18"/>
        <v>12</v>
      </c>
      <c r="BH44" s="186">
        <v>0</v>
      </c>
      <c r="BI44" s="186">
        <v>11</v>
      </c>
      <c r="BJ44" s="187">
        <f t="shared" si="19"/>
        <v>1</v>
      </c>
      <c r="BK44" s="186">
        <v>40</v>
      </c>
      <c r="BL44" s="186">
        <v>6</v>
      </c>
      <c r="BM44" s="187">
        <f t="shared" si="20"/>
        <v>35</v>
      </c>
      <c r="BN44" s="186">
        <v>0</v>
      </c>
      <c r="BO44" s="186">
        <v>1</v>
      </c>
      <c r="BP44" s="187">
        <f t="shared" si="21"/>
        <v>34</v>
      </c>
      <c r="BQ44" s="186">
        <v>0</v>
      </c>
      <c r="BR44" s="186">
        <v>9</v>
      </c>
      <c r="BS44" s="187">
        <f t="shared" si="22"/>
        <v>25</v>
      </c>
      <c r="BT44" s="186">
        <v>0</v>
      </c>
      <c r="BU44" s="186">
        <v>6</v>
      </c>
      <c r="BV44" s="187">
        <f t="shared" si="23"/>
        <v>19</v>
      </c>
      <c r="BW44" s="186">
        <v>10</v>
      </c>
      <c r="BX44" s="186">
        <v>24</v>
      </c>
      <c r="BY44" s="187">
        <f t="shared" si="24"/>
        <v>5</v>
      </c>
      <c r="BZ44" s="186">
        <v>40</v>
      </c>
      <c r="CA44" s="186">
        <v>0</v>
      </c>
      <c r="CB44" s="187">
        <f t="shared" si="25"/>
        <v>45</v>
      </c>
      <c r="CC44" s="186">
        <v>0</v>
      </c>
      <c r="CD44" s="186">
        <v>15</v>
      </c>
      <c r="CE44" s="187">
        <f t="shared" si="26"/>
        <v>30</v>
      </c>
      <c r="CF44" s="186">
        <v>10</v>
      </c>
      <c r="CG44" s="186">
        <v>10</v>
      </c>
      <c r="CH44" s="187">
        <f t="shared" si="27"/>
        <v>30</v>
      </c>
      <c r="CI44" s="186">
        <v>0</v>
      </c>
      <c r="CJ44" s="186">
        <v>15</v>
      </c>
      <c r="CK44" s="186">
        <f t="shared" si="29"/>
        <v>15</v>
      </c>
      <c r="CL44" s="186">
        <v>0</v>
      </c>
      <c r="CM44" s="186">
        <v>15</v>
      </c>
      <c r="CN44" s="187">
        <v>3</v>
      </c>
      <c r="CO44" s="186">
        <v>40</v>
      </c>
      <c r="CP44" s="186">
        <v>0</v>
      </c>
      <c r="CQ44" s="188">
        <f t="shared" si="56"/>
        <v>43</v>
      </c>
      <c r="CR44" s="189"/>
      <c r="CS44" s="190">
        <v>5</v>
      </c>
      <c r="CT44" s="190">
        <f t="shared" si="58"/>
        <v>38</v>
      </c>
      <c r="CU44" s="190">
        <v>0</v>
      </c>
      <c r="CV44" s="190">
        <v>12</v>
      </c>
      <c r="CW44" s="190">
        <f t="shared" si="31"/>
        <v>26</v>
      </c>
      <c r="CX44" s="190"/>
      <c r="CY44" s="190">
        <v>8</v>
      </c>
      <c r="CZ44" s="190">
        <f t="shared" si="32"/>
        <v>18</v>
      </c>
      <c r="DA44" s="190">
        <v>20</v>
      </c>
      <c r="DB44" s="190">
        <v>4</v>
      </c>
      <c r="DC44" s="190">
        <f t="shared" si="33"/>
        <v>34</v>
      </c>
      <c r="DD44" s="190"/>
      <c r="DE44" s="190">
        <v>1</v>
      </c>
      <c r="DF44" s="222">
        <f t="shared" si="34"/>
        <v>33</v>
      </c>
      <c r="DG44" s="190"/>
      <c r="DH44" s="190">
        <v>12</v>
      </c>
      <c r="DI44" s="190">
        <f t="shared" si="35"/>
        <v>21</v>
      </c>
      <c r="DJ44" s="190">
        <v>5</v>
      </c>
      <c r="DK44" s="190"/>
      <c r="DL44" s="190">
        <f t="shared" si="36"/>
        <v>26</v>
      </c>
      <c r="DM44" s="190"/>
      <c r="DN44" s="190"/>
      <c r="DO44" s="222">
        <f t="shared" si="37"/>
        <v>26</v>
      </c>
      <c r="DP44" s="190"/>
      <c r="DQ44" s="190"/>
      <c r="DR44" s="222">
        <f t="shared" si="38"/>
        <v>26</v>
      </c>
      <c r="DS44" s="190"/>
      <c r="DT44" s="190">
        <v>2</v>
      </c>
      <c r="DU44" s="222">
        <f t="shared" si="39"/>
        <v>24</v>
      </c>
      <c r="DV44" s="190"/>
      <c r="DW44" s="190"/>
      <c r="DX44" s="222">
        <f t="shared" si="40"/>
        <v>24</v>
      </c>
      <c r="DY44" s="190"/>
      <c r="DZ44" s="190"/>
      <c r="EA44" s="222">
        <f t="shared" si="41"/>
        <v>24</v>
      </c>
      <c r="EB44" s="190"/>
      <c r="EC44" s="190"/>
      <c r="ED44" s="222">
        <f t="shared" si="42"/>
        <v>24</v>
      </c>
      <c r="EE44" s="190"/>
      <c r="EF44" s="190"/>
      <c r="EG44" s="215">
        <f t="shared" si="43"/>
        <v>24</v>
      </c>
      <c r="EH44" s="190"/>
      <c r="EI44" s="190"/>
      <c r="EJ44" s="215">
        <f t="shared" si="57"/>
        <v>24</v>
      </c>
      <c r="EK44" s="190"/>
      <c r="EL44" s="190"/>
      <c r="EM44" s="222">
        <f t="shared" si="44"/>
        <v>24</v>
      </c>
      <c r="EN44" s="190"/>
      <c r="EO44" s="190"/>
      <c r="EP44" s="222">
        <f t="shared" si="45"/>
        <v>24</v>
      </c>
      <c r="EQ44" s="190"/>
      <c r="ER44" s="190"/>
      <c r="ES44" s="128">
        <f t="shared" si="46"/>
        <v>24</v>
      </c>
      <c r="ET44" s="190"/>
      <c r="EU44" s="190"/>
      <c r="EV44" s="128">
        <f t="shared" si="47"/>
        <v>24</v>
      </c>
      <c r="EW44" s="190"/>
      <c r="EX44" s="190"/>
      <c r="EY44" s="128">
        <f t="shared" si="48"/>
        <v>24</v>
      </c>
      <c r="EZ44" s="190"/>
      <c r="FA44" s="190"/>
      <c r="FB44" s="128">
        <f t="shared" si="49"/>
        <v>24</v>
      </c>
      <c r="FC44" s="190"/>
      <c r="FD44" s="222"/>
      <c r="FE44" s="128">
        <f t="shared" si="50"/>
        <v>24</v>
      </c>
      <c r="FF44" s="190"/>
      <c r="FG44" s="190"/>
      <c r="FH44" s="128">
        <f t="shared" si="51"/>
        <v>24</v>
      </c>
      <c r="FI44" s="190"/>
      <c r="FJ44" s="190"/>
      <c r="FK44" s="128">
        <f t="shared" si="52"/>
        <v>24</v>
      </c>
      <c r="FL44" s="190"/>
      <c r="FM44" s="190"/>
      <c r="FN44" s="128">
        <f t="shared" si="60"/>
        <v>24</v>
      </c>
      <c r="FO44" s="190"/>
      <c r="FP44" s="190"/>
      <c r="FQ44" s="128">
        <f t="shared" si="53"/>
        <v>24</v>
      </c>
      <c r="FR44" s="190"/>
      <c r="FS44" s="190"/>
      <c r="FT44" s="128">
        <f t="shared" si="59"/>
        <v>24</v>
      </c>
      <c r="FU44" s="190"/>
      <c r="FV44" s="190"/>
      <c r="FW44" s="128">
        <f t="shared" si="55"/>
        <v>24</v>
      </c>
      <c r="FX44"/>
      <c r="FY44"/>
      <c r="FZ44"/>
      <c r="GA44"/>
      <c r="GB44"/>
      <c r="GC44"/>
      <c r="GD44"/>
      <c r="GE44"/>
      <c r="GF44"/>
      <c r="GG44"/>
      <c r="GH44"/>
      <c r="GI44"/>
      <c r="GJ44"/>
    </row>
    <row r="45" spans="1:192" ht="12.75" x14ac:dyDescent="0.2">
      <c r="A45" s="13" t="s">
        <v>119</v>
      </c>
      <c r="B45" s="29">
        <f>'INV. FEB'!BX45</f>
        <v>1</v>
      </c>
      <c r="C45" s="10">
        <v>0</v>
      </c>
      <c r="D45" s="10">
        <v>0</v>
      </c>
      <c r="E45" s="9">
        <f t="shared" si="0"/>
        <v>1</v>
      </c>
      <c r="F45" s="10">
        <v>0</v>
      </c>
      <c r="G45" s="10">
        <v>0</v>
      </c>
      <c r="H45" s="9">
        <f t="shared" si="1"/>
        <v>1</v>
      </c>
      <c r="I45" s="10">
        <v>0</v>
      </c>
      <c r="J45" s="10">
        <v>0</v>
      </c>
      <c r="K45" s="9">
        <f t="shared" si="2"/>
        <v>1</v>
      </c>
      <c r="L45" s="10">
        <v>0</v>
      </c>
      <c r="M45" s="10">
        <v>0</v>
      </c>
      <c r="N45" s="9">
        <f t="shared" si="3"/>
        <v>1</v>
      </c>
      <c r="O45" s="10">
        <v>0</v>
      </c>
      <c r="P45" s="10">
        <v>0</v>
      </c>
      <c r="Q45" s="9">
        <f t="shared" si="4"/>
        <v>1</v>
      </c>
      <c r="R45" s="10">
        <v>0</v>
      </c>
      <c r="S45" s="10">
        <v>1</v>
      </c>
      <c r="T45" s="9">
        <f t="shared" si="5"/>
        <v>0</v>
      </c>
      <c r="U45" s="10">
        <v>0</v>
      </c>
      <c r="V45" s="10">
        <v>0</v>
      </c>
      <c r="W45" s="9">
        <f t="shared" si="6"/>
        <v>0</v>
      </c>
      <c r="X45" s="10">
        <v>1</v>
      </c>
      <c r="Y45" s="10">
        <v>0</v>
      </c>
      <c r="Z45" s="9">
        <f t="shared" si="7"/>
        <v>1</v>
      </c>
      <c r="AA45" s="78">
        <v>0</v>
      </c>
      <c r="AB45" s="78">
        <v>0</v>
      </c>
      <c r="AC45" s="18">
        <f t="shared" si="8"/>
        <v>1</v>
      </c>
      <c r="AD45" s="78">
        <v>0</v>
      </c>
      <c r="AE45" s="78">
        <v>0</v>
      </c>
      <c r="AF45" s="18">
        <f t="shared" si="9"/>
        <v>1</v>
      </c>
      <c r="AG45" s="78">
        <v>0</v>
      </c>
      <c r="AH45" s="78">
        <v>0</v>
      </c>
      <c r="AI45" s="18">
        <f t="shared" si="10"/>
        <v>1</v>
      </c>
      <c r="AJ45" s="78">
        <v>0</v>
      </c>
      <c r="AK45" s="78">
        <v>0</v>
      </c>
      <c r="AL45" s="18">
        <f t="shared" si="11"/>
        <v>1</v>
      </c>
      <c r="AM45" s="78">
        <v>0</v>
      </c>
      <c r="AN45" s="78">
        <v>0</v>
      </c>
      <c r="AO45" s="18">
        <f t="shared" si="12"/>
        <v>1</v>
      </c>
      <c r="AP45" s="78">
        <v>0</v>
      </c>
      <c r="AQ45" s="78">
        <v>0</v>
      </c>
      <c r="AR45" s="18">
        <f t="shared" si="13"/>
        <v>1</v>
      </c>
      <c r="AS45" s="79">
        <v>0</v>
      </c>
      <c r="AT45" s="80">
        <v>0</v>
      </c>
      <c r="AU45" s="18">
        <f t="shared" si="14"/>
        <v>1</v>
      </c>
      <c r="AV45" s="79">
        <v>0</v>
      </c>
      <c r="AW45" s="79">
        <v>0</v>
      </c>
      <c r="AX45" s="18">
        <f t="shared" si="15"/>
        <v>1</v>
      </c>
      <c r="AY45" s="79">
        <v>0</v>
      </c>
      <c r="AZ45" s="79">
        <v>0</v>
      </c>
      <c r="BA45" s="18">
        <f t="shared" si="16"/>
        <v>1</v>
      </c>
      <c r="BB45" s="79">
        <v>0</v>
      </c>
      <c r="BC45" s="79">
        <v>0</v>
      </c>
      <c r="BD45" s="18">
        <f t="shared" si="17"/>
        <v>1</v>
      </c>
      <c r="BE45" s="79">
        <v>0</v>
      </c>
      <c r="BF45" s="79">
        <v>0</v>
      </c>
      <c r="BG45" s="18">
        <f t="shared" si="18"/>
        <v>1</v>
      </c>
      <c r="BH45" s="79">
        <v>0</v>
      </c>
      <c r="BI45" s="79">
        <v>0</v>
      </c>
      <c r="BJ45" s="18">
        <f t="shared" si="19"/>
        <v>1</v>
      </c>
      <c r="BK45" s="79">
        <v>0</v>
      </c>
      <c r="BL45" s="79">
        <v>0</v>
      </c>
      <c r="BM45" s="18">
        <f t="shared" si="20"/>
        <v>1</v>
      </c>
      <c r="BN45" s="79">
        <v>0</v>
      </c>
      <c r="BO45" s="79">
        <v>0</v>
      </c>
      <c r="BP45" s="18">
        <f t="shared" si="21"/>
        <v>1</v>
      </c>
      <c r="BQ45" s="79">
        <v>0</v>
      </c>
      <c r="BR45" s="79">
        <v>0</v>
      </c>
      <c r="BS45" s="18">
        <f t="shared" si="22"/>
        <v>1</v>
      </c>
      <c r="BT45" s="79">
        <v>0</v>
      </c>
      <c r="BU45" s="79">
        <v>0</v>
      </c>
      <c r="BV45" s="18">
        <f t="shared" si="23"/>
        <v>1</v>
      </c>
      <c r="BW45" s="79">
        <v>0</v>
      </c>
      <c r="BX45" s="79">
        <v>0</v>
      </c>
      <c r="BY45" s="18">
        <f t="shared" si="24"/>
        <v>1</v>
      </c>
      <c r="BZ45" s="79">
        <v>0</v>
      </c>
      <c r="CA45" s="79">
        <v>0</v>
      </c>
      <c r="CB45" s="18">
        <f t="shared" si="25"/>
        <v>1</v>
      </c>
      <c r="CC45" s="79">
        <v>0</v>
      </c>
      <c r="CD45" s="79">
        <v>0</v>
      </c>
      <c r="CE45" s="18">
        <f t="shared" si="26"/>
        <v>1</v>
      </c>
      <c r="CF45" s="79">
        <v>0</v>
      </c>
      <c r="CG45" s="79">
        <v>0</v>
      </c>
      <c r="CH45" s="18">
        <f t="shared" si="27"/>
        <v>1</v>
      </c>
      <c r="CI45" s="79">
        <v>0</v>
      </c>
      <c r="CJ45" s="79">
        <v>0</v>
      </c>
      <c r="CK45" s="79">
        <f t="shared" si="29"/>
        <v>1</v>
      </c>
      <c r="CL45" s="79">
        <v>0</v>
      </c>
      <c r="CM45" s="79">
        <v>0</v>
      </c>
      <c r="CN45" s="80">
        <f t="shared" si="30"/>
        <v>1</v>
      </c>
      <c r="CO45" s="79">
        <v>1</v>
      </c>
      <c r="CP45" s="79">
        <v>0</v>
      </c>
      <c r="CQ45" s="125">
        <f t="shared" si="56"/>
        <v>2</v>
      </c>
      <c r="CR45" s="129">
        <v>0</v>
      </c>
      <c r="CS45" s="128">
        <v>0</v>
      </c>
      <c r="CT45" s="128">
        <f t="shared" si="58"/>
        <v>2</v>
      </c>
      <c r="CU45" s="128">
        <v>0</v>
      </c>
      <c r="CV45" s="128">
        <v>0</v>
      </c>
      <c r="CW45" s="128">
        <f t="shared" si="31"/>
        <v>2</v>
      </c>
      <c r="CX45" s="128"/>
      <c r="CY45" s="128"/>
      <c r="CZ45" s="128">
        <f t="shared" si="32"/>
        <v>2</v>
      </c>
      <c r="DA45" s="128"/>
      <c r="DB45" s="128"/>
      <c r="DC45" s="128">
        <f t="shared" si="33"/>
        <v>2</v>
      </c>
      <c r="DD45" s="128"/>
      <c r="DE45" s="128">
        <v>0</v>
      </c>
      <c r="DF45" s="215">
        <f t="shared" si="34"/>
        <v>2</v>
      </c>
      <c r="DG45" s="128"/>
      <c r="DH45" s="128">
        <v>0</v>
      </c>
      <c r="DI45" s="128">
        <f t="shared" si="35"/>
        <v>2</v>
      </c>
      <c r="DJ45" s="128"/>
      <c r="DK45" s="128"/>
      <c r="DL45" s="128">
        <f t="shared" si="36"/>
        <v>2</v>
      </c>
      <c r="DM45" s="128"/>
      <c r="DN45" s="128"/>
      <c r="DO45" s="215">
        <f t="shared" si="37"/>
        <v>2</v>
      </c>
      <c r="DP45" s="128"/>
      <c r="DQ45" s="128"/>
      <c r="DR45" s="215">
        <f t="shared" si="38"/>
        <v>2</v>
      </c>
      <c r="DS45" s="128"/>
      <c r="DT45" s="128">
        <v>0</v>
      </c>
      <c r="DU45" s="215">
        <f t="shared" si="39"/>
        <v>2</v>
      </c>
      <c r="DV45" s="128"/>
      <c r="DW45" s="128"/>
      <c r="DX45" s="215">
        <f t="shared" si="40"/>
        <v>2</v>
      </c>
      <c r="DY45" s="128"/>
      <c r="DZ45" s="128"/>
      <c r="EA45" s="215">
        <f t="shared" si="41"/>
        <v>2</v>
      </c>
      <c r="EB45" s="128"/>
      <c r="EC45" s="128"/>
      <c r="ED45" s="215">
        <f t="shared" si="42"/>
        <v>2</v>
      </c>
      <c r="EE45" s="128"/>
      <c r="EF45" s="128"/>
      <c r="EG45" s="215">
        <f t="shared" si="43"/>
        <v>2</v>
      </c>
      <c r="EH45" s="128"/>
      <c r="EI45" s="128"/>
      <c r="EJ45" s="215">
        <f t="shared" si="57"/>
        <v>2</v>
      </c>
      <c r="EK45" s="128"/>
      <c r="EL45" s="128"/>
      <c r="EM45" s="215">
        <f t="shared" si="44"/>
        <v>2</v>
      </c>
      <c r="EN45" s="128"/>
      <c r="EO45" s="128"/>
      <c r="EP45" s="215">
        <f t="shared" si="45"/>
        <v>2</v>
      </c>
      <c r="EQ45" s="128"/>
      <c r="ER45" s="128"/>
      <c r="ES45" s="128">
        <f t="shared" si="46"/>
        <v>2</v>
      </c>
      <c r="ET45" s="128"/>
      <c r="EU45" s="128"/>
      <c r="EV45" s="128">
        <f t="shared" si="47"/>
        <v>2</v>
      </c>
      <c r="EW45" s="128"/>
      <c r="EX45" s="128"/>
      <c r="EY45" s="128">
        <f t="shared" si="48"/>
        <v>2</v>
      </c>
      <c r="EZ45" s="128"/>
      <c r="FA45" s="128"/>
      <c r="FB45" s="128">
        <f t="shared" si="49"/>
        <v>2</v>
      </c>
      <c r="FC45" s="128"/>
      <c r="FD45" s="215"/>
      <c r="FE45" s="128">
        <f t="shared" si="50"/>
        <v>2</v>
      </c>
      <c r="FF45" s="128"/>
      <c r="FG45" s="128"/>
      <c r="FH45" s="128">
        <f t="shared" si="51"/>
        <v>2</v>
      </c>
      <c r="FI45" s="128"/>
      <c r="FJ45" s="128"/>
      <c r="FK45" s="128">
        <f t="shared" si="52"/>
        <v>2</v>
      </c>
      <c r="FL45" s="128"/>
      <c r="FM45" s="128"/>
      <c r="FN45" s="128">
        <f t="shared" si="60"/>
        <v>2</v>
      </c>
      <c r="FO45" s="128"/>
      <c r="FP45" s="128"/>
      <c r="FQ45" s="128">
        <f t="shared" si="53"/>
        <v>2</v>
      </c>
      <c r="FR45" s="128"/>
      <c r="FS45" s="128"/>
      <c r="FT45" s="128">
        <f t="shared" si="59"/>
        <v>2</v>
      </c>
      <c r="FU45" s="128"/>
      <c r="FV45" s="128"/>
      <c r="FW45" s="128">
        <f t="shared" si="55"/>
        <v>2</v>
      </c>
    </row>
    <row r="46" spans="1:192" s="201" customFormat="1" ht="12.75" x14ac:dyDescent="0.2">
      <c r="A46" s="192" t="s">
        <v>120</v>
      </c>
      <c r="B46" s="193">
        <f>'INV. FEB'!BX46</f>
        <v>33</v>
      </c>
      <c r="C46" s="194">
        <v>0</v>
      </c>
      <c r="D46" s="194">
        <v>0</v>
      </c>
      <c r="E46" s="195">
        <f t="shared" si="0"/>
        <v>33</v>
      </c>
      <c r="F46" s="194">
        <v>0</v>
      </c>
      <c r="G46" s="194">
        <v>0</v>
      </c>
      <c r="H46" s="195">
        <f t="shared" si="1"/>
        <v>33</v>
      </c>
      <c r="I46" s="194">
        <v>0</v>
      </c>
      <c r="J46" s="194">
        <v>0</v>
      </c>
      <c r="K46" s="195">
        <f t="shared" si="2"/>
        <v>33</v>
      </c>
      <c r="L46" s="194">
        <v>0</v>
      </c>
      <c r="M46" s="194">
        <v>0</v>
      </c>
      <c r="N46" s="195">
        <f t="shared" si="3"/>
        <v>33</v>
      </c>
      <c r="O46" s="194">
        <v>0</v>
      </c>
      <c r="P46" s="194">
        <v>0</v>
      </c>
      <c r="Q46" s="195">
        <f t="shared" si="4"/>
        <v>33</v>
      </c>
      <c r="R46" s="194">
        <v>0</v>
      </c>
      <c r="S46" s="194">
        <v>0</v>
      </c>
      <c r="T46" s="195">
        <f t="shared" si="5"/>
        <v>33</v>
      </c>
      <c r="U46" s="194">
        <v>0</v>
      </c>
      <c r="V46" s="194">
        <v>0</v>
      </c>
      <c r="W46" s="195">
        <f t="shared" si="6"/>
        <v>33</v>
      </c>
      <c r="X46" s="194">
        <v>0</v>
      </c>
      <c r="Y46" s="194">
        <v>0</v>
      </c>
      <c r="Z46" s="195">
        <f t="shared" si="7"/>
        <v>33</v>
      </c>
      <c r="AA46" s="196">
        <v>0</v>
      </c>
      <c r="AB46" s="196">
        <v>0</v>
      </c>
      <c r="AC46" s="197">
        <f t="shared" si="8"/>
        <v>33</v>
      </c>
      <c r="AD46" s="196">
        <v>0</v>
      </c>
      <c r="AE46" s="196">
        <v>4</v>
      </c>
      <c r="AF46" s="197">
        <f t="shared" si="9"/>
        <v>29</v>
      </c>
      <c r="AG46" s="196">
        <v>0</v>
      </c>
      <c r="AH46" s="196">
        <v>0</v>
      </c>
      <c r="AI46" s="197">
        <f t="shared" si="10"/>
        <v>29</v>
      </c>
      <c r="AJ46" s="196">
        <v>0</v>
      </c>
      <c r="AK46" s="196">
        <v>0</v>
      </c>
      <c r="AL46" s="197">
        <f t="shared" si="11"/>
        <v>29</v>
      </c>
      <c r="AM46" s="196">
        <v>0</v>
      </c>
      <c r="AN46" s="196">
        <v>0</v>
      </c>
      <c r="AO46" s="197">
        <f t="shared" si="12"/>
        <v>29</v>
      </c>
      <c r="AP46" s="196">
        <v>0</v>
      </c>
      <c r="AQ46" s="196">
        <v>2</v>
      </c>
      <c r="AR46" s="197">
        <f t="shared" si="13"/>
        <v>27</v>
      </c>
      <c r="AS46" s="196">
        <v>0</v>
      </c>
      <c r="AT46" s="197">
        <v>0</v>
      </c>
      <c r="AU46" s="197">
        <f t="shared" si="14"/>
        <v>27</v>
      </c>
      <c r="AV46" s="196">
        <v>0</v>
      </c>
      <c r="AW46" s="196">
        <v>0</v>
      </c>
      <c r="AX46" s="197">
        <f t="shared" si="15"/>
        <v>27</v>
      </c>
      <c r="AY46" s="196">
        <v>0</v>
      </c>
      <c r="AZ46" s="196">
        <v>7</v>
      </c>
      <c r="BA46" s="197">
        <f t="shared" si="16"/>
        <v>20</v>
      </c>
      <c r="BB46" s="196">
        <v>0</v>
      </c>
      <c r="BC46" s="196">
        <v>0</v>
      </c>
      <c r="BD46" s="197">
        <f t="shared" si="17"/>
        <v>20</v>
      </c>
      <c r="BE46" s="196">
        <v>0</v>
      </c>
      <c r="BF46" s="196">
        <v>0</v>
      </c>
      <c r="BG46" s="197">
        <f t="shared" si="18"/>
        <v>20</v>
      </c>
      <c r="BH46" s="196">
        <v>0</v>
      </c>
      <c r="BI46" s="196">
        <v>3</v>
      </c>
      <c r="BJ46" s="197">
        <f t="shared" si="19"/>
        <v>17</v>
      </c>
      <c r="BK46" s="196">
        <v>0</v>
      </c>
      <c r="BL46" s="196">
        <v>0</v>
      </c>
      <c r="BM46" s="197">
        <f t="shared" si="20"/>
        <v>17</v>
      </c>
      <c r="BN46" s="196">
        <v>0</v>
      </c>
      <c r="BO46" s="196">
        <v>0</v>
      </c>
      <c r="BP46" s="197">
        <f t="shared" si="21"/>
        <v>17</v>
      </c>
      <c r="BQ46" s="196">
        <v>0</v>
      </c>
      <c r="BR46" s="196">
        <v>0</v>
      </c>
      <c r="BS46" s="197">
        <f t="shared" si="22"/>
        <v>17</v>
      </c>
      <c r="BT46" s="196">
        <v>0</v>
      </c>
      <c r="BU46" s="196">
        <v>0</v>
      </c>
      <c r="BV46" s="197">
        <f t="shared" si="23"/>
        <v>17</v>
      </c>
      <c r="BW46" s="196">
        <v>0</v>
      </c>
      <c r="BX46" s="196">
        <v>0</v>
      </c>
      <c r="BY46" s="197">
        <f t="shared" si="24"/>
        <v>17</v>
      </c>
      <c r="BZ46" s="196">
        <v>0</v>
      </c>
      <c r="CA46" s="196">
        <v>2</v>
      </c>
      <c r="CB46" s="197">
        <f t="shared" si="25"/>
        <v>15</v>
      </c>
      <c r="CC46" s="196">
        <v>0</v>
      </c>
      <c r="CD46" s="196">
        <v>0</v>
      </c>
      <c r="CE46" s="197">
        <f t="shared" si="26"/>
        <v>15</v>
      </c>
      <c r="CF46" s="196">
        <v>0</v>
      </c>
      <c r="CG46" s="196">
        <v>3</v>
      </c>
      <c r="CH46" s="197">
        <f t="shared" si="27"/>
        <v>12</v>
      </c>
      <c r="CI46" s="196">
        <v>0</v>
      </c>
      <c r="CJ46" s="196">
        <v>9</v>
      </c>
      <c r="CK46" s="196">
        <f t="shared" si="29"/>
        <v>3</v>
      </c>
      <c r="CL46" s="196">
        <v>0</v>
      </c>
      <c r="CM46" s="196">
        <v>9</v>
      </c>
      <c r="CN46" s="197">
        <f t="shared" si="30"/>
        <v>-6</v>
      </c>
      <c r="CO46" s="196">
        <v>40</v>
      </c>
      <c r="CP46" s="196">
        <v>0</v>
      </c>
      <c r="CQ46" s="198">
        <f t="shared" si="56"/>
        <v>34</v>
      </c>
      <c r="CR46" s="199">
        <v>0</v>
      </c>
      <c r="CS46" s="200">
        <v>1</v>
      </c>
      <c r="CT46" s="200">
        <v>24</v>
      </c>
      <c r="CU46" s="200">
        <v>0</v>
      </c>
      <c r="CV46" s="200">
        <v>3</v>
      </c>
      <c r="CW46" s="200">
        <f t="shared" si="31"/>
        <v>21</v>
      </c>
      <c r="CX46" s="200"/>
      <c r="CY46" s="200">
        <v>7</v>
      </c>
      <c r="CZ46" s="200">
        <f t="shared" si="32"/>
        <v>14</v>
      </c>
      <c r="DA46" s="200">
        <v>20</v>
      </c>
      <c r="DB46" s="200"/>
      <c r="DC46" s="200">
        <f t="shared" si="33"/>
        <v>34</v>
      </c>
      <c r="DD46" s="200"/>
      <c r="DE46" s="200">
        <v>0</v>
      </c>
      <c r="DF46" s="223">
        <f t="shared" si="34"/>
        <v>34</v>
      </c>
      <c r="DG46" s="200"/>
      <c r="DH46" s="200">
        <v>0</v>
      </c>
      <c r="DI46" s="200">
        <f t="shared" si="35"/>
        <v>34</v>
      </c>
      <c r="DJ46" s="200">
        <v>3</v>
      </c>
      <c r="DK46" s="200"/>
      <c r="DL46" s="200">
        <f t="shared" si="36"/>
        <v>37</v>
      </c>
      <c r="DM46" s="200"/>
      <c r="DN46" s="200"/>
      <c r="DO46" s="223">
        <f t="shared" si="37"/>
        <v>37</v>
      </c>
      <c r="DP46" s="200"/>
      <c r="DQ46" s="200"/>
      <c r="DR46" s="223">
        <f t="shared" si="38"/>
        <v>37</v>
      </c>
      <c r="DS46" s="200"/>
      <c r="DT46" s="200">
        <v>5</v>
      </c>
      <c r="DU46" s="223">
        <f t="shared" si="39"/>
        <v>32</v>
      </c>
      <c r="DV46" s="200"/>
      <c r="DW46" s="200"/>
      <c r="DX46" s="223">
        <f t="shared" si="40"/>
        <v>32</v>
      </c>
      <c r="DY46" s="200"/>
      <c r="DZ46" s="200"/>
      <c r="EA46" s="223">
        <f t="shared" si="41"/>
        <v>32</v>
      </c>
      <c r="EB46" s="200"/>
      <c r="EC46" s="200"/>
      <c r="ED46" s="223">
        <f t="shared" si="42"/>
        <v>32</v>
      </c>
      <c r="EE46" s="200"/>
      <c r="EF46" s="200"/>
      <c r="EG46" s="215">
        <f t="shared" si="43"/>
        <v>32</v>
      </c>
      <c r="EH46" s="200"/>
      <c r="EI46" s="200"/>
      <c r="EJ46" s="215">
        <f t="shared" si="57"/>
        <v>32</v>
      </c>
      <c r="EK46" s="200"/>
      <c r="EL46" s="200"/>
      <c r="EM46" s="223">
        <f t="shared" si="44"/>
        <v>32</v>
      </c>
      <c r="EN46" s="200"/>
      <c r="EO46" s="200"/>
      <c r="EP46" s="223">
        <f t="shared" si="45"/>
        <v>32</v>
      </c>
      <c r="EQ46" s="200"/>
      <c r="ER46" s="200"/>
      <c r="ES46" s="128">
        <f t="shared" si="46"/>
        <v>32</v>
      </c>
      <c r="ET46" s="200"/>
      <c r="EU46" s="200"/>
      <c r="EV46" s="128">
        <f t="shared" si="47"/>
        <v>32</v>
      </c>
      <c r="EW46" s="200"/>
      <c r="EX46" s="200"/>
      <c r="EY46" s="128">
        <f t="shared" si="48"/>
        <v>32</v>
      </c>
      <c r="EZ46" s="200"/>
      <c r="FA46" s="200"/>
      <c r="FB46" s="128">
        <f t="shared" si="49"/>
        <v>32</v>
      </c>
      <c r="FC46" s="200"/>
      <c r="FD46" s="223"/>
      <c r="FE46" s="128">
        <f t="shared" si="50"/>
        <v>32</v>
      </c>
      <c r="FF46" s="200"/>
      <c r="FG46" s="200"/>
      <c r="FH46" s="128">
        <f t="shared" si="51"/>
        <v>32</v>
      </c>
      <c r="FI46" s="200"/>
      <c r="FJ46" s="200"/>
      <c r="FK46" s="128">
        <f t="shared" si="52"/>
        <v>32</v>
      </c>
      <c r="FL46" s="200"/>
      <c r="FM46" s="200"/>
      <c r="FN46" s="128">
        <f t="shared" si="60"/>
        <v>32</v>
      </c>
      <c r="FO46" s="200"/>
      <c r="FP46" s="200"/>
      <c r="FQ46" s="128">
        <f t="shared" si="53"/>
        <v>32</v>
      </c>
      <c r="FR46" s="200"/>
      <c r="FS46" s="200"/>
      <c r="FT46" s="128">
        <f t="shared" si="59"/>
        <v>32</v>
      </c>
      <c r="FU46" s="200"/>
      <c r="FV46" s="200"/>
      <c r="FW46" s="128">
        <f t="shared" si="55"/>
        <v>32</v>
      </c>
      <c r="FX46"/>
      <c r="FY46"/>
      <c r="FZ46"/>
      <c r="GA46"/>
      <c r="GB46"/>
      <c r="GC46"/>
      <c r="GD46"/>
      <c r="GE46"/>
      <c r="GF46"/>
      <c r="GG46"/>
      <c r="GH46"/>
      <c r="GI46"/>
      <c r="GJ46"/>
    </row>
    <row r="47" spans="1:192" ht="12.75" x14ac:dyDescent="0.2">
      <c r="A47" s="13" t="s">
        <v>121</v>
      </c>
      <c r="B47" s="29">
        <f>'INV. FEB'!BX47</f>
        <v>2</v>
      </c>
      <c r="C47" s="10">
        <v>0</v>
      </c>
      <c r="D47" s="10">
        <v>0</v>
      </c>
      <c r="E47" s="9">
        <f t="shared" si="0"/>
        <v>2</v>
      </c>
      <c r="F47" s="10">
        <v>0</v>
      </c>
      <c r="G47" s="10">
        <v>0</v>
      </c>
      <c r="H47" s="9">
        <f t="shared" si="1"/>
        <v>2</v>
      </c>
      <c r="I47" s="10">
        <v>0</v>
      </c>
      <c r="J47" s="10">
        <v>0</v>
      </c>
      <c r="K47" s="9">
        <f t="shared" si="2"/>
        <v>2</v>
      </c>
      <c r="L47" s="10">
        <v>0</v>
      </c>
      <c r="M47" s="10">
        <v>0</v>
      </c>
      <c r="N47" s="9">
        <f t="shared" si="3"/>
        <v>2</v>
      </c>
      <c r="O47" s="10">
        <v>0</v>
      </c>
      <c r="P47" s="10">
        <v>0</v>
      </c>
      <c r="Q47" s="9">
        <f t="shared" si="4"/>
        <v>2</v>
      </c>
      <c r="R47" s="10">
        <v>0</v>
      </c>
      <c r="S47" s="10">
        <v>0</v>
      </c>
      <c r="T47" s="9">
        <f t="shared" si="5"/>
        <v>2</v>
      </c>
      <c r="U47" s="10">
        <v>0</v>
      </c>
      <c r="V47" s="10">
        <v>0</v>
      </c>
      <c r="W47" s="9">
        <f t="shared" si="6"/>
        <v>2</v>
      </c>
      <c r="X47" s="10">
        <v>0</v>
      </c>
      <c r="Y47" s="10">
        <v>0</v>
      </c>
      <c r="Z47" s="9">
        <f t="shared" si="7"/>
        <v>2</v>
      </c>
      <c r="AA47" s="78">
        <v>0</v>
      </c>
      <c r="AB47" s="78">
        <v>0</v>
      </c>
      <c r="AC47" s="18">
        <f t="shared" si="8"/>
        <v>2</v>
      </c>
      <c r="AD47" s="78">
        <v>0</v>
      </c>
      <c r="AE47" s="79">
        <v>1</v>
      </c>
      <c r="AF47" s="18">
        <f t="shared" si="9"/>
        <v>1</v>
      </c>
      <c r="AG47" s="78">
        <v>0</v>
      </c>
      <c r="AH47" s="78">
        <v>0</v>
      </c>
      <c r="AI47" s="18">
        <f t="shared" si="10"/>
        <v>1</v>
      </c>
      <c r="AJ47" s="78">
        <v>0</v>
      </c>
      <c r="AK47" s="78">
        <v>0</v>
      </c>
      <c r="AL47" s="18">
        <f t="shared" si="11"/>
        <v>1</v>
      </c>
      <c r="AM47" s="78">
        <v>0</v>
      </c>
      <c r="AN47" s="78">
        <v>0</v>
      </c>
      <c r="AO47" s="18">
        <f t="shared" si="12"/>
        <v>1</v>
      </c>
      <c r="AP47" s="78">
        <v>0</v>
      </c>
      <c r="AQ47" s="78">
        <v>0</v>
      </c>
      <c r="AR47" s="18">
        <f t="shared" si="13"/>
        <v>1</v>
      </c>
      <c r="AS47" s="79">
        <v>0</v>
      </c>
      <c r="AT47" s="80">
        <v>0</v>
      </c>
      <c r="AU47" s="18">
        <f t="shared" si="14"/>
        <v>1</v>
      </c>
      <c r="AV47" s="79">
        <v>0</v>
      </c>
      <c r="AW47" s="79">
        <v>0</v>
      </c>
      <c r="AX47" s="18">
        <f t="shared" si="15"/>
        <v>1</v>
      </c>
      <c r="AY47" s="79">
        <v>0</v>
      </c>
      <c r="AZ47" s="79">
        <v>0</v>
      </c>
      <c r="BA47" s="18">
        <f t="shared" si="16"/>
        <v>1</v>
      </c>
      <c r="BB47" s="79">
        <v>0</v>
      </c>
      <c r="BC47" s="79">
        <v>0</v>
      </c>
      <c r="BD47" s="18">
        <f t="shared" si="17"/>
        <v>1</v>
      </c>
      <c r="BE47" s="79">
        <v>0</v>
      </c>
      <c r="BF47" s="79">
        <v>0</v>
      </c>
      <c r="BG47" s="18">
        <f t="shared" si="18"/>
        <v>1</v>
      </c>
      <c r="BH47" s="79">
        <v>0</v>
      </c>
      <c r="BI47" s="79">
        <v>0</v>
      </c>
      <c r="BJ47" s="18">
        <f t="shared" si="19"/>
        <v>1</v>
      </c>
      <c r="BK47" s="79">
        <v>0</v>
      </c>
      <c r="BL47" s="79">
        <v>0</v>
      </c>
      <c r="BM47" s="18">
        <f t="shared" si="20"/>
        <v>1</v>
      </c>
      <c r="BN47" s="79">
        <v>0</v>
      </c>
      <c r="BO47" s="79">
        <v>0</v>
      </c>
      <c r="BP47" s="18">
        <f t="shared" si="21"/>
        <v>1</v>
      </c>
      <c r="BQ47" s="79">
        <v>0</v>
      </c>
      <c r="BR47" s="79">
        <v>0</v>
      </c>
      <c r="BS47" s="18">
        <f t="shared" si="22"/>
        <v>1</v>
      </c>
      <c r="BT47" s="79">
        <v>0</v>
      </c>
      <c r="BU47" s="79">
        <v>0</v>
      </c>
      <c r="BV47" s="18">
        <f t="shared" si="23"/>
        <v>1</v>
      </c>
      <c r="BW47" s="79">
        <v>0</v>
      </c>
      <c r="BX47" s="79">
        <v>0</v>
      </c>
      <c r="BY47" s="18">
        <f t="shared" si="24"/>
        <v>1</v>
      </c>
      <c r="BZ47" s="79">
        <v>0</v>
      </c>
      <c r="CA47" s="79">
        <v>0</v>
      </c>
      <c r="CB47" s="18">
        <f t="shared" si="25"/>
        <v>1</v>
      </c>
      <c r="CC47" s="79">
        <v>0</v>
      </c>
      <c r="CD47" s="79">
        <v>0</v>
      </c>
      <c r="CE47" s="18">
        <f t="shared" si="26"/>
        <v>1</v>
      </c>
      <c r="CF47" s="79">
        <v>0</v>
      </c>
      <c r="CG47" s="79">
        <v>0</v>
      </c>
      <c r="CH47" s="18">
        <f t="shared" si="27"/>
        <v>1</v>
      </c>
      <c r="CI47" s="79">
        <v>0</v>
      </c>
      <c r="CJ47" s="79">
        <v>0</v>
      </c>
      <c r="CK47" s="79">
        <f t="shared" si="29"/>
        <v>1</v>
      </c>
      <c r="CL47" s="79">
        <v>0</v>
      </c>
      <c r="CM47" s="79">
        <v>0</v>
      </c>
      <c r="CN47" s="80">
        <f t="shared" si="30"/>
        <v>1</v>
      </c>
      <c r="CO47" s="79">
        <v>0</v>
      </c>
      <c r="CP47" s="79">
        <v>0</v>
      </c>
      <c r="CQ47" s="125">
        <f t="shared" si="56"/>
        <v>1</v>
      </c>
      <c r="CR47" s="129">
        <v>0</v>
      </c>
      <c r="CS47" s="128">
        <v>0</v>
      </c>
      <c r="CT47" s="128">
        <f t="shared" si="58"/>
        <v>1</v>
      </c>
      <c r="CU47" s="128">
        <v>0</v>
      </c>
      <c r="CV47" s="128">
        <v>0</v>
      </c>
      <c r="CW47" s="128">
        <f t="shared" si="31"/>
        <v>1</v>
      </c>
      <c r="CX47" s="128"/>
      <c r="CY47" s="128">
        <v>1</v>
      </c>
      <c r="CZ47" s="128">
        <f t="shared" si="32"/>
        <v>0</v>
      </c>
      <c r="DA47" s="128">
        <v>2</v>
      </c>
      <c r="DB47" s="128"/>
      <c r="DC47" s="128">
        <f t="shared" si="33"/>
        <v>2</v>
      </c>
      <c r="DD47" s="128"/>
      <c r="DE47" s="128">
        <v>0</v>
      </c>
      <c r="DF47" s="215">
        <f t="shared" si="34"/>
        <v>2</v>
      </c>
      <c r="DG47" s="128"/>
      <c r="DH47" s="128">
        <v>0</v>
      </c>
      <c r="DI47" s="128">
        <f t="shared" si="35"/>
        <v>2</v>
      </c>
      <c r="DJ47" s="128"/>
      <c r="DK47" s="128"/>
      <c r="DL47" s="128">
        <f t="shared" si="36"/>
        <v>2</v>
      </c>
      <c r="DM47" s="128"/>
      <c r="DN47" s="128"/>
      <c r="DO47" s="215">
        <f t="shared" si="37"/>
        <v>2</v>
      </c>
      <c r="DP47" s="128"/>
      <c r="DQ47" s="128"/>
      <c r="DR47" s="215">
        <f t="shared" si="38"/>
        <v>2</v>
      </c>
      <c r="DS47" s="128"/>
      <c r="DT47" s="128">
        <v>0</v>
      </c>
      <c r="DU47" s="215">
        <f t="shared" si="39"/>
        <v>2</v>
      </c>
      <c r="DV47" s="128"/>
      <c r="DW47" s="128"/>
      <c r="DX47" s="215">
        <f t="shared" si="40"/>
        <v>2</v>
      </c>
      <c r="DY47" s="128"/>
      <c r="DZ47" s="128"/>
      <c r="EA47" s="215">
        <f t="shared" si="41"/>
        <v>2</v>
      </c>
      <c r="EB47" s="128"/>
      <c r="EC47" s="128"/>
      <c r="ED47" s="215">
        <f t="shared" si="42"/>
        <v>2</v>
      </c>
      <c r="EE47" s="128"/>
      <c r="EF47" s="128"/>
      <c r="EG47" s="215">
        <f t="shared" si="43"/>
        <v>2</v>
      </c>
      <c r="EH47" s="128"/>
      <c r="EI47" s="128"/>
      <c r="EJ47" s="215">
        <f t="shared" si="57"/>
        <v>2</v>
      </c>
      <c r="EK47" s="128"/>
      <c r="EL47" s="128"/>
      <c r="EM47" s="215">
        <f t="shared" si="44"/>
        <v>2</v>
      </c>
      <c r="EN47" s="128"/>
      <c r="EO47" s="128"/>
      <c r="EP47" s="215">
        <f t="shared" si="45"/>
        <v>2</v>
      </c>
      <c r="EQ47" s="128"/>
      <c r="ER47" s="128"/>
      <c r="ES47" s="128">
        <f t="shared" si="46"/>
        <v>2</v>
      </c>
      <c r="ET47" s="128"/>
      <c r="EU47" s="128"/>
      <c r="EV47" s="128">
        <f t="shared" si="47"/>
        <v>2</v>
      </c>
      <c r="EW47" s="128"/>
      <c r="EX47" s="128"/>
      <c r="EY47" s="128">
        <f t="shared" si="48"/>
        <v>2</v>
      </c>
      <c r="EZ47" s="128"/>
      <c r="FA47" s="128"/>
      <c r="FB47" s="128">
        <f t="shared" si="49"/>
        <v>2</v>
      </c>
      <c r="FC47" s="128"/>
      <c r="FD47" s="215"/>
      <c r="FE47" s="128">
        <f t="shared" si="50"/>
        <v>2</v>
      </c>
      <c r="FF47" s="128"/>
      <c r="FG47" s="128"/>
      <c r="FH47" s="128">
        <f t="shared" si="51"/>
        <v>2</v>
      </c>
      <c r="FI47" s="128"/>
      <c r="FJ47" s="128"/>
      <c r="FK47" s="128">
        <f t="shared" si="52"/>
        <v>2</v>
      </c>
      <c r="FL47" s="128"/>
      <c r="FM47" s="128"/>
      <c r="FN47" s="128">
        <f t="shared" si="60"/>
        <v>2</v>
      </c>
      <c r="FO47" s="128"/>
      <c r="FP47" s="128"/>
      <c r="FQ47" s="128">
        <f t="shared" si="53"/>
        <v>2</v>
      </c>
      <c r="FR47" s="128"/>
      <c r="FS47" s="128"/>
      <c r="FT47" s="128">
        <f t="shared" si="59"/>
        <v>2</v>
      </c>
      <c r="FU47" s="128"/>
      <c r="FV47" s="128"/>
      <c r="FW47" s="128">
        <f t="shared" si="55"/>
        <v>2</v>
      </c>
    </row>
    <row r="48" spans="1:192" s="211" customFormat="1" ht="12.75" x14ac:dyDescent="0.2">
      <c r="A48" s="202" t="s">
        <v>122</v>
      </c>
      <c r="B48" s="203">
        <f>'INV. FEB'!BX48</f>
        <v>15</v>
      </c>
      <c r="C48" s="204">
        <v>0</v>
      </c>
      <c r="D48" s="204">
        <v>6</v>
      </c>
      <c r="E48" s="205">
        <f t="shared" si="0"/>
        <v>9</v>
      </c>
      <c r="F48" s="204">
        <v>0</v>
      </c>
      <c r="G48" s="204">
        <v>0</v>
      </c>
      <c r="H48" s="205">
        <f t="shared" si="1"/>
        <v>9</v>
      </c>
      <c r="I48" s="204">
        <v>0</v>
      </c>
      <c r="J48" s="204">
        <v>0</v>
      </c>
      <c r="K48" s="205">
        <f t="shared" si="2"/>
        <v>9</v>
      </c>
      <c r="L48" s="204">
        <v>0</v>
      </c>
      <c r="M48" s="204">
        <v>2</v>
      </c>
      <c r="N48" s="205">
        <f t="shared" si="3"/>
        <v>7</v>
      </c>
      <c r="O48" s="204">
        <v>0</v>
      </c>
      <c r="P48" s="204">
        <v>0</v>
      </c>
      <c r="Q48" s="205">
        <f t="shared" si="4"/>
        <v>7</v>
      </c>
      <c r="R48" s="204">
        <v>0</v>
      </c>
      <c r="S48" s="204">
        <v>1</v>
      </c>
      <c r="T48" s="205">
        <f t="shared" si="5"/>
        <v>6</v>
      </c>
      <c r="U48" s="204">
        <v>0</v>
      </c>
      <c r="V48" s="204">
        <v>0</v>
      </c>
      <c r="W48" s="205">
        <f t="shared" si="6"/>
        <v>6</v>
      </c>
      <c r="X48" s="204">
        <v>0</v>
      </c>
      <c r="Y48" s="204">
        <v>0</v>
      </c>
      <c r="Z48" s="205">
        <f t="shared" si="7"/>
        <v>6</v>
      </c>
      <c r="AA48" s="206">
        <v>0</v>
      </c>
      <c r="AB48" s="206">
        <v>0</v>
      </c>
      <c r="AC48" s="207">
        <f t="shared" si="8"/>
        <v>6</v>
      </c>
      <c r="AD48" s="206">
        <v>10</v>
      </c>
      <c r="AE48" s="206">
        <v>8</v>
      </c>
      <c r="AF48" s="207">
        <f t="shared" si="9"/>
        <v>8</v>
      </c>
      <c r="AG48" s="206">
        <v>0</v>
      </c>
      <c r="AH48" s="206">
        <v>8</v>
      </c>
      <c r="AI48" s="207">
        <f t="shared" si="10"/>
        <v>0</v>
      </c>
      <c r="AJ48" s="206">
        <v>20</v>
      </c>
      <c r="AK48" s="206">
        <v>6</v>
      </c>
      <c r="AL48" s="207">
        <f t="shared" si="11"/>
        <v>14</v>
      </c>
      <c r="AM48" s="206">
        <v>0</v>
      </c>
      <c r="AN48" s="206">
        <v>0</v>
      </c>
      <c r="AO48" s="207">
        <f t="shared" si="12"/>
        <v>14</v>
      </c>
      <c r="AP48" s="206">
        <v>0</v>
      </c>
      <c r="AQ48" s="206">
        <v>0</v>
      </c>
      <c r="AR48" s="207">
        <f t="shared" si="13"/>
        <v>14</v>
      </c>
      <c r="AS48" s="206">
        <v>0</v>
      </c>
      <c r="AT48" s="207">
        <v>2</v>
      </c>
      <c r="AU48" s="207">
        <f t="shared" si="14"/>
        <v>12</v>
      </c>
      <c r="AV48" s="206">
        <v>0</v>
      </c>
      <c r="AW48" s="206">
        <v>8</v>
      </c>
      <c r="AX48" s="207">
        <f t="shared" si="15"/>
        <v>4</v>
      </c>
      <c r="AY48" s="206">
        <v>0</v>
      </c>
      <c r="AZ48" s="206">
        <v>3</v>
      </c>
      <c r="BA48" s="207">
        <f t="shared" si="16"/>
        <v>1</v>
      </c>
      <c r="BB48" s="206">
        <v>20</v>
      </c>
      <c r="BC48" s="206">
        <v>3</v>
      </c>
      <c r="BD48" s="207">
        <f t="shared" si="17"/>
        <v>18</v>
      </c>
      <c r="BE48" s="206">
        <v>0</v>
      </c>
      <c r="BF48" s="206">
        <v>3</v>
      </c>
      <c r="BG48" s="207">
        <f t="shared" si="18"/>
        <v>15</v>
      </c>
      <c r="BH48" s="206">
        <v>0</v>
      </c>
      <c r="BI48" s="206">
        <v>11</v>
      </c>
      <c r="BJ48" s="207">
        <f t="shared" si="19"/>
        <v>4</v>
      </c>
      <c r="BK48" s="206">
        <v>20</v>
      </c>
      <c r="BL48" s="206">
        <v>0</v>
      </c>
      <c r="BM48" s="207">
        <f t="shared" si="20"/>
        <v>24</v>
      </c>
      <c r="BN48" s="206">
        <v>0</v>
      </c>
      <c r="BO48" s="206">
        <v>2</v>
      </c>
      <c r="BP48" s="207">
        <f t="shared" si="21"/>
        <v>22</v>
      </c>
      <c r="BQ48" s="206">
        <v>0</v>
      </c>
      <c r="BR48" s="206">
        <v>0</v>
      </c>
      <c r="BS48" s="207">
        <f t="shared" si="22"/>
        <v>22</v>
      </c>
      <c r="BT48" s="206">
        <v>0</v>
      </c>
      <c r="BU48" s="206">
        <v>0</v>
      </c>
      <c r="BV48" s="207">
        <f t="shared" si="23"/>
        <v>22</v>
      </c>
      <c r="BW48" s="206">
        <v>0</v>
      </c>
      <c r="BX48" s="206">
        <v>3</v>
      </c>
      <c r="BY48" s="207">
        <f t="shared" si="24"/>
        <v>19</v>
      </c>
      <c r="BZ48" s="206">
        <v>0</v>
      </c>
      <c r="CA48" s="206">
        <v>0</v>
      </c>
      <c r="CB48" s="207">
        <f t="shared" si="25"/>
        <v>19</v>
      </c>
      <c r="CC48" s="206">
        <v>0</v>
      </c>
      <c r="CD48" s="206">
        <v>0</v>
      </c>
      <c r="CE48" s="207">
        <f t="shared" si="26"/>
        <v>19</v>
      </c>
      <c r="CF48" s="206">
        <v>0</v>
      </c>
      <c r="CG48" s="206">
        <v>16</v>
      </c>
      <c r="CH48" s="207">
        <f t="shared" si="27"/>
        <v>3</v>
      </c>
      <c r="CI48" s="206">
        <v>20</v>
      </c>
      <c r="CJ48" s="206">
        <v>7</v>
      </c>
      <c r="CK48" s="206">
        <f t="shared" si="29"/>
        <v>16</v>
      </c>
      <c r="CL48" s="206">
        <v>0</v>
      </c>
      <c r="CM48" s="206">
        <v>7</v>
      </c>
      <c r="CN48" s="207">
        <f t="shared" si="30"/>
        <v>9</v>
      </c>
      <c r="CO48" s="206">
        <v>0</v>
      </c>
      <c r="CP48" s="206">
        <v>0</v>
      </c>
      <c r="CQ48" s="208">
        <f t="shared" si="56"/>
        <v>9</v>
      </c>
      <c r="CR48" s="209"/>
      <c r="CS48" s="210"/>
      <c r="CT48" s="210">
        <v>15</v>
      </c>
      <c r="CU48" s="210">
        <v>0</v>
      </c>
      <c r="CV48" s="210"/>
      <c r="CW48" s="210">
        <f t="shared" si="31"/>
        <v>15</v>
      </c>
      <c r="CX48" s="210"/>
      <c r="CY48" s="210"/>
      <c r="CZ48" s="210">
        <f t="shared" si="32"/>
        <v>15</v>
      </c>
      <c r="DA48" s="210">
        <v>20</v>
      </c>
      <c r="DB48" s="210"/>
      <c r="DC48" s="210">
        <f t="shared" si="33"/>
        <v>35</v>
      </c>
      <c r="DD48" s="210"/>
      <c r="DE48" s="210"/>
      <c r="DF48" s="224">
        <f t="shared" si="34"/>
        <v>35</v>
      </c>
      <c r="DG48" s="210"/>
      <c r="DH48" s="210">
        <v>0</v>
      </c>
      <c r="DI48" s="210">
        <f t="shared" si="35"/>
        <v>35</v>
      </c>
      <c r="DJ48" s="210"/>
      <c r="DK48" s="210">
        <v>4</v>
      </c>
      <c r="DL48" s="210">
        <f t="shared" si="36"/>
        <v>31</v>
      </c>
      <c r="DM48" s="210"/>
      <c r="DN48" s="210"/>
      <c r="DO48" s="224">
        <f t="shared" si="37"/>
        <v>31</v>
      </c>
      <c r="DP48" s="210"/>
      <c r="DQ48" s="210"/>
      <c r="DR48" s="224">
        <f t="shared" si="38"/>
        <v>31</v>
      </c>
      <c r="DS48" s="210"/>
      <c r="DT48" s="210"/>
      <c r="DU48" s="224">
        <f t="shared" si="39"/>
        <v>31</v>
      </c>
      <c r="DV48" s="210"/>
      <c r="DW48" s="210"/>
      <c r="DX48" s="224">
        <f t="shared" si="40"/>
        <v>31</v>
      </c>
      <c r="DY48" s="210"/>
      <c r="DZ48" s="210"/>
      <c r="EA48" s="224">
        <f t="shared" si="41"/>
        <v>31</v>
      </c>
      <c r="EB48" s="210"/>
      <c r="EC48" s="210"/>
      <c r="ED48" s="224">
        <f>EA48+EB48-EC48</f>
        <v>31</v>
      </c>
      <c r="EE48" s="210"/>
      <c r="EF48" s="210"/>
      <c r="EG48" s="215">
        <f t="shared" si="43"/>
        <v>31</v>
      </c>
      <c r="EH48" s="210"/>
      <c r="EI48" s="210"/>
      <c r="EJ48" s="215">
        <f t="shared" si="57"/>
        <v>31</v>
      </c>
      <c r="EK48" s="210"/>
      <c r="EL48" s="210"/>
      <c r="EM48" s="224">
        <f>EJ48+EK48-EL48</f>
        <v>31</v>
      </c>
      <c r="EN48" s="210"/>
      <c r="EO48" s="210"/>
      <c r="EP48" s="224">
        <f>EM48+EN48-EO48</f>
        <v>31</v>
      </c>
      <c r="EQ48" s="210"/>
      <c r="ER48" s="210"/>
      <c r="ES48" s="128">
        <f t="shared" si="46"/>
        <v>31</v>
      </c>
      <c r="ET48" s="210"/>
      <c r="EU48" s="210"/>
      <c r="EV48" s="128">
        <f t="shared" si="47"/>
        <v>31</v>
      </c>
      <c r="EW48" s="210"/>
      <c r="EX48" s="210"/>
      <c r="EY48" s="128">
        <f t="shared" si="48"/>
        <v>31</v>
      </c>
      <c r="EZ48" s="210"/>
      <c r="FA48" s="210"/>
      <c r="FB48" s="128">
        <f t="shared" si="49"/>
        <v>31</v>
      </c>
      <c r="FC48" s="210"/>
      <c r="FD48" s="224"/>
      <c r="FE48" s="128">
        <f t="shared" si="50"/>
        <v>31</v>
      </c>
      <c r="FF48" s="210"/>
      <c r="FG48" s="210"/>
      <c r="FH48" s="128">
        <f t="shared" si="51"/>
        <v>31</v>
      </c>
      <c r="FI48" s="210"/>
      <c r="FJ48" s="210"/>
      <c r="FK48" s="128">
        <f t="shared" si="52"/>
        <v>31</v>
      </c>
      <c r="FL48" s="210"/>
      <c r="FM48" s="210"/>
      <c r="FN48" s="128">
        <f t="shared" si="60"/>
        <v>31</v>
      </c>
      <c r="FO48" s="210"/>
      <c r="FP48" s="210"/>
      <c r="FQ48" s="128">
        <f t="shared" si="53"/>
        <v>31</v>
      </c>
      <c r="FR48" s="210"/>
      <c r="FS48" s="210"/>
      <c r="FT48" s="128">
        <f t="shared" si="59"/>
        <v>31</v>
      </c>
      <c r="FU48" s="210"/>
      <c r="FV48" s="210"/>
      <c r="FW48" s="128">
        <f t="shared" si="55"/>
        <v>31</v>
      </c>
      <c r="FX48"/>
      <c r="FY48"/>
      <c r="FZ48"/>
      <c r="GA48"/>
      <c r="GB48"/>
      <c r="GC48"/>
      <c r="GD48"/>
      <c r="GE48"/>
      <c r="GF48"/>
      <c r="GG48"/>
      <c r="GH48"/>
      <c r="GI48"/>
      <c r="GJ48"/>
    </row>
    <row r="49" spans="1:192" s="162" customFormat="1" ht="12.75" x14ac:dyDescent="0.2">
      <c r="A49" s="154" t="s">
        <v>123</v>
      </c>
      <c r="B49" s="155">
        <f>'INV. FEB'!BX49</f>
        <v>1</v>
      </c>
      <c r="C49" s="156">
        <v>0</v>
      </c>
      <c r="D49" s="156">
        <v>0</v>
      </c>
      <c r="E49" s="157">
        <f t="shared" si="0"/>
        <v>1</v>
      </c>
      <c r="F49" s="156">
        <v>0</v>
      </c>
      <c r="G49" s="156">
        <v>2</v>
      </c>
      <c r="H49" s="157">
        <f t="shared" si="1"/>
        <v>-1</v>
      </c>
      <c r="I49" s="156">
        <v>0</v>
      </c>
      <c r="J49" s="156">
        <v>0</v>
      </c>
      <c r="K49" s="157">
        <f t="shared" si="2"/>
        <v>-1</v>
      </c>
      <c r="L49" s="156">
        <v>6</v>
      </c>
      <c r="M49" s="156">
        <v>1</v>
      </c>
      <c r="N49" s="157">
        <f t="shared" si="3"/>
        <v>4</v>
      </c>
      <c r="O49" s="156">
        <v>0</v>
      </c>
      <c r="P49" s="156">
        <v>1</v>
      </c>
      <c r="Q49" s="157">
        <f t="shared" si="4"/>
        <v>3</v>
      </c>
      <c r="R49" s="156">
        <v>0</v>
      </c>
      <c r="S49" s="156">
        <v>0</v>
      </c>
      <c r="T49" s="157">
        <f t="shared" si="5"/>
        <v>3</v>
      </c>
      <c r="U49" s="156">
        <v>0</v>
      </c>
      <c r="V49" s="156">
        <v>1</v>
      </c>
      <c r="W49" s="157">
        <f t="shared" si="6"/>
        <v>2</v>
      </c>
      <c r="X49" s="156">
        <v>0</v>
      </c>
      <c r="Y49" s="156">
        <v>1</v>
      </c>
      <c r="Z49" s="157">
        <f t="shared" si="7"/>
        <v>1</v>
      </c>
      <c r="AA49" s="158">
        <v>0</v>
      </c>
      <c r="AB49" s="158">
        <v>2</v>
      </c>
      <c r="AC49" s="159">
        <f t="shared" si="8"/>
        <v>-1</v>
      </c>
      <c r="AD49" s="158">
        <v>0</v>
      </c>
      <c r="AE49" s="158">
        <v>1</v>
      </c>
      <c r="AF49" s="159">
        <f t="shared" si="9"/>
        <v>-2</v>
      </c>
      <c r="AG49" s="158">
        <v>5</v>
      </c>
      <c r="AH49" s="158">
        <v>0</v>
      </c>
      <c r="AI49" s="159">
        <f t="shared" si="10"/>
        <v>3</v>
      </c>
      <c r="AJ49" s="158">
        <v>0</v>
      </c>
      <c r="AK49" s="158">
        <v>1</v>
      </c>
      <c r="AL49" s="159">
        <f t="shared" si="11"/>
        <v>2</v>
      </c>
      <c r="AM49" s="158">
        <v>0</v>
      </c>
      <c r="AN49" s="158">
        <v>0</v>
      </c>
      <c r="AO49" s="159">
        <f t="shared" si="12"/>
        <v>2</v>
      </c>
      <c r="AP49" s="158">
        <v>2</v>
      </c>
      <c r="AQ49" s="158">
        <v>0</v>
      </c>
      <c r="AR49" s="159">
        <f t="shared" si="13"/>
        <v>4</v>
      </c>
      <c r="AS49" s="158">
        <v>0</v>
      </c>
      <c r="AT49" s="158">
        <v>0</v>
      </c>
      <c r="AU49" s="159">
        <f t="shared" si="14"/>
        <v>4</v>
      </c>
      <c r="AV49" s="158">
        <v>0</v>
      </c>
      <c r="AW49" s="158">
        <v>0</v>
      </c>
      <c r="AX49" s="159">
        <f t="shared" si="15"/>
        <v>4</v>
      </c>
      <c r="AY49" s="158">
        <v>0</v>
      </c>
      <c r="AZ49" s="158">
        <v>0</v>
      </c>
      <c r="BA49" s="159">
        <f t="shared" si="16"/>
        <v>4</v>
      </c>
      <c r="BB49" s="158">
        <v>0</v>
      </c>
      <c r="BC49" s="158">
        <v>1</v>
      </c>
      <c r="BD49" s="159">
        <f t="shared" si="17"/>
        <v>3</v>
      </c>
      <c r="BE49" s="158">
        <v>0</v>
      </c>
      <c r="BF49" s="158">
        <v>0</v>
      </c>
      <c r="BG49" s="159">
        <f t="shared" si="18"/>
        <v>3</v>
      </c>
      <c r="BH49" s="158">
        <v>0</v>
      </c>
      <c r="BI49" s="158">
        <v>4</v>
      </c>
      <c r="BJ49" s="159">
        <f t="shared" si="19"/>
        <v>-1</v>
      </c>
      <c r="BK49" s="158">
        <v>0</v>
      </c>
      <c r="BL49" s="158">
        <v>0</v>
      </c>
      <c r="BM49" s="159">
        <f t="shared" si="20"/>
        <v>-1</v>
      </c>
      <c r="BN49" s="158">
        <v>0</v>
      </c>
      <c r="BO49" s="158">
        <v>0</v>
      </c>
      <c r="BP49" s="159">
        <f t="shared" si="21"/>
        <v>-1</v>
      </c>
      <c r="BQ49" s="158">
        <v>0</v>
      </c>
      <c r="BR49" s="158">
        <v>1</v>
      </c>
      <c r="BS49" s="159">
        <f t="shared" si="22"/>
        <v>-2</v>
      </c>
      <c r="BT49" s="158">
        <v>0</v>
      </c>
      <c r="BU49" s="158">
        <v>0</v>
      </c>
      <c r="BV49" s="159">
        <f t="shared" si="23"/>
        <v>-2</v>
      </c>
      <c r="BW49" s="158">
        <v>0</v>
      </c>
      <c r="BX49" s="158">
        <v>0</v>
      </c>
      <c r="BY49" s="159">
        <f t="shared" si="24"/>
        <v>-2</v>
      </c>
      <c r="BZ49" s="158">
        <v>6</v>
      </c>
      <c r="CA49" s="158">
        <v>0</v>
      </c>
      <c r="CB49" s="159">
        <f t="shared" si="25"/>
        <v>4</v>
      </c>
      <c r="CC49" s="158">
        <v>0</v>
      </c>
      <c r="CD49" s="158">
        <v>1</v>
      </c>
      <c r="CE49" s="159">
        <f t="shared" si="26"/>
        <v>3</v>
      </c>
      <c r="CF49" s="158">
        <v>0</v>
      </c>
      <c r="CG49" s="158">
        <v>0</v>
      </c>
      <c r="CH49" s="159">
        <f t="shared" si="27"/>
        <v>3</v>
      </c>
      <c r="CI49" s="158">
        <v>0</v>
      </c>
      <c r="CJ49" s="158">
        <v>2</v>
      </c>
      <c r="CK49" s="158">
        <f t="shared" si="29"/>
        <v>1</v>
      </c>
      <c r="CL49" s="158">
        <v>0</v>
      </c>
      <c r="CM49" s="158">
        <v>2</v>
      </c>
      <c r="CN49" s="159">
        <v>0</v>
      </c>
      <c r="CO49" s="158"/>
      <c r="CP49" s="158">
        <v>0</v>
      </c>
      <c r="CQ49" s="160">
        <f t="shared" si="56"/>
        <v>0</v>
      </c>
      <c r="CR49" s="161">
        <v>6</v>
      </c>
      <c r="CS49" s="161"/>
      <c r="CT49" s="161">
        <v>5</v>
      </c>
      <c r="CU49" s="200">
        <v>0</v>
      </c>
      <c r="CV49" s="200">
        <v>2</v>
      </c>
      <c r="CW49" s="200">
        <f t="shared" si="31"/>
        <v>3</v>
      </c>
      <c r="CX49" s="161"/>
      <c r="CY49" s="161"/>
      <c r="CZ49" s="200">
        <f t="shared" si="32"/>
        <v>3</v>
      </c>
      <c r="DA49" s="161">
        <v>6</v>
      </c>
      <c r="DB49" s="161">
        <v>4</v>
      </c>
      <c r="DC49" s="200">
        <f t="shared" si="33"/>
        <v>5</v>
      </c>
      <c r="DD49" s="161"/>
      <c r="DE49" s="161"/>
      <c r="DF49" s="223">
        <f t="shared" si="34"/>
        <v>5</v>
      </c>
      <c r="DG49" s="161"/>
      <c r="DH49" s="161">
        <v>1</v>
      </c>
      <c r="DI49" s="200">
        <f t="shared" si="35"/>
        <v>4</v>
      </c>
      <c r="DJ49" s="161"/>
      <c r="DK49" s="161"/>
      <c r="DL49" s="200">
        <f t="shared" si="36"/>
        <v>4</v>
      </c>
      <c r="DM49" s="161"/>
      <c r="DN49" s="161"/>
      <c r="DO49" s="223">
        <f t="shared" si="37"/>
        <v>4</v>
      </c>
      <c r="DP49" s="161"/>
      <c r="DQ49" s="161"/>
      <c r="DR49" s="223">
        <f t="shared" si="38"/>
        <v>4</v>
      </c>
      <c r="DS49" s="161"/>
      <c r="DT49" s="161"/>
      <c r="DU49" s="223">
        <f t="shared" si="39"/>
        <v>4</v>
      </c>
      <c r="DV49" s="161"/>
      <c r="DW49" s="161"/>
      <c r="DX49" s="223">
        <f t="shared" si="40"/>
        <v>4</v>
      </c>
      <c r="DY49" s="161"/>
      <c r="DZ49" s="161"/>
      <c r="EA49" s="223">
        <f t="shared" si="41"/>
        <v>4</v>
      </c>
      <c r="EB49" s="161"/>
      <c r="EC49" s="161">
        <v>3</v>
      </c>
      <c r="ED49" s="223">
        <f t="shared" si="42"/>
        <v>1</v>
      </c>
      <c r="EE49" s="161"/>
      <c r="EF49" s="161"/>
      <c r="EG49" s="215">
        <f t="shared" si="43"/>
        <v>1</v>
      </c>
      <c r="EH49" s="161"/>
      <c r="EI49" s="161"/>
      <c r="EJ49" s="215">
        <f t="shared" si="57"/>
        <v>1</v>
      </c>
      <c r="EK49" s="161"/>
      <c r="EL49" s="161"/>
      <c r="EM49" s="223">
        <f t="shared" ref="EM49:EM57" si="61">EJ49+EK49-EL49</f>
        <v>1</v>
      </c>
      <c r="EN49" s="161"/>
      <c r="EO49" s="161"/>
      <c r="EP49" s="223">
        <f t="shared" ref="EP49:EP57" si="62">EM49+EN49-EO49</f>
        <v>1</v>
      </c>
      <c r="EQ49" s="161"/>
      <c r="ER49" s="161"/>
      <c r="ES49" s="128">
        <f t="shared" si="46"/>
        <v>1</v>
      </c>
      <c r="ET49" s="161"/>
      <c r="EU49" s="161"/>
      <c r="EV49" s="128">
        <f t="shared" si="47"/>
        <v>1</v>
      </c>
      <c r="EW49" s="161"/>
      <c r="EX49" s="161"/>
      <c r="EY49" s="128">
        <f t="shared" si="48"/>
        <v>1</v>
      </c>
      <c r="EZ49" s="161"/>
      <c r="FA49" s="161"/>
      <c r="FB49" s="128">
        <f t="shared" si="49"/>
        <v>1</v>
      </c>
      <c r="FC49" s="161"/>
      <c r="FD49" s="233"/>
      <c r="FE49" s="128">
        <f t="shared" si="50"/>
        <v>1</v>
      </c>
      <c r="FF49" s="161"/>
      <c r="FG49" s="161"/>
      <c r="FH49" s="128">
        <f t="shared" si="51"/>
        <v>1</v>
      </c>
      <c r="FI49" s="161"/>
      <c r="FJ49" s="161"/>
      <c r="FK49" s="128">
        <f t="shared" si="52"/>
        <v>1</v>
      </c>
      <c r="FL49" s="161"/>
      <c r="FM49" s="161"/>
      <c r="FN49" s="128">
        <f t="shared" si="60"/>
        <v>1</v>
      </c>
      <c r="FO49" s="161"/>
      <c r="FP49" s="161"/>
      <c r="FQ49" s="128">
        <f t="shared" si="53"/>
        <v>1</v>
      </c>
      <c r="FR49" s="161"/>
      <c r="FS49" s="161"/>
      <c r="FT49" s="128">
        <f t="shared" si="59"/>
        <v>1</v>
      </c>
      <c r="FU49" s="161"/>
      <c r="FV49" s="161"/>
      <c r="FW49" s="128">
        <f t="shared" si="55"/>
        <v>1</v>
      </c>
      <c r="FX49"/>
      <c r="FY49"/>
      <c r="FZ49"/>
      <c r="GA49"/>
      <c r="GB49"/>
      <c r="GC49"/>
      <c r="GD49"/>
      <c r="GE49"/>
      <c r="GF49"/>
      <c r="GG49"/>
      <c r="GH49"/>
      <c r="GI49"/>
      <c r="GJ49"/>
    </row>
    <row r="50" spans="1:192" s="171" customFormat="1" ht="12.75" x14ac:dyDescent="0.2">
      <c r="A50" s="163" t="s">
        <v>124</v>
      </c>
      <c r="B50" s="164">
        <f>'INV. FEB'!BX50</f>
        <v>1</v>
      </c>
      <c r="C50" s="165">
        <v>0</v>
      </c>
      <c r="D50" s="165">
        <v>0</v>
      </c>
      <c r="E50" s="166">
        <f t="shared" si="0"/>
        <v>1</v>
      </c>
      <c r="F50" s="165">
        <v>0</v>
      </c>
      <c r="G50" s="165">
        <v>0</v>
      </c>
      <c r="H50" s="166">
        <f t="shared" si="1"/>
        <v>1</v>
      </c>
      <c r="I50" s="165">
        <v>0</v>
      </c>
      <c r="J50" s="165">
        <v>0</v>
      </c>
      <c r="K50" s="166">
        <f t="shared" si="2"/>
        <v>1</v>
      </c>
      <c r="L50" s="165">
        <v>3</v>
      </c>
      <c r="M50" s="165">
        <v>0</v>
      </c>
      <c r="N50" s="166">
        <f t="shared" si="3"/>
        <v>4</v>
      </c>
      <c r="O50" s="165">
        <v>0</v>
      </c>
      <c r="P50" s="165">
        <v>0</v>
      </c>
      <c r="Q50" s="166">
        <f t="shared" si="4"/>
        <v>4</v>
      </c>
      <c r="R50" s="165">
        <v>0</v>
      </c>
      <c r="S50" s="165">
        <v>0</v>
      </c>
      <c r="T50" s="166">
        <f t="shared" si="5"/>
        <v>4</v>
      </c>
      <c r="U50" s="165">
        <v>0</v>
      </c>
      <c r="V50" s="165">
        <v>0</v>
      </c>
      <c r="W50" s="166">
        <f t="shared" si="6"/>
        <v>4</v>
      </c>
      <c r="X50" s="165">
        <v>0</v>
      </c>
      <c r="Y50" s="165">
        <v>0</v>
      </c>
      <c r="Z50" s="166">
        <f t="shared" si="7"/>
        <v>4</v>
      </c>
      <c r="AA50" s="167">
        <v>0</v>
      </c>
      <c r="AB50" s="167">
        <v>1</v>
      </c>
      <c r="AC50" s="168">
        <f t="shared" si="8"/>
        <v>3</v>
      </c>
      <c r="AD50" s="167">
        <v>0</v>
      </c>
      <c r="AE50" s="167">
        <v>2</v>
      </c>
      <c r="AF50" s="168">
        <f t="shared" si="9"/>
        <v>1</v>
      </c>
      <c r="AG50" s="167">
        <v>2</v>
      </c>
      <c r="AH50" s="167">
        <v>0</v>
      </c>
      <c r="AI50" s="168">
        <f t="shared" si="10"/>
        <v>3</v>
      </c>
      <c r="AJ50" s="167">
        <v>0</v>
      </c>
      <c r="AK50" s="167">
        <v>0</v>
      </c>
      <c r="AL50" s="168">
        <f t="shared" si="11"/>
        <v>3</v>
      </c>
      <c r="AM50" s="167">
        <v>0</v>
      </c>
      <c r="AN50" s="167">
        <v>0</v>
      </c>
      <c r="AO50" s="168">
        <f t="shared" si="12"/>
        <v>3</v>
      </c>
      <c r="AP50" s="167">
        <v>2</v>
      </c>
      <c r="AQ50" s="167">
        <v>1</v>
      </c>
      <c r="AR50" s="168">
        <f t="shared" si="13"/>
        <v>4</v>
      </c>
      <c r="AS50" s="167">
        <v>0</v>
      </c>
      <c r="AT50" s="167">
        <v>0</v>
      </c>
      <c r="AU50" s="168">
        <f t="shared" si="14"/>
        <v>4</v>
      </c>
      <c r="AV50" s="167">
        <v>0</v>
      </c>
      <c r="AW50" s="167">
        <v>0</v>
      </c>
      <c r="AX50" s="168">
        <f t="shared" si="15"/>
        <v>4</v>
      </c>
      <c r="AY50" s="167">
        <v>0</v>
      </c>
      <c r="AZ50" s="167">
        <v>0</v>
      </c>
      <c r="BA50" s="168">
        <f t="shared" si="16"/>
        <v>4</v>
      </c>
      <c r="BB50" s="167">
        <v>0</v>
      </c>
      <c r="BC50" s="167">
        <v>0</v>
      </c>
      <c r="BD50" s="168">
        <f t="shared" si="17"/>
        <v>4</v>
      </c>
      <c r="BE50" s="167">
        <v>0</v>
      </c>
      <c r="BF50" s="167">
        <v>0</v>
      </c>
      <c r="BG50" s="168">
        <f t="shared" si="18"/>
        <v>4</v>
      </c>
      <c r="BH50" s="167">
        <v>0</v>
      </c>
      <c r="BI50" s="167">
        <v>3</v>
      </c>
      <c r="BJ50" s="168">
        <f t="shared" si="19"/>
        <v>1</v>
      </c>
      <c r="BK50" s="167">
        <v>0</v>
      </c>
      <c r="BL50" s="167">
        <v>0</v>
      </c>
      <c r="BM50" s="168">
        <f t="shared" si="20"/>
        <v>1</v>
      </c>
      <c r="BN50" s="167">
        <v>0</v>
      </c>
      <c r="BO50" s="167">
        <v>0</v>
      </c>
      <c r="BP50" s="168">
        <f t="shared" si="21"/>
        <v>1</v>
      </c>
      <c r="BQ50" s="167">
        <v>0</v>
      </c>
      <c r="BR50" s="167">
        <v>2</v>
      </c>
      <c r="BS50" s="168">
        <f t="shared" si="22"/>
        <v>-1</v>
      </c>
      <c r="BT50" s="167">
        <v>0</v>
      </c>
      <c r="BU50" s="167">
        <v>0</v>
      </c>
      <c r="BV50" s="168">
        <f t="shared" si="23"/>
        <v>-1</v>
      </c>
      <c r="BW50" s="167">
        <v>0</v>
      </c>
      <c r="BX50" s="167">
        <v>0</v>
      </c>
      <c r="BY50" s="168">
        <f t="shared" si="24"/>
        <v>-1</v>
      </c>
      <c r="BZ50" s="167">
        <v>6</v>
      </c>
      <c r="CA50" s="167">
        <v>0</v>
      </c>
      <c r="CB50" s="168">
        <f t="shared" si="25"/>
        <v>5</v>
      </c>
      <c r="CC50" s="167">
        <v>0</v>
      </c>
      <c r="CD50" s="167">
        <v>0</v>
      </c>
      <c r="CE50" s="168">
        <f t="shared" si="26"/>
        <v>5</v>
      </c>
      <c r="CF50" s="167">
        <v>0</v>
      </c>
      <c r="CG50" s="167">
        <v>2</v>
      </c>
      <c r="CH50" s="168">
        <f t="shared" si="27"/>
        <v>3</v>
      </c>
      <c r="CI50" s="167">
        <v>0</v>
      </c>
      <c r="CJ50" s="167">
        <v>0</v>
      </c>
      <c r="CK50" s="167">
        <f t="shared" si="29"/>
        <v>3</v>
      </c>
      <c r="CL50" s="167">
        <v>0</v>
      </c>
      <c r="CM50" s="167">
        <v>0</v>
      </c>
      <c r="CN50" s="168">
        <v>2</v>
      </c>
      <c r="CO50" s="167"/>
      <c r="CP50" s="167">
        <v>0</v>
      </c>
      <c r="CQ50" s="169">
        <f t="shared" si="56"/>
        <v>2</v>
      </c>
      <c r="CR50" s="170">
        <v>4</v>
      </c>
      <c r="CS50" s="170"/>
      <c r="CT50" s="170">
        <f t="shared" si="58"/>
        <v>6</v>
      </c>
      <c r="CU50" s="170">
        <v>0</v>
      </c>
      <c r="CV50" s="170">
        <v>1</v>
      </c>
      <c r="CW50" s="170">
        <f t="shared" si="31"/>
        <v>5</v>
      </c>
      <c r="CX50" s="170"/>
      <c r="CY50" s="170"/>
      <c r="CZ50" s="170">
        <f t="shared" si="32"/>
        <v>5</v>
      </c>
      <c r="DA50" s="170">
        <v>0</v>
      </c>
      <c r="DB50" s="170">
        <v>0</v>
      </c>
      <c r="DC50" s="170">
        <f t="shared" si="33"/>
        <v>5</v>
      </c>
      <c r="DD50" s="170"/>
      <c r="DE50" s="170"/>
      <c r="DF50" s="225">
        <f t="shared" si="34"/>
        <v>5</v>
      </c>
      <c r="DG50" s="170"/>
      <c r="DH50" s="170">
        <v>0</v>
      </c>
      <c r="DI50" s="170">
        <f t="shared" si="35"/>
        <v>5</v>
      </c>
      <c r="DJ50" s="170"/>
      <c r="DK50" s="170"/>
      <c r="DL50" s="170">
        <f t="shared" si="36"/>
        <v>5</v>
      </c>
      <c r="DM50" s="170"/>
      <c r="DN50" s="170"/>
      <c r="DO50" s="225">
        <f t="shared" si="37"/>
        <v>5</v>
      </c>
      <c r="DP50" s="170"/>
      <c r="DQ50" s="170"/>
      <c r="DR50" s="225">
        <f t="shared" si="38"/>
        <v>5</v>
      </c>
      <c r="DS50" s="170"/>
      <c r="DT50" s="170"/>
      <c r="DU50" s="225">
        <f t="shared" si="39"/>
        <v>5</v>
      </c>
      <c r="DV50" s="170"/>
      <c r="DW50" s="170"/>
      <c r="DX50" s="225">
        <f t="shared" si="40"/>
        <v>5</v>
      </c>
      <c r="DY50" s="170"/>
      <c r="DZ50" s="170"/>
      <c r="EA50" s="225">
        <f t="shared" si="41"/>
        <v>5</v>
      </c>
      <c r="EB50" s="170"/>
      <c r="EC50" s="170"/>
      <c r="ED50" s="225">
        <f t="shared" si="42"/>
        <v>5</v>
      </c>
      <c r="EE50" s="170"/>
      <c r="EF50" s="170"/>
      <c r="EG50" s="215">
        <f t="shared" si="43"/>
        <v>5</v>
      </c>
      <c r="EH50" s="170"/>
      <c r="EI50" s="170"/>
      <c r="EJ50" s="215">
        <f t="shared" si="57"/>
        <v>5</v>
      </c>
      <c r="EK50" s="170"/>
      <c r="EL50" s="170"/>
      <c r="EM50" s="225">
        <f t="shared" si="61"/>
        <v>5</v>
      </c>
      <c r="EN50" s="170"/>
      <c r="EO50" s="170"/>
      <c r="EP50" s="225">
        <f t="shared" si="62"/>
        <v>5</v>
      </c>
      <c r="EQ50" s="170"/>
      <c r="ER50" s="170"/>
      <c r="ES50" s="128">
        <f t="shared" si="46"/>
        <v>5</v>
      </c>
      <c r="ET50" s="170"/>
      <c r="EU50" s="170"/>
      <c r="EV50" s="128">
        <f t="shared" si="47"/>
        <v>5</v>
      </c>
      <c r="EW50" s="170"/>
      <c r="EX50" s="170"/>
      <c r="EY50" s="128">
        <f t="shared" si="48"/>
        <v>5</v>
      </c>
      <c r="EZ50" s="170"/>
      <c r="FA50" s="170"/>
      <c r="FB50" s="128">
        <f t="shared" si="49"/>
        <v>5</v>
      </c>
      <c r="FC50" s="170"/>
      <c r="FD50" s="225"/>
      <c r="FE50" s="128">
        <f t="shared" si="50"/>
        <v>5</v>
      </c>
      <c r="FF50" s="170"/>
      <c r="FG50" s="170"/>
      <c r="FH50" s="128">
        <f t="shared" si="51"/>
        <v>5</v>
      </c>
      <c r="FI50" s="170"/>
      <c r="FJ50" s="170"/>
      <c r="FK50" s="128">
        <f t="shared" si="52"/>
        <v>5</v>
      </c>
      <c r="FL50" s="170"/>
      <c r="FM50" s="170"/>
      <c r="FN50" s="128">
        <f t="shared" si="60"/>
        <v>5</v>
      </c>
      <c r="FO50" s="170"/>
      <c r="FP50" s="170"/>
      <c r="FQ50" s="128">
        <f t="shared" si="53"/>
        <v>5</v>
      </c>
      <c r="FR50" s="170"/>
      <c r="FS50" s="170"/>
      <c r="FT50" s="128">
        <f t="shared" si="59"/>
        <v>5</v>
      </c>
      <c r="FU50" s="170"/>
      <c r="FV50" s="170"/>
      <c r="FW50" s="128">
        <f t="shared" si="55"/>
        <v>5</v>
      </c>
      <c r="FX50"/>
      <c r="FY50"/>
      <c r="FZ50"/>
      <c r="GA50"/>
      <c r="GB50"/>
      <c r="GC50"/>
      <c r="GD50"/>
      <c r="GE50"/>
      <c r="GF50"/>
      <c r="GG50"/>
      <c r="GH50"/>
      <c r="GI50"/>
      <c r="GJ50"/>
    </row>
    <row r="51" spans="1:192" s="153" customFormat="1" ht="12.75" x14ac:dyDescent="0.2">
      <c r="A51" s="145" t="s">
        <v>125</v>
      </c>
      <c r="B51" s="146">
        <f>'INV. FEB'!BX51</f>
        <v>5</v>
      </c>
      <c r="C51" s="147">
        <v>0</v>
      </c>
      <c r="D51" s="147">
        <v>0</v>
      </c>
      <c r="E51" s="148">
        <f t="shared" si="0"/>
        <v>5</v>
      </c>
      <c r="F51" s="147">
        <v>0</v>
      </c>
      <c r="G51" s="147">
        <v>2</v>
      </c>
      <c r="H51" s="148">
        <f t="shared" si="1"/>
        <v>3</v>
      </c>
      <c r="I51" s="147">
        <v>0</v>
      </c>
      <c r="J51" s="147">
        <v>0</v>
      </c>
      <c r="K51" s="148">
        <f t="shared" si="2"/>
        <v>3</v>
      </c>
      <c r="L51" s="147">
        <v>2</v>
      </c>
      <c r="M51" s="147">
        <v>1</v>
      </c>
      <c r="N51" s="148">
        <f t="shared" si="3"/>
        <v>4</v>
      </c>
      <c r="O51" s="147">
        <v>0</v>
      </c>
      <c r="P51" s="147">
        <v>3</v>
      </c>
      <c r="Q51" s="148">
        <f t="shared" si="4"/>
        <v>1</v>
      </c>
      <c r="R51" s="147">
        <v>0</v>
      </c>
      <c r="S51" s="147">
        <v>1</v>
      </c>
      <c r="T51" s="148">
        <f t="shared" si="5"/>
        <v>0</v>
      </c>
      <c r="U51" s="147">
        <v>0</v>
      </c>
      <c r="V51" s="147">
        <v>0</v>
      </c>
      <c r="W51" s="148">
        <f t="shared" si="6"/>
        <v>0</v>
      </c>
      <c r="X51" s="147">
        <v>0</v>
      </c>
      <c r="Y51" s="147">
        <v>1</v>
      </c>
      <c r="Z51" s="148">
        <f t="shared" si="7"/>
        <v>-1</v>
      </c>
      <c r="AA51" s="149">
        <v>0</v>
      </c>
      <c r="AB51" s="149">
        <v>0</v>
      </c>
      <c r="AC51" s="150">
        <f t="shared" si="8"/>
        <v>-1</v>
      </c>
      <c r="AD51" s="149">
        <v>0</v>
      </c>
      <c r="AE51" s="149">
        <v>0</v>
      </c>
      <c r="AF51" s="150">
        <f t="shared" si="9"/>
        <v>-1</v>
      </c>
      <c r="AG51" s="149">
        <v>6</v>
      </c>
      <c r="AH51" s="149">
        <v>0</v>
      </c>
      <c r="AI51" s="150">
        <f t="shared" si="10"/>
        <v>5</v>
      </c>
      <c r="AJ51" s="149">
        <v>0</v>
      </c>
      <c r="AK51" s="149">
        <v>0</v>
      </c>
      <c r="AL51" s="150">
        <f t="shared" si="11"/>
        <v>5</v>
      </c>
      <c r="AM51" s="149">
        <v>0</v>
      </c>
      <c r="AN51" s="149">
        <v>0</v>
      </c>
      <c r="AO51" s="150">
        <f t="shared" si="12"/>
        <v>5</v>
      </c>
      <c r="AP51" s="149">
        <v>0</v>
      </c>
      <c r="AQ51" s="149">
        <v>0</v>
      </c>
      <c r="AR51" s="150">
        <f t="shared" si="13"/>
        <v>5</v>
      </c>
      <c r="AS51" s="149">
        <v>0</v>
      </c>
      <c r="AT51" s="149">
        <v>0</v>
      </c>
      <c r="AU51" s="150">
        <f t="shared" si="14"/>
        <v>5</v>
      </c>
      <c r="AV51" s="149">
        <v>0</v>
      </c>
      <c r="AW51" s="149">
        <v>0</v>
      </c>
      <c r="AX51" s="150">
        <f t="shared" si="15"/>
        <v>5</v>
      </c>
      <c r="AY51" s="149">
        <v>0</v>
      </c>
      <c r="AZ51" s="149">
        <v>0</v>
      </c>
      <c r="BA51" s="150">
        <f t="shared" si="16"/>
        <v>5</v>
      </c>
      <c r="BB51" s="149">
        <v>0</v>
      </c>
      <c r="BC51" s="149">
        <v>0</v>
      </c>
      <c r="BD51" s="150">
        <f t="shared" si="17"/>
        <v>5</v>
      </c>
      <c r="BE51" s="149">
        <v>0</v>
      </c>
      <c r="BF51" s="149">
        <v>0</v>
      </c>
      <c r="BG51" s="150">
        <f t="shared" si="18"/>
        <v>5</v>
      </c>
      <c r="BH51" s="149">
        <v>0</v>
      </c>
      <c r="BI51" s="149">
        <v>2</v>
      </c>
      <c r="BJ51" s="150">
        <f t="shared" si="19"/>
        <v>3</v>
      </c>
      <c r="BK51" s="149">
        <v>0</v>
      </c>
      <c r="BL51" s="149">
        <v>0</v>
      </c>
      <c r="BM51" s="150">
        <f t="shared" si="20"/>
        <v>3</v>
      </c>
      <c r="BN51" s="149">
        <v>0</v>
      </c>
      <c r="BO51" s="149">
        <v>0</v>
      </c>
      <c r="BP51" s="149">
        <v>2</v>
      </c>
      <c r="BQ51" s="149">
        <v>0</v>
      </c>
      <c r="BR51" s="149">
        <v>1</v>
      </c>
      <c r="BS51" s="149">
        <f t="shared" si="22"/>
        <v>1</v>
      </c>
      <c r="BT51" s="149">
        <v>0</v>
      </c>
      <c r="BU51" s="149">
        <v>0</v>
      </c>
      <c r="BV51" s="149">
        <f t="shared" si="23"/>
        <v>1</v>
      </c>
      <c r="BW51" s="149">
        <v>0</v>
      </c>
      <c r="BX51" s="149">
        <v>0</v>
      </c>
      <c r="BY51" s="149">
        <f t="shared" si="24"/>
        <v>1</v>
      </c>
      <c r="BZ51" s="149">
        <v>6</v>
      </c>
      <c r="CA51" s="149">
        <v>0</v>
      </c>
      <c r="CB51" s="149">
        <f t="shared" si="25"/>
        <v>7</v>
      </c>
      <c r="CC51" s="149">
        <v>0</v>
      </c>
      <c r="CD51" s="149">
        <v>0</v>
      </c>
      <c r="CE51" s="149">
        <f t="shared" si="26"/>
        <v>7</v>
      </c>
      <c r="CF51" s="149">
        <v>0</v>
      </c>
      <c r="CG51" s="149">
        <v>0</v>
      </c>
      <c r="CH51" s="149">
        <f t="shared" si="27"/>
        <v>7</v>
      </c>
      <c r="CI51" s="149">
        <v>0</v>
      </c>
      <c r="CJ51" s="149">
        <v>3</v>
      </c>
      <c r="CK51" s="149">
        <f t="shared" si="29"/>
        <v>4</v>
      </c>
      <c r="CL51" s="149">
        <v>0</v>
      </c>
      <c r="CM51" s="149">
        <v>3</v>
      </c>
      <c r="CN51" s="149">
        <v>2</v>
      </c>
      <c r="CO51" s="149"/>
      <c r="CP51" s="149">
        <v>1</v>
      </c>
      <c r="CQ51" s="151">
        <v>1</v>
      </c>
      <c r="CR51" s="152">
        <v>2</v>
      </c>
      <c r="CS51" s="152"/>
      <c r="CT51" s="152">
        <v>2</v>
      </c>
      <c r="CU51" s="152">
        <v>0</v>
      </c>
      <c r="CV51" s="152">
        <v>0</v>
      </c>
      <c r="CW51" s="152">
        <f t="shared" si="31"/>
        <v>2</v>
      </c>
      <c r="CX51" s="152"/>
      <c r="CY51" s="152">
        <v>1</v>
      </c>
      <c r="CZ51" s="152">
        <f t="shared" si="32"/>
        <v>1</v>
      </c>
      <c r="DA51" s="152">
        <v>6</v>
      </c>
      <c r="DB51" s="152">
        <v>2</v>
      </c>
      <c r="DC51" s="152">
        <f t="shared" si="33"/>
        <v>5</v>
      </c>
      <c r="DD51" s="152"/>
      <c r="DE51" s="152"/>
      <c r="DF51" s="226">
        <f t="shared" si="34"/>
        <v>5</v>
      </c>
      <c r="DG51" s="152">
        <v>1</v>
      </c>
      <c r="DH51" s="152">
        <v>2</v>
      </c>
      <c r="DI51" s="152">
        <f t="shared" si="35"/>
        <v>4</v>
      </c>
      <c r="DJ51" s="152"/>
      <c r="DK51" s="152"/>
      <c r="DL51" s="152">
        <f t="shared" si="36"/>
        <v>4</v>
      </c>
      <c r="DM51" s="152"/>
      <c r="DN51" s="152"/>
      <c r="DO51" s="226">
        <f t="shared" si="37"/>
        <v>4</v>
      </c>
      <c r="DP51" s="152"/>
      <c r="DQ51" s="152"/>
      <c r="DR51" s="226">
        <f t="shared" si="38"/>
        <v>4</v>
      </c>
      <c r="DS51" s="152"/>
      <c r="DT51" s="152"/>
      <c r="DU51" s="226">
        <f t="shared" si="39"/>
        <v>4</v>
      </c>
      <c r="DV51" s="152"/>
      <c r="DW51" s="152"/>
      <c r="DX51" s="226">
        <f t="shared" si="40"/>
        <v>4</v>
      </c>
      <c r="DY51" s="152"/>
      <c r="DZ51" s="152"/>
      <c r="EA51" s="226">
        <f t="shared" si="41"/>
        <v>4</v>
      </c>
      <c r="EB51" s="152"/>
      <c r="EC51" s="152"/>
      <c r="ED51" s="226">
        <f t="shared" si="42"/>
        <v>4</v>
      </c>
      <c r="EE51" s="152"/>
      <c r="EF51" s="152"/>
      <c r="EG51" s="215">
        <f t="shared" si="43"/>
        <v>4</v>
      </c>
      <c r="EH51" s="152"/>
      <c r="EI51" s="152"/>
      <c r="EJ51" s="215">
        <f t="shared" si="57"/>
        <v>4</v>
      </c>
      <c r="EK51" s="152"/>
      <c r="EL51" s="152"/>
      <c r="EM51" s="226">
        <f t="shared" si="61"/>
        <v>4</v>
      </c>
      <c r="EN51" s="152"/>
      <c r="EO51" s="152"/>
      <c r="EP51" s="226">
        <f t="shared" si="62"/>
        <v>4</v>
      </c>
      <c r="EQ51" s="152"/>
      <c r="ER51" s="152"/>
      <c r="ES51" s="128">
        <f t="shared" si="46"/>
        <v>4</v>
      </c>
      <c r="ET51" s="152"/>
      <c r="EU51" s="152"/>
      <c r="EV51" s="128">
        <f t="shared" si="47"/>
        <v>4</v>
      </c>
      <c r="EW51" s="152"/>
      <c r="EX51" s="152"/>
      <c r="EY51" s="128">
        <f t="shared" si="48"/>
        <v>4</v>
      </c>
      <c r="EZ51" s="152"/>
      <c r="FA51" s="152"/>
      <c r="FB51" s="128">
        <f t="shared" si="49"/>
        <v>4</v>
      </c>
      <c r="FC51" s="152"/>
      <c r="FD51" s="226"/>
      <c r="FE51" s="128">
        <f t="shared" si="50"/>
        <v>4</v>
      </c>
      <c r="FF51" s="152"/>
      <c r="FG51" s="152"/>
      <c r="FH51" s="128">
        <f t="shared" si="51"/>
        <v>4</v>
      </c>
      <c r="FI51" s="152"/>
      <c r="FJ51" s="152"/>
      <c r="FK51" s="128">
        <f t="shared" si="52"/>
        <v>4</v>
      </c>
      <c r="FL51" s="152"/>
      <c r="FM51" s="152"/>
      <c r="FN51" s="128">
        <f t="shared" si="60"/>
        <v>4</v>
      </c>
      <c r="FO51" s="152"/>
      <c r="FP51" s="152"/>
      <c r="FQ51" s="128">
        <f t="shared" si="53"/>
        <v>4</v>
      </c>
      <c r="FR51" s="152"/>
      <c r="FS51" s="152"/>
      <c r="FT51" s="128">
        <f t="shared" si="59"/>
        <v>4</v>
      </c>
      <c r="FU51" s="152"/>
      <c r="FV51" s="152"/>
      <c r="FW51" s="128">
        <f t="shared" si="55"/>
        <v>4</v>
      </c>
      <c r="FX51"/>
      <c r="FY51"/>
      <c r="FZ51"/>
      <c r="GA51"/>
      <c r="GB51"/>
      <c r="GC51"/>
      <c r="GD51"/>
      <c r="GE51"/>
      <c r="GF51"/>
      <c r="GG51"/>
      <c r="GH51"/>
      <c r="GI51"/>
      <c r="GJ51"/>
    </row>
    <row r="52" spans="1:192" ht="12.75" x14ac:dyDescent="0.2">
      <c r="A52" s="21" t="s">
        <v>126</v>
      </c>
      <c r="B52" s="29">
        <f>'INV. FEB'!BX52</f>
        <v>0</v>
      </c>
      <c r="C52" s="10">
        <v>0</v>
      </c>
      <c r="D52" s="10">
        <v>0</v>
      </c>
      <c r="E52" s="9">
        <f t="shared" si="0"/>
        <v>0</v>
      </c>
      <c r="F52" s="10">
        <v>0</v>
      </c>
      <c r="G52" s="10">
        <v>0</v>
      </c>
      <c r="H52" s="9">
        <f t="shared" si="1"/>
        <v>0</v>
      </c>
      <c r="I52" s="10">
        <v>0</v>
      </c>
      <c r="J52" s="10">
        <v>0</v>
      </c>
      <c r="K52" s="9">
        <f t="shared" si="2"/>
        <v>0</v>
      </c>
      <c r="L52" s="10">
        <v>0</v>
      </c>
      <c r="M52" s="10">
        <v>0</v>
      </c>
      <c r="N52" s="9">
        <f t="shared" si="3"/>
        <v>0</v>
      </c>
      <c r="O52" s="10">
        <v>0</v>
      </c>
      <c r="P52" s="10">
        <v>0</v>
      </c>
      <c r="Q52" s="9">
        <f t="shared" si="4"/>
        <v>0</v>
      </c>
      <c r="R52" s="10">
        <v>0</v>
      </c>
      <c r="S52" s="10">
        <v>0</v>
      </c>
      <c r="T52" s="9">
        <f t="shared" si="5"/>
        <v>0</v>
      </c>
      <c r="U52" s="10">
        <v>0</v>
      </c>
      <c r="V52" s="10">
        <v>0</v>
      </c>
      <c r="W52" s="9">
        <f t="shared" si="6"/>
        <v>0</v>
      </c>
      <c r="X52" s="10">
        <v>0</v>
      </c>
      <c r="Y52" s="10">
        <v>0</v>
      </c>
      <c r="Z52" s="9">
        <f t="shared" si="7"/>
        <v>0</v>
      </c>
      <c r="AA52" s="78">
        <v>0</v>
      </c>
      <c r="AB52" s="78">
        <v>0</v>
      </c>
      <c r="AC52" s="18">
        <f t="shared" si="8"/>
        <v>0</v>
      </c>
      <c r="AD52" s="78">
        <v>0</v>
      </c>
      <c r="AE52" s="78">
        <v>0</v>
      </c>
      <c r="AF52" s="18">
        <f t="shared" si="9"/>
        <v>0</v>
      </c>
      <c r="AG52" s="78">
        <v>0</v>
      </c>
      <c r="AH52" s="78">
        <v>0</v>
      </c>
      <c r="AI52" s="18">
        <f t="shared" si="10"/>
        <v>0</v>
      </c>
      <c r="AJ52" s="78">
        <v>0</v>
      </c>
      <c r="AK52" s="78">
        <v>0</v>
      </c>
      <c r="AL52" s="18">
        <f t="shared" si="11"/>
        <v>0</v>
      </c>
      <c r="AM52" s="78">
        <v>0</v>
      </c>
      <c r="AN52" s="78">
        <v>0</v>
      </c>
      <c r="AO52" s="18">
        <f t="shared" si="12"/>
        <v>0</v>
      </c>
      <c r="AP52" s="78">
        <v>0</v>
      </c>
      <c r="AQ52" s="78">
        <v>0</v>
      </c>
      <c r="AR52" s="18">
        <f t="shared" si="13"/>
        <v>0</v>
      </c>
      <c r="AS52" s="79">
        <v>0</v>
      </c>
      <c r="AT52" s="79">
        <v>0</v>
      </c>
      <c r="AU52" s="18">
        <f t="shared" si="14"/>
        <v>0</v>
      </c>
      <c r="AV52" s="79">
        <v>0</v>
      </c>
      <c r="AW52" s="79">
        <v>0</v>
      </c>
      <c r="AX52" s="18">
        <f t="shared" si="15"/>
        <v>0</v>
      </c>
      <c r="AY52" s="79">
        <v>0</v>
      </c>
      <c r="AZ52" s="79">
        <v>0</v>
      </c>
      <c r="BA52" s="18">
        <f t="shared" si="16"/>
        <v>0</v>
      </c>
      <c r="BB52" s="79">
        <v>0</v>
      </c>
      <c r="BC52" s="79">
        <v>0</v>
      </c>
      <c r="BD52" s="18">
        <f t="shared" si="17"/>
        <v>0</v>
      </c>
      <c r="BE52" s="79">
        <v>0</v>
      </c>
      <c r="BF52" s="79">
        <v>0</v>
      </c>
      <c r="BG52" s="18">
        <f t="shared" si="18"/>
        <v>0</v>
      </c>
      <c r="BH52" s="79">
        <v>0</v>
      </c>
      <c r="BI52" s="79">
        <v>0</v>
      </c>
      <c r="BJ52" s="18">
        <f t="shared" si="19"/>
        <v>0</v>
      </c>
      <c r="BK52" s="79">
        <v>0</v>
      </c>
      <c r="BL52" s="79">
        <v>0</v>
      </c>
      <c r="BM52" s="18">
        <f t="shared" si="20"/>
        <v>0</v>
      </c>
      <c r="BN52" s="79">
        <v>0</v>
      </c>
      <c r="BO52" s="79">
        <v>0</v>
      </c>
      <c r="BP52" s="18">
        <f t="shared" ref="BP52:BP57" si="63">BM52+BN52-BO52</f>
        <v>0</v>
      </c>
      <c r="BQ52" s="79">
        <v>0</v>
      </c>
      <c r="BR52" s="79">
        <v>0</v>
      </c>
      <c r="BS52" s="18">
        <f t="shared" si="22"/>
        <v>0</v>
      </c>
      <c r="BT52" s="79">
        <v>0</v>
      </c>
      <c r="BU52" s="79">
        <v>0</v>
      </c>
      <c r="BV52" s="18">
        <f t="shared" si="23"/>
        <v>0</v>
      </c>
      <c r="BW52" s="79">
        <v>0</v>
      </c>
      <c r="BX52" s="79">
        <v>0</v>
      </c>
      <c r="BY52" s="18">
        <f t="shared" si="24"/>
        <v>0</v>
      </c>
      <c r="BZ52" s="79">
        <v>0</v>
      </c>
      <c r="CA52" s="79">
        <v>0</v>
      </c>
      <c r="CB52" s="18">
        <f t="shared" si="25"/>
        <v>0</v>
      </c>
      <c r="CC52" s="79">
        <v>0</v>
      </c>
      <c r="CD52" s="79">
        <v>0</v>
      </c>
      <c r="CE52" s="18">
        <f t="shared" si="26"/>
        <v>0</v>
      </c>
      <c r="CF52" s="79">
        <v>0</v>
      </c>
      <c r="CG52" s="79">
        <v>0</v>
      </c>
      <c r="CH52" s="18">
        <f t="shared" si="27"/>
        <v>0</v>
      </c>
      <c r="CI52" s="79">
        <v>0</v>
      </c>
      <c r="CJ52" s="79">
        <v>0</v>
      </c>
      <c r="CK52" s="79">
        <f t="shared" si="29"/>
        <v>0</v>
      </c>
      <c r="CL52" s="79">
        <v>0</v>
      </c>
      <c r="CM52" s="79">
        <v>0</v>
      </c>
      <c r="CN52" s="80">
        <f t="shared" si="30"/>
        <v>0</v>
      </c>
      <c r="CO52" s="79">
        <v>0</v>
      </c>
      <c r="CP52" s="79">
        <v>0</v>
      </c>
      <c r="CQ52" s="125">
        <f t="shared" si="56"/>
        <v>0</v>
      </c>
      <c r="CR52" s="128">
        <v>0</v>
      </c>
      <c r="CS52" s="128">
        <v>0</v>
      </c>
      <c r="CT52" s="128">
        <f t="shared" si="58"/>
        <v>0</v>
      </c>
      <c r="CU52" s="128">
        <v>0</v>
      </c>
      <c r="CV52" s="128">
        <v>0</v>
      </c>
      <c r="CW52" s="128">
        <f t="shared" si="31"/>
        <v>0</v>
      </c>
      <c r="CX52" s="128"/>
      <c r="CY52" s="128"/>
      <c r="CZ52" s="128">
        <f t="shared" si="32"/>
        <v>0</v>
      </c>
      <c r="DA52" s="128"/>
      <c r="DB52" s="128"/>
      <c r="DC52" s="128">
        <f t="shared" si="33"/>
        <v>0</v>
      </c>
      <c r="DD52" s="128"/>
      <c r="DE52" s="128"/>
      <c r="DF52" s="215">
        <f t="shared" si="34"/>
        <v>0</v>
      </c>
      <c r="DG52" s="128"/>
      <c r="DH52" s="128"/>
      <c r="DI52" s="128">
        <f t="shared" si="35"/>
        <v>0</v>
      </c>
      <c r="DJ52" s="128"/>
      <c r="DK52" s="128"/>
      <c r="DL52" s="128">
        <f t="shared" si="36"/>
        <v>0</v>
      </c>
      <c r="DM52" s="128"/>
      <c r="DN52" s="128"/>
      <c r="DO52" s="215">
        <f t="shared" si="37"/>
        <v>0</v>
      </c>
      <c r="DP52" s="128"/>
      <c r="DQ52" s="128"/>
      <c r="DR52" s="215">
        <f t="shared" si="38"/>
        <v>0</v>
      </c>
      <c r="DS52" s="128"/>
      <c r="DT52" s="128"/>
      <c r="DU52" s="215">
        <f t="shared" si="39"/>
        <v>0</v>
      </c>
      <c r="DV52" s="128"/>
      <c r="DW52" s="128"/>
      <c r="DX52" s="215">
        <f t="shared" si="40"/>
        <v>0</v>
      </c>
      <c r="DY52" s="128"/>
      <c r="DZ52" s="128"/>
      <c r="EA52" s="215">
        <f t="shared" si="41"/>
        <v>0</v>
      </c>
      <c r="EB52" s="128"/>
      <c r="EC52" s="128"/>
      <c r="ED52" s="215">
        <f t="shared" si="42"/>
        <v>0</v>
      </c>
      <c r="EE52" s="128"/>
      <c r="EF52" s="128"/>
      <c r="EG52" s="215">
        <f t="shared" si="43"/>
        <v>0</v>
      </c>
      <c r="EH52" s="128"/>
      <c r="EI52" s="128"/>
      <c r="EJ52" s="215">
        <f t="shared" si="57"/>
        <v>0</v>
      </c>
      <c r="EK52" s="128"/>
      <c r="EL52" s="128"/>
      <c r="EM52" s="215">
        <f t="shared" si="61"/>
        <v>0</v>
      </c>
      <c r="EN52" s="128"/>
      <c r="EO52" s="128"/>
      <c r="EP52" s="215">
        <f t="shared" si="62"/>
        <v>0</v>
      </c>
      <c r="EQ52" s="128"/>
      <c r="ER52" s="128"/>
      <c r="ES52" s="128">
        <f t="shared" si="46"/>
        <v>0</v>
      </c>
      <c r="ET52" s="128"/>
      <c r="EU52" s="128"/>
      <c r="EV52" s="128">
        <f t="shared" si="47"/>
        <v>0</v>
      </c>
      <c r="EW52" s="128"/>
      <c r="EX52" s="128"/>
      <c r="EY52" s="128">
        <f t="shared" si="48"/>
        <v>0</v>
      </c>
      <c r="EZ52" s="128"/>
      <c r="FA52" s="128"/>
      <c r="FB52" s="128">
        <f t="shared" si="49"/>
        <v>0</v>
      </c>
      <c r="FC52" s="128"/>
      <c r="FD52" s="215"/>
      <c r="FE52" s="128">
        <f t="shared" si="50"/>
        <v>0</v>
      </c>
      <c r="FF52" s="128"/>
      <c r="FG52" s="128"/>
      <c r="FH52" s="128">
        <f t="shared" si="51"/>
        <v>0</v>
      </c>
      <c r="FI52" s="128"/>
      <c r="FJ52" s="128"/>
      <c r="FK52" s="128">
        <f t="shared" si="52"/>
        <v>0</v>
      </c>
      <c r="FL52" s="128"/>
      <c r="FM52" s="128"/>
      <c r="FN52" s="128">
        <f t="shared" si="60"/>
        <v>0</v>
      </c>
      <c r="FO52" s="128"/>
      <c r="FP52" s="128"/>
      <c r="FQ52" s="128">
        <f t="shared" si="53"/>
        <v>0</v>
      </c>
      <c r="FR52" s="128"/>
      <c r="FS52" s="128"/>
      <c r="FT52" s="128">
        <f t="shared" si="59"/>
        <v>0</v>
      </c>
      <c r="FU52" s="128"/>
      <c r="FV52" s="128"/>
      <c r="FW52" s="128">
        <f t="shared" si="55"/>
        <v>0</v>
      </c>
    </row>
    <row r="53" spans="1:192" ht="12.75" x14ac:dyDescent="0.2">
      <c r="A53" s="21" t="s">
        <v>127</v>
      </c>
      <c r="B53" s="29">
        <f>'INV. FEB'!BX53</f>
        <v>0</v>
      </c>
      <c r="C53" s="10">
        <v>0</v>
      </c>
      <c r="D53" s="10">
        <v>0</v>
      </c>
      <c r="E53" s="9">
        <f t="shared" si="0"/>
        <v>0</v>
      </c>
      <c r="F53" s="10">
        <v>0</v>
      </c>
      <c r="G53" s="10">
        <v>0</v>
      </c>
      <c r="H53" s="9">
        <f t="shared" si="1"/>
        <v>0</v>
      </c>
      <c r="I53" s="10">
        <v>0</v>
      </c>
      <c r="J53" s="10">
        <v>0</v>
      </c>
      <c r="K53" s="9">
        <f t="shared" si="2"/>
        <v>0</v>
      </c>
      <c r="L53" s="10">
        <v>0</v>
      </c>
      <c r="M53" s="10">
        <v>0</v>
      </c>
      <c r="N53" s="9">
        <f t="shared" si="3"/>
        <v>0</v>
      </c>
      <c r="O53" s="10">
        <v>0</v>
      </c>
      <c r="P53" s="10">
        <v>0</v>
      </c>
      <c r="Q53" s="9">
        <f t="shared" si="4"/>
        <v>0</v>
      </c>
      <c r="R53" s="10">
        <v>0</v>
      </c>
      <c r="S53" s="10">
        <v>0</v>
      </c>
      <c r="T53" s="9">
        <f t="shared" si="5"/>
        <v>0</v>
      </c>
      <c r="U53" s="10">
        <v>0</v>
      </c>
      <c r="V53" s="10">
        <v>0</v>
      </c>
      <c r="W53" s="9">
        <f t="shared" si="6"/>
        <v>0</v>
      </c>
      <c r="X53" s="10">
        <v>0</v>
      </c>
      <c r="Y53" s="10">
        <v>0</v>
      </c>
      <c r="Z53" s="9">
        <f t="shared" si="7"/>
        <v>0</v>
      </c>
      <c r="AA53" s="78">
        <v>0</v>
      </c>
      <c r="AB53" s="78">
        <v>0</v>
      </c>
      <c r="AC53" s="18">
        <f t="shared" si="8"/>
        <v>0</v>
      </c>
      <c r="AD53" s="78">
        <v>0</v>
      </c>
      <c r="AE53" s="78">
        <v>0</v>
      </c>
      <c r="AF53" s="18">
        <f t="shared" si="9"/>
        <v>0</v>
      </c>
      <c r="AG53" s="78">
        <v>0</v>
      </c>
      <c r="AH53" s="78">
        <v>0</v>
      </c>
      <c r="AI53" s="18">
        <f t="shared" si="10"/>
        <v>0</v>
      </c>
      <c r="AJ53" s="78">
        <v>0</v>
      </c>
      <c r="AK53" s="78">
        <v>0</v>
      </c>
      <c r="AL53" s="18">
        <f t="shared" si="11"/>
        <v>0</v>
      </c>
      <c r="AM53" s="78">
        <v>0</v>
      </c>
      <c r="AN53" s="78">
        <v>0</v>
      </c>
      <c r="AO53" s="18">
        <f t="shared" si="12"/>
        <v>0</v>
      </c>
      <c r="AP53" s="78">
        <v>0</v>
      </c>
      <c r="AQ53" s="78">
        <v>0</v>
      </c>
      <c r="AR53" s="18">
        <f t="shared" si="13"/>
        <v>0</v>
      </c>
      <c r="AS53" s="79">
        <v>0</v>
      </c>
      <c r="AT53" s="79">
        <v>0</v>
      </c>
      <c r="AU53" s="18">
        <f t="shared" si="14"/>
        <v>0</v>
      </c>
      <c r="AV53" s="79">
        <v>0</v>
      </c>
      <c r="AW53" s="79">
        <v>0</v>
      </c>
      <c r="AX53" s="18">
        <f t="shared" si="15"/>
        <v>0</v>
      </c>
      <c r="AY53" s="79">
        <v>0</v>
      </c>
      <c r="AZ53" s="79">
        <v>0</v>
      </c>
      <c r="BA53" s="18">
        <f t="shared" si="16"/>
        <v>0</v>
      </c>
      <c r="BB53" s="79">
        <v>0</v>
      </c>
      <c r="BC53" s="79">
        <v>0</v>
      </c>
      <c r="BD53" s="18">
        <f t="shared" si="17"/>
        <v>0</v>
      </c>
      <c r="BE53" s="79">
        <v>0</v>
      </c>
      <c r="BF53" s="79">
        <v>0</v>
      </c>
      <c r="BG53" s="18">
        <f t="shared" si="18"/>
        <v>0</v>
      </c>
      <c r="BH53" s="79">
        <v>0</v>
      </c>
      <c r="BI53" s="79">
        <v>0</v>
      </c>
      <c r="BJ53" s="18">
        <f t="shared" si="19"/>
        <v>0</v>
      </c>
      <c r="BK53" s="79">
        <v>0</v>
      </c>
      <c r="BL53" s="79">
        <v>0</v>
      </c>
      <c r="BM53" s="18">
        <f t="shared" si="20"/>
        <v>0</v>
      </c>
      <c r="BN53" s="79">
        <v>0</v>
      </c>
      <c r="BO53" s="79">
        <v>0</v>
      </c>
      <c r="BP53" s="18">
        <f t="shared" si="63"/>
        <v>0</v>
      </c>
      <c r="BQ53" s="79">
        <v>0</v>
      </c>
      <c r="BR53" s="79">
        <v>0</v>
      </c>
      <c r="BS53" s="18">
        <f t="shared" si="22"/>
        <v>0</v>
      </c>
      <c r="BT53" s="79">
        <v>0</v>
      </c>
      <c r="BU53" s="79">
        <v>0</v>
      </c>
      <c r="BV53" s="18">
        <f t="shared" si="23"/>
        <v>0</v>
      </c>
      <c r="BW53" s="79">
        <v>0</v>
      </c>
      <c r="BX53" s="79">
        <v>0</v>
      </c>
      <c r="BY53" s="18">
        <f t="shared" si="24"/>
        <v>0</v>
      </c>
      <c r="BZ53" s="79">
        <v>0</v>
      </c>
      <c r="CA53" s="79">
        <v>0</v>
      </c>
      <c r="CB53" s="18">
        <f t="shared" si="25"/>
        <v>0</v>
      </c>
      <c r="CC53" s="79">
        <v>0</v>
      </c>
      <c r="CD53" s="79">
        <v>0</v>
      </c>
      <c r="CE53" s="18">
        <f t="shared" si="26"/>
        <v>0</v>
      </c>
      <c r="CF53" s="79">
        <v>0</v>
      </c>
      <c r="CG53" s="79">
        <v>0</v>
      </c>
      <c r="CH53" s="18">
        <f t="shared" si="27"/>
        <v>0</v>
      </c>
      <c r="CI53" s="79">
        <v>0</v>
      </c>
      <c r="CJ53" s="79">
        <v>0</v>
      </c>
      <c r="CK53" s="79">
        <f t="shared" si="29"/>
        <v>0</v>
      </c>
      <c r="CL53" s="79">
        <v>0</v>
      </c>
      <c r="CM53" s="79">
        <v>0</v>
      </c>
      <c r="CN53" s="80">
        <f t="shared" si="30"/>
        <v>0</v>
      </c>
      <c r="CO53" s="79">
        <v>0</v>
      </c>
      <c r="CP53" s="79">
        <v>0</v>
      </c>
      <c r="CQ53" s="125">
        <f t="shared" si="56"/>
        <v>0</v>
      </c>
      <c r="CR53" s="128">
        <v>0</v>
      </c>
      <c r="CS53" s="128">
        <v>0</v>
      </c>
      <c r="CT53" s="128">
        <v>12</v>
      </c>
      <c r="CU53" s="128">
        <v>0</v>
      </c>
      <c r="CV53" s="128">
        <v>0</v>
      </c>
      <c r="CW53" s="128">
        <f t="shared" si="31"/>
        <v>12</v>
      </c>
      <c r="CX53" s="128"/>
      <c r="CY53" s="128">
        <v>12</v>
      </c>
      <c r="CZ53" s="128">
        <f t="shared" si="32"/>
        <v>0</v>
      </c>
      <c r="DA53" s="128">
        <v>100</v>
      </c>
      <c r="DB53" s="128"/>
      <c r="DC53" s="128">
        <f t="shared" si="33"/>
        <v>100</v>
      </c>
      <c r="DD53" s="128"/>
      <c r="DE53" s="128"/>
      <c r="DF53" s="215">
        <f t="shared" si="34"/>
        <v>100</v>
      </c>
      <c r="DG53" s="128"/>
      <c r="DH53" s="128"/>
      <c r="DI53" s="128">
        <f t="shared" si="35"/>
        <v>100</v>
      </c>
      <c r="DJ53" s="128"/>
      <c r="DK53" s="128"/>
      <c r="DL53" s="128">
        <f t="shared" si="36"/>
        <v>100</v>
      </c>
      <c r="DM53" s="128"/>
      <c r="DN53" s="128"/>
      <c r="DO53" s="215">
        <f t="shared" si="37"/>
        <v>100</v>
      </c>
      <c r="DP53" s="128"/>
      <c r="DQ53" s="128"/>
      <c r="DR53" s="215">
        <f t="shared" si="38"/>
        <v>100</v>
      </c>
      <c r="DS53" s="128"/>
      <c r="DT53" s="128"/>
      <c r="DU53" s="215">
        <f t="shared" si="39"/>
        <v>100</v>
      </c>
      <c r="DV53" s="128"/>
      <c r="DW53" s="128"/>
      <c r="DX53" s="215">
        <f t="shared" si="40"/>
        <v>100</v>
      </c>
      <c r="DY53" s="128"/>
      <c r="DZ53" s="128"/>
      <c r="EA53" s="215">
        <f t="shared" si="41"/>
        <v>100</v>
      </c>
      <c r="EB53" s="128"/>
      <c r="EC53" s="128">
        <v>10</v>
      </c>
      <c r="ED53" s="215">
        <f t="shared" si="42"/>
        <v>90</v>
      </c>
      <c r="EE53" s="128"/>
      <c r="EF53" s="128"/>
      <c r="EG53" s="215">
        <f t="shared" si="43"/>
        <v>90</v>
      </c>
      <c r="EH53" s="128"/>
      <c r="EI53" s="128"/>
      <c r="EJ53" s="215">
        <f t="shared" si="57"/>
        <v>90</v>
      </c>
      <c r="EK53" s="128"/>
      <c r="EL53" s="128"/>
      <c r="EM53" s="215">
        <f t="shared" si="61"/>
        <v>90</v>
      </c>
      <c r="EN53" s="128"/>
      <c r="EO53" s="128"/>
      <c r="EP53" s="215">
        <f t="shared" si="62"/>
        <v>90</v>
      </c>
      <c r="EQ53" s="128"/>
      <c r="ER53" s="128"/>
      <c r="ES53" s="128">
        <f t="shared" si="46"/>
        <v>90</v>
      </c>
      <c r="ET53" s="128"/>
      <c r="EU53" s="128"/>
      <c r="EV53" s="128">
        <f t="shared" si="47"/>
        <v>90</v>
      </c>
      <c r="EW53" s="128"/>
      <c r="EX53" s="128"/>
      <c r="EY53" s="128">
        <f t="shared" si="48"/>
        <v>90</v>
      </c>
      <c r="EZ53" s="128"/>
      <c r="FA53" s="128"/>
      <c r="FB53" s="128">
        <f t="shared" si="49"/>
        <v>90</v>
      </c>
      <c r="FC53" s="128"/>
      <c r="FD53" s="215"/>
      <c r="FE53" s="128">
        <f t="shared" si="50"/>
        <v>90</v>
      </c>
      <c r="FF53" s="128"/>
      <c r="FG53" s="128"/>
      <c r="FH53" s="128">
        <f t="shared" si="51"/>
        <v>90</v>
      </c>
      <c r="FI53" s="128"/>
      <c r="FJ53" s="128"/>
      <c r="FK53" s="128">
        <f t="shared" si="52"/>
        <v>90</v>
      </c>
      <c r="FL53" s="128"/>
      <c r="FM53" s="128"/>
      <c r="FN53" s="128">
        <f t="shared" si="60"/>
        <v>90</v>
      </c>
      <c r="FO53" s="128"/>
      <c r="FP53" s="128"/>
      <c r="FQ53" s="128">
        <f t="shared" si="53"/>
        <v>90</v>
      </c>
      <c r="FR53" s="128"/>
      <c r="FS53" s="128"/>
      <c r="FT53" s="128">
        <f t="shared" si="59"/>
        <v>90</v>
      </c>
      <c r="FU53" s="128"/>
      <c r="FV53" s="128"/>
      <c r="FW53" s="128">
        <f t="shared" si="55"/>
        <v>90</v>
      </c>
    </row>
    <row r="54" spans="1:192" ht="12.75" x14ac:dyDescent="0.2">
      <c r="A54" s="21" t="s">
        <v>128</v>
      </c>
      <c r="B54" s="29">
        <f>'INV. FEB'!BX54</f>
        <v>0</v>
      </c>
      <c r="C54" s="10">
        <v>0</v>
      </c>
      <c r="D54" s="10">
        <v>0</v>
      </c>
      <c r="E54" s="9">
        <f t="shared" si="0"/>
        <v>0</v>
      </c>
      <c r="F54" s="10">
        <v>0</v>
      </c>
      <c r="G54" s="10">
        <v>0</v>
      </c>
      <c r="H54" s="9">
        <f t="shared" si="1"/>
        <v>0</v>
      </c>
      <c r="I54" s="10">
        <v>0</v>
      </c>
      <c r="J54" s="10">
        <v>0</v>
      </c>
      <c r="K54" s="9">
        <f t="shared" si="2"/>
        <v>0</v>
      </c>
      <c r="L54" s="10">
        <v>0</v>
      </c>
      <c r="M54" s="10">
        <v>0</v>
      </c>
      <c r="N54" s="9">
        <f t="shared" si="3"/>
        <v>0</v>
      </c>
      <c r="O54" s="10">
        <v>0</v>
      </c>
      <c r="P54" s="10">
        <v>0</v>
      </c>
      <c r="Q54" s="9">
        <f t="shared" si="4"/>
        <v>0</v>
      </c>
      <c r="R54" s="10">
        <v>0</v>
      </c>
      <c r="S54" s="10">
        <v>0</v>
      </c>
      <c r="T54" s="9">
        <f t="shared" si="5"/>
        <v>0</v>
      </c>
      <c r="U54" s="10">
        <v>0</v>
      </c>
      <c r="V54" s="10">
        <v>0</v>
      </c>
      <c r="W54" s="9">
        <f t="shared" si="6"/>
        <v>0</v>
      </c>
      <c r="X54" s="10">
        <v>0</v>
      </c>
      <c r="Y54" s="10">
        <v>0</v>
      </c>
      <c r="Z54" s="9">
        <f t="shared" si="7"/>
        <v>0</v>
      </c>
      <c r="AA54" s="78">
        <v>0</v>
      </c>
      <c r="AB54" s="78">
        <v>0</v>
      </c>
      <c r="AC54" s="18">
        <f t="shared" si="8"/>
        <v>0</v>
      </c>
      <c r="AD54" s="78">
        <v>0</v>
      </c>
      <c r="AE54" s="78">
        <v>0</v>
      </c>
      <c r="AF54" s="18">
        <f t="shared" si="9"/>
        <v>0</v>
      </c>
      <c r="AG54" s="78">
        <v>0</v>
      </c>
      <c r="AH54" s="78">
        <v>0</v>
      </c>
      <c r="AI54" s="18">
        <f t="shared" si="10"/>
        <v>0</v>
      </c>
      <c r="AJ54" s="78">
        <v>0</v>
      </c>
      <c r="AK54" s="78">
        <v>0</v>
      </c>
      <c r="AL54" s="18">
        <f t="shared" si="11"/>
        <v>0</v>
      </c>
      <c r="AM54" s="78">
        <v>0</v>
      </c>
      <c r="AN54" s="78">
        <v>0</v>
      </c>
      <c r="AO54" s="18">
        <f t="shared" si="12"/>
        <v>0</v>
      </c>
      <c r="AP54" s="78">
        <v>0</v>
      </c>
      <c r="AQ54" s="78">
        <v>0</v>
      </c>
      <c r="AR54" s="18">
        <f t="shared" si="13"/>
        <v>0</v>
      </c>
      <c r="AS54" s="79">
        <v>0</v>
      </c>
      <c r="AT54" s="79">
        <v>0</v>
      </c>
      <c r="AU54" s="18">
        <f t="shared" si="14"/>
        <v>0</v>
      </c>
      <c r="AV54" s="79">
        <v>0</v>
      </c>
      <c r="AW54" s="79">
        <v>0</v>
      </c>
      <c r="AX54" s="18">
        <f t="shared" si="15"/>
        <v>0</v>
      </c>
      <c r="AY54" s="79">
        <v>0</v>
      </c>
      <c r="AZ54" s="79">
        <v>0</v>
      </c>
      <c r="BA54" s="18">
        <f t="shared" si="16"/>
        <v>0</v>
      </c>
      <c r="BB54" s="79">
        <v>0</v>
      </c>
      <c r="BC54" s="79">
        <v>0</v>
      </c>
      <c r="BD54" s="18">
        <f t="shared" si="17"/>
        <v>0</v>
      </c>
      <c r="BE54" s="79">
        <v>0</v>
      </c>
      <c r="BF54" s="79">
        <v>0</v>
      </c>
      <c r="BG54" s="18">
        <f t="shared" si="18"/>
        <v>0</v>
      </c>
      <c r="BH54" s="79">
        <v>0</v>
      </c>
      <c r="BI54" s="79">
        <v>0</v>
      </c>
      <c r="BJ54" s="18">
        <f t="shared" si="19"/>
        <v>0</v>
      </c>
      <c r="BK54" s="79">
        <v>0</v>
      </c>
      <c r="BL54" s="79">
        <v>0</v>
      </c>
      <c r="BM54" s="18">
        <f t="shared" si="20"/>
        <v>0</v>
      </c>
      <c r="BN54" s="79">
        <v>0</v>
      </c>
      <c r="BO54" s="79">
        <v>0</v>
      </c>
      <c r="BP54" s="18">
        <f t="shared" si="63"/>
        <v>0</v>
      </c>
      <c r="BQ54" s="79">
        <v>0</v>
      </c>
      <c r="BR54" s="79">
        <v>0</v>
      </c>
      <c r="BS54" s="18">
        <f t="shared" si="22"/>
        <v>0</v>
      </c>
      <c r="BT54" s="79">
        <v>0</v>
      </c>
      <c r="BU54" s="79">
        <v>0</v>
      </c>
      <c r="BV54" s="18">
        <f t="shared" si="23"/>
        <v>0</v>
      </c>
      <c r="BW54" s="79">
        <v>0</v>
      </c>
      <c r="BX54" s="79">
        <v>0</v>
      </c>
      <c r="BY54" s="18">
        <f t="shared" si="24"/>
        <v>0</v>
      </c>
      <c r="BZ54" s="79">
        <v>0</v>
      </c>
      <c r="CA54" s="79">
        <v>0</v>
      </c>
      <c r="CB54" s="18">
        <f t="shared" si="25"/>
        <v>0</v>
      </c>
      <c r="CC54" s="79">
        <v>0</v>
      </c>
      <c r="CD54" s="79">
        <v>0</v>
      </c>
      <c r="CE54" s="18">
        <f t="shared" si="26"/>
        <v>0</v>
      </c>
      <c r="CF54" s="79">
        <v>0</v>
      </c>
      <c r="CG54" s="79">
        <v>0</v>
      </c>
      <c r="CH54" s="18">
        <f t="shared" si="27"/>
        <v>0</v>
      </c>
      <c r="CI54" s="79">
        <v>0</v>
      </c>
      <c r="CJ54" s="79">
        <v>0</v>
      </c>
      <c r="CK54" s="79">
        <f t="shared" si="29"/>
        <v>0</v>
      </c>
      <c r="CL54" s="79">
        <v>0</v>
      </c>
      <c r="CM54" s="79">
        <v>0</v>
      </c>
      <c r="CN54" s="80">
        <f t="shared" si="30"/>
        <v>0</v>
      </c>
      <c r="CO54" s="79">
        <v>0</v>
      </c>
      <c r="CP54" s="79">
        <v>0</v>
      </c>
      <c r="CQ54" s="125">
        <f t="shared" si="56"/>
        <v>0</v>
      </c>
      <c r="CR54" s="128">
        <v>0</v>
      </c>
      <c r="CS54" s="128">
        <v>0</v>
      </c>
      <c r="CT54" s="128">
        <f t="shared" si="58"/>
        <v>0</v>
      </c>
      <c r="CU54" s="128">
        <v>0</v>
      </c>
      <c r="CV54" s="128">
        <v>0</v>
      </c>
      <c r="CW54" s="128">
        <f t="shared" si="31"/>
        <v>0</v>
      </c>
      <c r="CX54" s="128"/>
      <c r="CY54" s="128"/>
      <c r="CZ54" s="128">
        <f t="shared" si="32"/>
        <v>0</v>
      </c>
      <c r="DA54" s="128">
        <v>24</v>
      </c>
      <c r="DB54" s="128">
        <v>5</v>
      </c>
      <c r="DC54" s="128">
        <f t="shared" si="33"/>
        <v>19</v>
      </c>
      <c r="DD54" s="128"/>
      <c r="DE54" s="128"/>
      <c r="DF54" s="215">
        <f t="shared" si="34"/>
        <v>19</v>
      </c>
      <c r="DG54" s="128"/>
      <c r="DH54" s="128"/>
      <c r="DI54" s="128">
        <f t="shared" si="35"/>
        <v>19</v>
      </c>
      <c r="DJ54" s="128"/>
      <c r="DK54" s="128"/>
      <c r="DL54" s="128">
        <f t="shared" si="36"/>
        <v>19</v>
      </c>
      <c r="DM54" s="128"/>
      <c r="DN54" s="128"/>
      <c r="DO54" s="215">
        <f t="shared" si="37"/>
        <v>19</v>
      </c>
      <c r="DP54" s="128"/>
      <c r="DQ54" s="128"/>
      <c r="DR54" s="215">
        <f t="shared" si="38"/>
        <v>19</v>
      </c>
      <c r="DS54" s="128"/>
      <c r="DT54" s="128"/>
      <c r="DU54" s="215">
        <f t="shared" si="39"/>
        <v>19</v>
      </c>
      <c r="DV54" s="128"/>
      <c r="DW54" s="128"/>
      <c r="DX54" s="215">
        <f t="shared" si="40"/>
        <v>19</v>
      </c>
      <c r="DY54" s="128"/>
      <c r="DZ54" s="128"/>
      <c r="EA54" s="215">
        <f t="shared" si="41"/>
        <v>19</v>
      </c>
      <c r="EB54" s="128"/>
      <c r="EC54" s="128"/>
      <c r="ED54" s="215">
        <f t="shared" si="42"/>
        <v>19</v>
      </c>
      <c r="EE54" s="128"/>
      <c r="EF54" s="128"/>
      <c r="EG54" s="215">
        <f t="shared" si="43"/>
        <v>19</v>
      </c>
      <c r="EH54" s="128"/>
      <c r="EI54" s="128"/>
      <c r="EJ54" s="215">
        <f t="shared" si="57"/>
        <v>19</v>
      </c>
      <c r="EK54" s="128"/>
      <c r="EL54" s="128"/>
      <c r="EM54" s="215">
        <f t="shared" si="61"/>
        <v>19</v>
      </c>
      <c r="EN54" s="128"/>
      <c r="EO54" s="128"/>
      <c r="EP54" s="215">
        <f t="shared" si="62"/>
        <v>19</v>
      </c>
      <c r="EQ54" s="128"/>
      <c r="ER54" s="128"/>
      <c r="ES54" s="128">
        <f t="shared" si="46"/>
        <v>19</v>
      </c>
      <c r="ET54" s="128"/>
      <c r="EU54" s="128"/>
      <c r="EV54" s="128">
        <f t="shared" si="47"/>
        <v>19</v>
      </c>
      <c r="EW54" s="128"/>
      <c r="EX54" s="128"/>
      <c r="EY54" s="128">
        <f t="shared" si="48"/>
        <v>19</v>
      </c>
      <c r="EZ54" s="128"/>
      <c r="FA54" s="128"/>
      <c r="FB54" s="128">
        <f t="shared" si="49"/>
        <v>19</v>
      </c>
      <c r="FC54" s="128"/>
      <c r="FD54" s="215"/>
      <c r="FE54" s="128">
        <f t="shared" si="50"/>
        <v>19</v>
      </c>
      <c r="FF54" s="128"/>
      <c r="FG54" s="128"/>
      <c r="FH54" s="128">
        <f t="shared" si="51"/>
        <v>19</v>
      </c>
      <c r="FI54" s="128"/>
      <c r="FJ54" s="128"/>
      <c r="FK54" s="128">
        <f t="shared" si="52"/>
        <v>19</v>
      </c>
      <c r="FL54" s="128"/>
      <c r="FM54" s="128"/>
      <c r="FN54" s="128">
        <f t="shared" si="60"/>
        <v>19</v>
      </c>
      <c r="FO54" s="128"/>
      <c r="FP54" s="128"/>
      <c r="FQ54" s="128">
        <f t="shared" si="53"/>
        <v>19</v>
      </c>
      <c r="FR54" s="128"/>
      <c r="FS54" s="128"/>
      <c r="FT54" s="128">
        <f t="shared" si="59"/>
        <v>19</v>
      </c>
      <c r="FU54" s="128"/>
      <c r="FV54" s="128"/>
      <c r="FW54" s="128">
        <f t="shared" si="55"/>
        <v>19</v>
      </c>
    </row>
    <row r="55" spans="1:192" ht="12.75" x14ac:dyDescent="0.2">
      <c r="A55" s="21" t="s">
        <v>129</v>
      </c>
      <c r="B55" s="29">
        <f>'INV. FEB'!BX55</f>
        <v>1</v>
      </c>
      <c r="C55" s="10">
        <v>0</v>
      </c>
      <c r="D55" s="10">
        <v>0</v>
      </c>
      <c r="E55" s="9">
        <f t="shared" si="0"/>
        <v>1</v>
      </c>
      <c r="F55" s="10">
        <v>0</v>
      </c>
      <c r="G55" s="10">
        <v>0</v>
      </c>
      <c r="H55" s="9">
        <f t="shared" si="1"/>
        <v>1</v>
      </c>
      <c r="I55" s="10">
        <v>0</v>
      </c>
      <c r="J55" s="10">
        <v>0</v>
      </c>
      <c r="K55" s="9">
        <f t="shared" si="2"/>
        <v>1</v>
      </c>
      <c r="L55" s="10">
        <v>0</v>
      </c>
      <c r="M55" s="10">
        <v>0</v>
      </c>
      <c r="N55" s="9">
        <f t="shared" si="3"/>
        <v>1</v>
      </c>
      <c r="O55" s="10">
        <v>0</v>
      </c>
      <c r="P55" s="10">
        <v>0</v>
      </c>
      <c r="Q55" s="9">
        <f t="shared" si="4"/>
        <v>1</v>
      </c>
      <c r="R55" s="10">
        <v>0</v>
      </c>
      <c r="S55" s="10">
        <v>0</v>
      </c>
      <c r="T55" s="9">
        <f t="shared" si="5"/>
        <v>1</v>
      </c>
      <c r="U55" s="10">
        <v>0</v>
      </c>
      <c r="V55" s="10">
        <v>0</v>
      </c>
      <c r="W55" s="9">
        <f t="shared" si="6"/>
        <v>1</v>
      </c>
      <c r="X55" s="10">
        <v>2</v>
      </c>
      <c r="Y55" s="10">
        <v>3</v>
      </c>
      <c r="Z55" s="9">
        <f t="shared" si="7"/>
        <v>0</v>
      </c>
      <c r="AA55" s="78">
        <v>0</v>
      </c>
      <c r="AB55" s="78">
        <v>0</v>
      </c>
      <c r="AC55" s="18">
        <f t="shared" si="8"/>
        <v>0</v>
      </c>
      <c r="AD55" s="78">
        <v>0</v>
      </c>
      <c r="AE55" s="78">
        <v>0</v>
      </c>
      <c r="AF55" s="18">
        <f t="shared" si="9"/>
        <v>0</v>
      </c>
      <c r="AG55" s="78">
        <v>0</v>
      </c>
      <c r="AH55" s="78">
        <v>0</v>
      </c>
      <c r="AI55" s="18">
        <f t="shared" si="10"/>
        <v>0</v>
      </c>
      <c r="AJ55" s="78">
        <v>0</v>
      </c>
      <c r="AK55" s="78">
        <v>0</v>
      </c>
      <c r="AL55" s="18">
        <f t="shared" si="11"/>
        <v>0</v>
      </c>
      <c r="AM55" s="78">
        <v>0</v>
      </c>
      <c r="AN55" s="78">
        <v>0</v>
      </c>
      <c r="AO55" s="18">
        <f t="shared" si="12"/>
        <v>0</v>
      </c>
      <c r="AP55" s="78">
        <v>0</v>
      </c>
      <c r="AQ55" s="78">
        <v>0</v>
      </c>
      <c r="AR55" s="18">
        <f t="shared" si="13"/>
        <v>0</v>
      </c>
      <c r="AS55" s="79">
        <v>0</v>
      </c>
      <c r="AT55" s="79">
        <v>0</v>
      </c>
      <c r="AU55" s="18">
        <f t="shared" si="14"/>
        <v>0</v>
      </c>
      <c r="AV55" s="79">
        <v>0</v>
      </c>
      <c r="AW55" s="79">
        <v>0</v>
      </c>
      <c r="AX55" s="18">
        <f t="shared" si="15"/>
        <v>0</v>
      </c>
      <c r="AY55" s="79">
        <v>0</v>
      </c>
      <c r="AZ55" s="79">
        <v>0</v>
      </c>
      <c r="BA55" s="18">
        <f t="shared" si="16"/>
        <v>0</v>
      </c>
      <c r="BB55" s="79">
        <v>0</v>
      </c>
      <c r="BC55" s="79">
        <v>0</v>
      </c>
      <c r="BD55" s="18">
        <f t="shared" si="17"/>
        <v>0</v>
      </c>
      <c r="BE55" s="79">
        <v>0</v>
      </c>
      <c r="BF55" s="79">
        <v>0</v>
      </c>
      <c r="BG55" s="18">
        <f t="shared" si="18"/>
        <v>0</v>
      </c>
      <c r="BH55" s="79">
        <v>0</v>
      </c>
      <c r="BI55" s="79">
        <v>0</v>
      </c>
      <c r="BJ55" s="18">
        <f t="shared" si="19"/>
        <v>0</v>
      </c>
      <c r="BK55" s="79">
        <v>0</v>
      </c>
      <c r="BL55" s="79">
        <v>0</v>
      </c>
      <c r="BM55" s="18">
        <f t="shared" si="20"/>
        <v>0</v>
      </c>
      <c r="BN55" s="79">
        <v>0</v>
      </c>
      <c r="BO55" s="79">
        <v>0</v>
      </c>
      <c r="BP55" s="18">
        <f t="shared" si="63"/>
        <v>0</v>
      </c>
      <c r="BQ55" s="79">
        <v>0</v>
      </c>
      <c r="BR55" s="79">
        <v>0</v>
      </c>
      <c r="BS55" s="18">
        <f t="shared" si="22"/>
        <v>0</v>
      </c>
      <c r="BT55" s="79">
        <v>0</v>
      </c>
      <c r="BU55" s="79">
        <v>0</v>
      </c>
      <c r="BV55" s="18">
        <f t="shared" si="23"/>
        <v>0</v>
      </c>
      <c r="BW55" s="79">
        <v>0</v>
      </c>
      <c r="BX55" s="79">
        <v>0</v>
      </c>
      <c r="BY55" s="18">
        <f t="shared" si="24"/>
        <v>0</v>
      </c>
      <c r="BZ55" s="79">
        <v>0</v>
      </c>
      <c r="CA55" s="79">
        <v>0</v>
      </c>
      <c r="CB55" s="18">
        <f t="shared" si="25"/>
        <v>0</v>
      </c>
      <c r="CC55" s="79">
        <v>0</v>
      </c>
      <c r="CD55" s="79"/>
      <c r="CE55" s="18">
        <f t="shared" si="26"/>
        <v>0</v>
      </c>
      <c r="CF55" s="79">
        <v>0</v>
      </c>
      <c r="CG55" s="79">
        <v>0</v>
      </c>
      <c r="CH55" s="18">
        <f t="shared" si="27"/>
        <v>0</v>
      </c>
      <c r="CI55" s="79">
        <v>0</v>
      </c>
      <c r="CJ55" s="79">
        <v>0</v>
      </c>
      <c r="CK55" s="79">
        <f t="shared" si="29"/>
        <v>0</v>
      </c>
      <c r="CL55" s="79">
        <v>0</v>
      </c>
      <c r="CM55" s="79">
        <v>0</v>
      </c>
      <c r="CN55" s="80">
        <f t="shared" si="30"/>
        <v>0</v>
      </c>
      <c r="CO55" s="79">
        <v>3</v>
      </c>
      <c r="CP55" s="79">
        <v>0</v>
      </c>
      <c r="CQ55" s="125"/>
      <c r="CR55" s="128">
        <v>0</v>
      </c>
      <c r="CS55" s="128">
        <v>0</v>
      </c>
      <c r="CT55" s="128">
        <f t="shared" si="58"/>
        <v>0</v>
      </c>
      <c r="CU55" s="128">
        <v>0</v>
      </c>
      <c r="CV55" s="128">
        <v>0</v>
      </c>
      <c r="CW55" s="128">
        <f t="shared" si="31"/>
        <v>0</v>
      </c>
      <c r="CX55" s="128"/>
      <c r="CY55" s="128"/>
      <c r="CZ55" s="128">
        <f t="shared" si="32"/>
        <v>0</v>
      </c>
      <c r="DA55" s="128"/>
      <c r="DB55" s="128"/>
      <c r="DC55" s="128">
        <f t="shared" si="33"/>
        <v>0</v>
      </c>
      <c r="DD55" s="128"/>
      <c r="DE55" s="128"/>
      <c r="DF55" s="215">
        <f t="shared" si="34"/>
        <v>0</v>
      </c>
      <c r="DG55" s="128"/>
      <c r="DH55" s="128"/>
      <c r="DI55" s="128">
        <f t="shared" si="35"/>
        <v>0</v>
      </c>
      <c r="DJ55" s="128"/>
      <c r="DK55" s="128"/>
      <c r="DL55" s="128">
        <f t="shared" si="36"/>
        <v>0</v>
      </c>
      <c r="DM55" s="128"/>
      <c r="DN55" s="128"/>
      <c r="DO55" s="215">
        <f t="shared" si="37"/>
        <v>0</v>
      </c>
      <c r="DP55" s="128"/>
      <c r="DQ55" s="128"/>
      <c r="DR55" s="215">
        <f t="shared" si="38"/>
        <v>0</v>
      </c>
      <c r="DS55" s="128"/>
      <c r="DT55" s="128"/>
      <c r="DU55" s="215">
        <f t="shared" si="39"/>
        <v>0</v>
      </c>
      <c r="DV55" s="128"/>
      <c r="DW55" s="128"/>
      <c r="DX55" s="215">
        <f t="shared" si="40"/>
        <v>0</v>
      </c>
      <c r="DY55" s="128">
        <v>1</v>
      </c>
      <c r="DZ55" s="128"/>
      <c r="EA55" s="215">
        <f t="shared" si="41"/>
        <v>1</v>
      </c>
      <c r="EB55" s="128"/>
      <c r="EC55" s="128">
        <v>1</v>
      </c>
      <c r="ED55" s="215">
        <f t="shared" si="42"/>
        <v>0</v>
      </c>
      <c r="EE55" s="128"/>
      <c r="EF55" s="128"/>
      <c r="EG55" s="215">
        <f t="shared" si="43"/>
        <v>0</v>
      </c>
      <c r="EH55" s="128">
        <v>2</v>
      </c>
      <c r="EI55" s="128"/>
      <c r="EJ55" s="215">
        <f t="shared" si="57"/>
        <v>2</v>
      </c>
      <c r="EK55" s="128"/>
      <c r="EL55" s="128"/>
      <c r="EM55" s="215">
        <f t="shared" si="61"/>
        <v>2</v>
      </c>
      <c r="EN55" s="128"/>
      <c r="EO55" s="128"/>
      <c r="EP55" s="215">
        <f t="shared" si="62"/>
        <v>2</v>
      </c>
      <c r="EQ55" s="128"/>
      <c r="ER55" s="128"/>
      <c r="ES55" s="128">
        <f t="shared" si="46"/>
        <v>2</v>
      </c>
      <c r="ET55" s="128"/>
      <c r="EU55" s="128"/>
      <c r="EV55" s="128">
        <f t="shared" si="47"/>
        <v>2</v>
      </c>
      <c r="EW55" s="128"/>
      <c r="EX55" s="128"/>
      <c r="EY55" s="128">
        <f t="shared" si="48"/>
        <v>2</v>
      </c>
      <c r="EZ55" s="128"/>
      <c r="FA55" s="128"/>
      <c r="FB55" s="128">
        <f t="shared" si="49"/>
        <v>2</v>
      </c>
      <c r="FC55" s="128"/>
      <c r="FD55" s="215"/>
      <c r="FE55" s="128">
        <f t="shared" si="50"/>
        <v>2</v>
      </c>
      <c r="FF55" s="128"/>
      <c r="FG55" s="128"/>
      <c r="FH55" s="128">
        <f t="shared" si="51"/>
        <v>2</v>
      </c>
      <c r="FI55" s="128"/>
      <c r="FJ55" s="128"/>
      <c r="FK55" s="128">
        <f t="shared" si="52"/>
        <v>2</v>
      </c>
      <c r="FL55" s="128"/>
      <c r="FM55" s="128"/>
      <c r="FN55" s="128">
        <f t="shared" si="60"/>
        <v>2</v>
      </c>
      <c r="FO55" s="128"/>
      <c r="FP55" s="128"/>
      <c r="FQ55" s="128">
        <f t="shared" si="53"/>
        <v>2</v>
      </c>
      <c r="FR55" s="128"/>
      <c r="FS55" s="128"/>
      <c r="FT55" s="128">
        <f t="shared" si="59"/>
        <v>2</v>
      </c>
      <c r="FU55" s="128"/>
      <c r="FV55" s="128"/>
      <c r="FW55" s="128">
        <f t="shared" si="55"/>
        <v>2</v>
      </c>
    </row>
    <row r="56" spans="1:192" ht="12.75" x14ac:dyDescent="0.2">
      <c r="A56" s="22" t="s">
        <v>130</v>
      </c>
      <c r="B56" s="77">
        <f>'INV. FEB'!BX56</f>
        <v>0</v>
      </c>
      <c r="C56" s="10">
        <v>0</v>
      </c>
      <c r="D56" s="10">
        <v>0</v>
      </c>
      <c r="E56" s="10">
        <f t="shared" si="0"/>
        <v>0</v>
      </c>
      <c r="F56" s="10">
        <v>0</v>
      </c>
      <c r="G56" s="10">
        <v>0</v>
      </c>
      <c r="H56" s="10">
        <f t="shared" si="1"/>
        <v>0</v>
      </c>
      <c r="I56" s="10">
        <v>0</v>
      </c>
      <c r="J56" s="10">
        <v>0</v>
      </c>
      <c r="K56" s="10">
        <f t="shared" si="2"/>
        <v>0</v>
      </c>
      <c r="L56" s="10">
        <v>0</v>
      </c>
      <c r="M56" s="10">
        <v>0</v>
      </c>
      <c r="N56" s="10">
        <f t="shared" si="3"/>
        <v>0</v>
      </c>
      <c r="O56" s="10">
        <v>0</v>
      </c>
      <c r="P56" s="10">
        <v>0</v>
      </c>
      <c r="Q56" s="10">
        <f t="shared" si="4"/>
        <v>0</v>
      </c>
      <c r="R56" s="10">
        <v>0</v>
      </c>
      <c r="S56" s="10">
        <v>0</v>
      </c>
      <c r="T56" s="10">
        <f t="shared" si="5"/>
        <v>0</v>
      </c>
      <c r="U56" s="10">
        <v>0</v>
      </c>
      <c r="V56" s="10">
        <v>0</v>
      </c>
      <c r="W56" s="10">
        <f t="shared" si="6"/>
        <v>0</v>
      </c>
      <c r="X56" s="10">
        <v>0</v>
      </c>
      <c r="Y56" s="10">
        <v>0</v>
      </c>
      <c r="Z56" s="10">
        <f t="shared" si="7"/>
        <v>0</v>
      </c>
      <c r="AA56" s="78">
        <v>0</v>
      </c>
      <c r="AB56" s="78">
        <v>0</v>
      </c>
      <c r="AC56" s="78">
        <f t="shared" si="8"/>
        <v>0</v>
      </c>
      <c r="AD56" s="78">
        <v>0</v>
      </c>
      <c r="AE56" s="78">
        <v>0</v>
      </c>
      <c r="AF56" s="78">
        <f t="shared" si="9"/>
        <v>0</v>
      </c>
      <c r="AG56" s="78">
        <v>0</v>
      </c>
      <c r="AH56" s="78">
        <v>0</v>
      </c>
      <c r="AI56" s="78">
        <f t="shared" si="10"/>
        <v>0</v>
      </c>
      <c r="AJ56" s="78">
        <v>0</v>
      </c>
      <c r="AK56" s="78">
        <v>0</v>
      </c>
      <c r="AL56" s="78">
        <f t="shared" si="11"/>
        <v>0</v>
      </c>
      <c r="AM56" s="78">
        <v>0</v>
      </c>
      <c r="AN56" s="78">
        <v>0</v>
      </c>
      <c r="AO56" s="78">
        <f t="shared" si="12"/>
        <v>0</v>
      </c>
      <c r="AP56" s="78">
        <v>0</v>
      </c>
      <c r="AQ56" s="78">
        <v>0</v>
      </c>
      <c r="AR56" s="78">
        <f t="shared" si="13"/>
        <v>0</v>
      </c>
      <c r="AS56" s="79">
        <v>0</v>
      </c>
      <c r="AT56" s="79">
        <v>0</v>
      </c>
      <c r="AU56" s="78">
        <f t="shared" si="14"/>
        <v>0</v>
      </c>
      <c r="AV56" s="79">
        <v>0</v>
      </c>
      <c r="AW56" s="79">
        <v>0</v>
      </c>
      <c r="AX56" s="78">
        <f t="shared" si="15"/>
        <v>0</v>
      </c>
      <c r="AY56" s="79">
        <v>0</v>
      </c>
      <c r="AZ56" s="79">
        <v>0</v>
      </c>
      <c r="BA56" s="78">
        <f t="shared" si="16"/>
        <v>0</v>
      </c>
      <c r="BB56" s="79">
        <v>0</v>
      </c>
      <c r="BC56" s="79">
        <v>0</v>
      </c>
      <c r="BD56" s="78">
        <f t="shared" si="17"/>
        <v>0</v>
      </c>
      <c r="BE56" s="79">
        <v>0</v>
      </c>
      <c r="BF56" s="79">
        <v>0</v>
      </c>
      <c r="BG56" s="78">
        <f t="shared" si="18"/>
        <v>0</v>
      </c>
      <c r="BH56" s="79">
        <v>0</v>
      </c>
      <c r="BI56" s="79">
        <v>0</v>
      </c>
      <c r="BJ56" s="78">
        <f t="shared" si="19"/>
        <v>0</v>
      </c>
      <c r="BK56" s="79">
        <v>0</v>
      </c>
      <c r="BL56" s="79">
        <v>0</v>
      </c>
      <c r="BM56" s="78">
        <f t="shared" si="20"/>
        <v>0</v>
      </c>
      <c r="BN56" s="79">
        <v>0</v>
      </c>
      <c r="BO56" s="79">
        <v>0</v>
      </c>
      <c r="BP56" s="78">
        <f t="shared" si="63"/>
        <v>0</v>
      </c>
      <c r="BQ56" s="79">
        <v>0</v>
      </c>
      <c r="BR56" s="79">
        <v>0</v>
      </c>
      <c r="BS56" s="78">
        <f t="shared" si="22"/>
        <v>0</v>
      </c>
      <c r="BT56" s="79">
        <v>0</v>
      </c>
      <c r="BU56" s="79">
        <v>0</v>
      </c>
      <c r="BV56" s="78">
        <f t="shared" si="23"/>
        <v>0</v>
      </c>
      <c r="BW56" s="79">
        <v>0</v>
      </c>
      <c r="BX56" s="79">
        <v>0</v>
      </c>
      <c r="BY56" s="78">
        <f t="shared" si="24"/>
        <v>0</v>
      </c>
      <c r="BZ56" s="79">
        <v>0</v>
      </c>
      <c r="CA56" s="79">
        <v>0</v>
      </c>
      <c r="CB56" s="78">
        <f t="shared" si="25"/>
        <v>0</v>
      </c>
      <c r="CC56" s="79">
        <v>0</v>
      </c>
      <c r="CD56" s="79">
        <v>0</v>
      </c>
      <c r="CE56" s="78">
        <f t="shared" si="26"/>
        <v>0</v>
      </c>
      <c r="CF56" s="79">
        <v>0</v>
      </c>
      <c r="CG56" s="79">
        <v>0</v>
      </c>
      <c r="CH56" s="78">
        <f t="shared" si="27"/>
        <v>0</v>
      </c>
      <c r="CI56" s="79">
        <v>0</v>
      </c>
      <c r="CJ56" s="79">
        <v>0</v>
      </c>
      <c r="CK56" s="79">
        <f t="shared" si="29"/>
        <v>0</v>
      </c>
      <c r="CL56" s="79">
        <v>0</v>
      </c>
      <c r="CM56" s="79">
        <v>0</v>
      </c>
      <c r="CN56" s="79">
        <f t="shared" si="30"/>
        <v>0</v>
      </c>
      <c r="CO56" s="79">
        <v>0</v>
      </c>
      <c r="CP56" s="79">
        <v>0</v>
      </c>
      <c r="CQ56" s="124">
        <f t="shared" si="56"/>
        <v>0</v>
      </c>
      <c r="CR56" s="128">
        <v>0</v>
      </c>
      <c r="CS56" s="128">
        <v>0</v>
      </c>
      <c r="CT56" s="128">
        <f t="shared" si="58"/>
        <v>0</v>
      </c>
      <c r="CU56" s="128">
        <v>0</v>
      </c>
      <c r="CV56" s="128">
        <v>0</v>
      </c>
      <c r="CW56" s="128">
        <f t="shared" si="31"/>
        <v>0</v>
      </c>
      <c r="CX56" s="128"/>
      <c r="CY56" s="128"/>
      <c r="CZ56" s="128">
        <f t="shared" si="32"/>
        <v>0</v>
      </c>
      <c r="DA56" s="128"/>
      <c r="DB56" s="128"/>
      <c r="DC56" s="128">
        <f t="shared" si="33"/>
        <v>0</v>
      </c>
      <c r="DD56" s="128"/>
      <c r="DE56" s="128"/>
      <c r="DF56" s="215">
        <f t="shared" si="34"/>
        <v>0</v>
      </c>
      <c r="DG56" s="128"/>
      <c r="DH56" s="128"/>
      <c r="DI56" s="128">
        <f t="shared" si="35"/>
        <v>0</v>
      </c>
      <c r="DJ56" s="128"/>
      <c r="DK56" s="128"/>
      <c r="DL56" s="128">
        <f t="shared" si="36"/>
        <v>0</v>
      </c>
      <c r="DM56" s="128"/>
      <c r="DN56" s="128"/>
      <c r="DO56" s="215">
        <f t="shared" si="37"/>
        <v>0</v>
      </c>
      <c r="DP56" s="128"/>
      <c r="DQ56" s="128"/>
      <c r="DR56" s="215">
        <f t="shared" si="38"/>
        <v>0</v>
      </c>
      <c r="DS56" s="128"/>
      <c r="DT56" s="128"/>
      <c r="DU56" s="215">
        <f t="shared" si="39"/>
        <v>0</v>
      </c>
      <c r="DV56" s="128"/>
      <c r="DW56" s="128"/>
      <c r="DX56" s="215">
        <f t="shared" si="40"/>
        <v>0</v>
      </c>
      <c r="DY56" s="128"/>
      <c r="DZ56" s="128"/>
      <c r="EA56" s="215">
        <f t="shared" si="41"/>
        <v>0</v>
      </c>
      <c r="EB56" s="128"/>
      <c r="EC56" s="128"/>
      <c r="ED56" s="215">
        <f t="shared" si="42"/>
        <v>0</v>
      </c>
      <c r="EE56" s="128"/>
      <c r="EF56" s="128"/>
      <c r="EG56" s="215">
        <f t="shared" si="43"/>
        <v>0</v>
      </c>
      <c r="EH56" s="128"/>
      <c r="EI56" s="128"/>
      <c r="EJ56" s="215">
        <f t="shared" si="57"/>
        <v>0</v>
      </c>
      <c r="EK56" s="128"/>
      <c r="EL56" s="128"/>
      <c r="EM56" s="215">
        <f t="shared" si="61"/>
        <v>0</v>
      </c>
      <c r="EN56" s="128"/>
      <c r="EO56" s="128"/>
      <c r="EP56" s="215">
        <f t="shared" si="62"/>
        <v>0</v>
      </c>
      <c r="EQ56" s="128"/>
      <c r="ER56" s="128"/>
      <c r="ES56" s="128">
        <f t="shared" si="46"/>
        <v>0</v>
      </c>
      <c r="ET56" s="128"/>
      <c r="EU56" s="128"/>
      <c r="EV56" s="128">
        <f t="shared" si="47"/>
        <v>0</v>
      </c>
      <c r="EW56" s="128"/>
      <c r="EX56" s="128"/>
      <c r="EY56" s="128">
        <f t="shared" si="48"/>
        <v>0</v>
      </c>
      <c r="EZ56" s="128"/>
      <c r="FA56" s="128"/>
      <c r="FB56" s="128">
        <f t="shared" si="49"/>
        <v>0</v>
      </c>
      <c r="FC56" s="128"/>
      <c r="FD56" s="215"/>
      <c r="FE56" s="128">
        <f t="shared" si="50"/>
        <v>0</v>
      </c>
      <c r="FF56" s="128"/>
      <c r="FG56" s="128"/>
      <c r="FH56" s="128">
        <f t="shared" si="51"/>
        <v>0</v>
      </c>
      <c r="FI56" s="128"/>
      <c r="FJ56" s="128"/>
      <c r="FK56" s="128">
        <f t="shared" si="52"/>
        <v>0</v>
      </c>
      <c r="FL56" s="128"/>
      <c r="FM56" s="128"/>
      <c r="FN56" s="128">
        <f t="shared" si="60"/>
        <v>0</v>
      </c>
      <c r="FO56" s="128"/>
      <c r="FP56" s="128"/>
      <c r="FQ56" s="128">
        <f t="shared" si="53"/>
        <v>0</v>
      </c>
      <c r="FR56" s="128"/>
      <c r="FS56" s="128"/>
      <c r="FT56" s="128">
        <f t="shared" si="59"/>
        <v>0</v>
      </c>
      <c r="FU56" s="128"/>
      <c r="FV56" s="128"/>
      <c r="FW56" s="128">
        <f t="shared" si="55"/>
        <v>0</v>
      </c>
    </row>
    <row r="57" spans="1:192" ht="15.75" customHeight="1" x14ac:dyDescent="0.25">
      <c r="A57" s="82" t="s">
        <v>478</v>
      </c>
      <c r="W57" s="19">
        <v>0</v>
      </c>
      <c r="X57" s="19">
        <v>24</v>
      </c>
      <c r="Y57" s="19">
        <v>10</v>
      </c>
      <c r="Z57" s="10">
        <f t="shared" si="7"/>
        <v>14</v>
      </c>
      <c r="AA57" s="7">
        <v>0</v>
      </c>
      <c r="AB57" s="7">
        <v>4</v>
      </c>
      <c r="AC57" s="78">
        <f t="shared" si="8"/>
        <v>10</v>
      </c>
      <c r="AD57" s="78">
        <v>0</v>
      </c>
      <c r="AE57" s="78">
        <v>0</v>
      </c>
      <c r="AF57" s="78">
        <f t="shared" si="9"/>
        <v>10</v>
      </c>
      <c r="AG57" s="78">
        <v>0</v>
      </c>
      <c r="AH57" s="78">
        <v>0</v>
      </c>
      <c r="AI57" s="78">
        <f t="shared" si="10"/>
        <v>10</v>
      </c>
      <c r="AJ57" s="78">
        <v>0</v>
      </c>
      <c r="AK57" s="78">
        <v>0</v>
      </c>
      <c r="AL57" s="78">
        <f t="shared" si="11"/>
        <v>10</v>
      </c>
      <c r="AM57" s="78">
        <v>0</v>
      </c>
      <c r="AN57" s="78">
        <v>0</v>
      </c>
      <c r="AO57" s="78">
        <f t="shared" si="12"/>
        <v>10</v>
      </c>
      <c r="AP57" s="78">
        <v>0</v>
      </c>
      <c r="AQ57" s="78">
        <v>0</v>
      </c>
      <c r="AR57" s="78">
        <f t="shared" si="13"/>
        <v>10</v>
      </c>
      <c r="AS57" s="79">
        <v>0</v>
      </c>
      <c r="AT57" s="79">
        <v>0</v>
      </c>
      <c r="AU57" s="78">
        <f t="shared" si="14"/>
        <v>10</v>
      </c>
      <c r="AV57" s="79">
        <v>0</v>
      </c>
      <c r="AW57" s="79">
        <v>0</v>
      </c>
      <c r="AX57" s="78">
        <f t="shared" si="15"/>
        <v>10</v>
      </c>
      <c r="AY57" s="79">
        <v>0</v>
      </c>
      <c r="AZ57" s="79">
        <v>0</v>
      </c>
      <c r="BA57" s="78">
        <f t="shared" si="16"/>
        <v>10</v>
      </c>
      <c r="BB57" s="79">
        <v>0</v>
      </c>
      <c r="BC57" s="79">
        <v>0</v>
      </c>
      <c r="BD57" s="78">
        <f t="shared" si="17"/>
        <v>10</v>
      </c>
      <c r="BE57" s="79">
        <v>0</v>
      </c>
      <c r="BF57" s="79">
        <v>0</v>
      </c>
      <c r="BG57" s="78">
        <f t="shared" si="18"/>
        <v>10</v>
      </c>
      <c r="BH57" s="79">
        <v>0</v>
      </c>
      <c r="BI57" s="79">
        <v>0</v>
      </c>
      <c r="BJ57" s="78">
        <f t="shared" si="19"/>
        <v>10</v>
      </c>
      <c r="BK57" s="79">
        <v>0</v>
      </c>
      <c r="BL57" s="79">
        <v>0</v>
      </c>
      <c r="BM57" s="78">
        <f t="shared" si="20"/>
        <v>10</v>
      </c>
      <c r="BN57" s="79">
        <v>0</v>
      </c>
      <c r="BO57" s="79">
        <v>0</v>
      </c>
      <c r="BP57" s="78">
        <f t="shared" si="63"/>
        <v>10</v>
      </c>
      <c r="BQ57" s="79">
        <v>0</v>
      </c>
      <c r="BR57" s="79">
        <v>0</v>
      </c>
      <c r="BS57" s="78">
        <f t="shared" si="22"/>
        <v>10</v>
      </c>
      <c r="BT57" s="79">
        <v>0</v>
      </c>
      <c r="BU57" s="79">
        <v>0</v>
      </c>
      <c r="BV57" s="78">
        <f t="shared" si="23"/>
        <v>10</v>
      </c>
      <c r="BW57" s="79">
        <v>0</v>
      </c>
      <c r="BX57" s="79">
        <v>0</v>
      </c>
      <c r="BY57" s="78">
        <f t="shared" si="24"/>
        <v>10</v>
      </c>
      <c r="BZ57" s="79">
        <v>0</v>
      </c>
      <c r="CA57" s="79">
        <v>0</v>
      </c>
      <c r="CB57" s="78">
        <f t="shared" si="25"/>
        <v>10</v>
      </c>
      <c r="CC57" s="79">
        <v>0</v>
      </c>
      <c r="CD57" s="79">
        <v>0</v>
      </c>
      <c r="CE57" s="78">
        <f t="shared" si="26"/>
        <v>10</v>
      </c>
      <c r="CF57" s="79">
        <v>0</v>
      </c>
      <c r="CG57" s="79">
        <v>0</v>
      </c>
      <c r="CH57" s="78">
        <f t="shared" si="27"/>
        <v>10</v>
      </c>
      <c r="CI57" s="79">
        <v>0</v>
      </c>
      <c r="CJ57" s="79">
        <v>0</v>
      </c>
      <c r="CK57" s="79">
        <f t="shared" si="29"/>
        <v>10</v>
      </c>
      <c r="CL57" s="79">
        <v>0</v>
      </c>
      <c r="CM57" s="79">
        <v>0</v>
      </c>
      <c r="CN57" s="79">
        <f t="shared" si="30"/>
        <v>10</v>
      </c>
      <c r="CO57" s="79">
        <v>0</v>
      </c>
      <c r="CP57" s="79">
        <v>0</v>
      </c>
      <c r="CQ57" s="124">
        <f t="shared" si="56"/>
        <v>10</v>
      </c>
      <c r="CR57" s="128">
        <v>0</v>
      </c>
      <c r="CS57" s="128">
        <v>0</v>
      </c>
      <c r="CT57" s="128">
        <f t="shared" si="58"/>
        <v>10</v>
      </c>
      <c r="CU57" s="128">
        <v>0</v>
      </c>
      <c r="CV57" s="128">
        <v>0</v>
      </c>
      <c r="CW57" s="128">
        <f t="shared" si="31"/>
        <v>10</v>
      </c>
      <c r="CX57" s="128"/>
      <c r="CY57" s="128"/>
      <c r="CZ57" s="128">
        <f t="shared" si="32"/>
        <v>10</v>
      </c>
      <c r="DA57" s="128"/>
      <c r="DB57" s="128"/>
      <c r="DC57" s="128">
        <f t="shared" si="33"/>
        <v>10</v>
      </c>
      <c r="DD57" s="128"/>
      <c r="DE57" s="128"/>
      <c r="DF57" s="215">
        <f t="shared" si="34"/>
        <v>10</v>
      </c>
      <c r="DG57" s="128"/>
      <c r="DH57" s="128"/>
      <c r="DI57" s="128">
        <f t="shared" si="35"/>
        <v>10</v>
      </c>
      <c r="DJ57" s="128"/>
      <c r="DK57" s="128"/>
      <c r="DL57" s="128">
        <f t="shared" si="36"/>
        <v>10</v>
      </c>
      <c r="DM57" s="128"/>
      <c r="DN57" s="128"/>
      <c r="DO57" s="215">
        <f t="shared" si="37"/>
        <v>10</v>
      </c>
      <c r="DP57" s="128"/>
      <c r="DQ57" s="128"/>
      <c r="DR57" s="215">
        <f t="shared" si="38"/>
        <v>10</v>
      </c>
      <c r="DS57" s="128"/>
      <c r="DT57" s="128"/>
      <c r="DU57" s="215">
        <f t="shared" si="39"/>
        <v>10</v>
      </c>
      <c r="DV57" s="128"/>
      <c r="DW57" s="128"/>
      <c r="DX57" s="215">
        <f t="shared" si="40"/>
        <v>10</v>
      </c>
      <c r="DY57" s="128"/>
      <c r="DZ57" s="128"/>
      <c r="EA57" s="215">
        <f t="shared" si="41"/>
        <v>10</v>
      </c>
      <c r="EB57" s="128"/>
      <c r="EC57" s="128"/>
      <c r="ED57" s="215">
        <f t="shared" si="42"/>
        <v>10</v>
      </c>
      <c r="EE57" s="128"/>
      <c r="EF57" s="128"/>
      <c r="EG57" s="215">
        <f t="shared" si="43"/>
        <v>10</v>
      </c>
      <c r="EH57" s="128"/>
      <c r="EI57" s="128"/>
      <c r="EJ57" s="215">
        <f t="shared" si="57"/>
        <v>10</v>
      </c>
      <c r="EK57" s="128"/>
      <c r="EL57" s="128"/>
      <c r="EM57" s="215">
        <f t="shared" si="61"/>
        <v>10</v>
      </c>
      <c r="EN57" s="128"/>
      <c r="EO57" s="128"/>
      <c r="EP57" s="215">
        <f t="shared" si="62"/>
        <v>10</v>
      </c>
      <c r="EQ57" s="128"/>
      <c r="ER57" s="128"/>
      <c r="ES57" s="128">
        <f t="shared" si="46"/>
        <v>10</v>
      </c>
      <c r="ET57" s="128"/>
      <c r="EU57" s="128"/>
      <c r="EV57" s="128">
        <f t="shared" si="47"/>
        <v>10</v>
      </c>
      <c r="EW57" s="128"/>
      <c r="EX57" s="128"/>
      <c r="EY57" s="128">
        <f t="shared" si="48"/>
        <v>10</v>
      </c>
      <c r="EZ57" s="128"/>
      <c r="FA57" s="128"/>
      <c r="FB57" s="128">
        <f t="shared" si="49"/>
        <v>10</v>
      </c>
      <c r="FC57" s="128"/>
      <c r="FD57" s="215"/>
      <c r="FE57" s="128">
        <f t="shared" si="50"/>
        <v>10</v>
      </c>
      <c r="FF57" s="128"/>
      <c r="FG57" s="128"/>
      <c r="FH57" s="128">
        <f t="shared" si="51"/>
        <v>10</v>
      </c>
      <c r="FI57" s="128"/>
      <c r="FJ57" s="128"/>
      <c r="FK57" s="128">
        <f t="shared" si="52"/>
        <v>10</v>
      </c>
      <c r="FL57" s="128"/>
      <c r="FM57" s="128"/>
      <c r="FN57" s="128">
        <f t="shared" si="60"/>
        <v>10</v>
      </c>
      <c r="FO57" s="128"/>
      <c r="FP57" s="128"/>
      <c r="FQ57" s="128">
        <f t="shared" si="53"/>
        <v>10</v>
      </c>
      <c r="FR57" s="128"/>
      <c r="FS57" s="128"/>
      <c r="FT57" s="128">
        <f t="shared" si="59"/>
        <v>10</v>
      </c>
      <c r="FU57" s="128"/>
      <c r="FV57" s="128"/>
      <c r="FW57" s="128">
        <f t="shared" si="55"/>
        <v>10</v>
      </c>
    </row>
    <row r="58" spans="1:192" ht="12.75" x14ac:dyDescent="0.2">
      <c r="A58" s="213" t="s">
        <v>585</v>
      </c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O58" s="30"/>
      <c r="DA58">
        <v>20</v>
      </c>
      <c r="DB58">
        <v>6</v>
      </c>
      <c r="DC58">
        <v>14</v>
      </c>
      <c r="DE58">
        <v>4</v>
      </c>
      <c r="DF58">
        <v>10</v>
      </c>
      <c r="DG58" s="128"/>
      <c r="DH58" s="128"/>
      <c r="DI58" s="128">
        <v>10</v>
      </c>
      <c r="DJ58" s="128"/>
      <c r="DK58" s="128"/>
      <c r="DL58" s="128">
        <v>10</v>
      </c>
      <c r="DM58" s="128"/>
      <c r="DN58" s="128"/>
      <c r="DO58" s="215">
        <v>10</v>
      </c>
      <c r="DP58" s="128"/>
      <c r="DQ58" s="128"/>
      <c r="DR58" s="215">
        <v>10</v>
      </c>
      <c r="DS58" s="128"/>
      <c r="DT58" s="128"/>
      <c r="DU58" s="215">
        <v>10</v>
      </c>
      <c r="DV58" s="128"/>
      <c r="DW58" s="128"/>
      <c r="DX58" s="215">
        <v>10</v>
      </c>
      <c r="DY58" s="128"/>
      <c r="DZ58" s="128"/>
      <c r="EA58" s="215">
        <v>10</v>
      </c>
      <c r="EB58" s="128"/>
      <c r="EC58" s="128"/>
      <c r="ED58" s="215">
        <v>10</v>
      </c>
      <c r="EE58" s="128"/>
      <c r="EF58" s="128"/>
      <c r="EG58" s="215">
        <f t="shared" si="43"/>
        <v>10</v>
      </c>
      <c r="EH58" s="128"/>
      <c r="EI58" s="128"/>
      <c r="EJ58" s="215">
        <f t="shared" si="57"/>
        <v>10</v>
      </c>
      <c r="EK58" s="128"/>
      <c r="EL58" s="128"/>
      <c r="EM58" s="215">
        <v>10</v>
      </c>
      <c r="EN58" s="128"/>
      <c r="EO58" s="128"/>
      <c r="EP58" s="215">
        <v>10</v>
      </c>
      <c r="EQ58" s="128"/>
      <c r="ER58" s="128"/>
      <c r="ES58" s="128">
        <f t="shared" si="46"/>
        <v>10</v>
      </c>
      <c r="ET58" s="128"/>
      <c r="EU58" s="128"/>
      <c r="EV58" s="128">
        <f t="shared" si="47"/>
        <v>10</v>
      </c>
      <c r="EW58" s="128"/>
      <c r="EX58" s="128"/>
      <c r="EY58" s="128">
        <f t="shared" si="48"/>
        <v>10</v>
      </c>
      <c r="EZ58" s="128"/>
      <c r="FA58" s="128"/>
      <c r="FB58" s="128">
        <f t="shared" si="49"/>
        <v>10</v>
      </c>
      <c r="FC58" s="128"/>
      <c r="FD58" s="215"/>
      <c r="FE58" s="128">
        <f t="shared" si="50"/>
        <v>10</v>
      </c>
      <c r="FF58" s="128"/>
      <c r="FG58" s="128"/>
      <c r="FH58" s="128">
        <f t="shared" si="51"/>
        <v>10</v>
      </c>
      <c r="FI58" s="128"/>
      <c r="FJ58" s="128"/>
      <c r="FK58" s="128">
        <f t="shared" si="52"/>
        <v>10</v>
      </c>
      <c r="FL58" s="128"/>
      <c r="FM58" s="128"/>
      <c r="FN58" s="128">
        <f t="shared" si="60"/>
        <v>10</v>
      </c>
      <c r="FO58" s="128"/>
      <c r="FP58" s="128"/>
      <c r="FQ58" s="128">
        <f t="shared" si="53"/>
        <v>10</v>
      </c>
      <c r="FR58" s="128"/>
      <c r="FS58" s="128"/>
      <c r="FT58" s="128">
        <f t="shared" si="59"/>
        <v>10</v>
      </c>
      <c r="FU58" s="128"/>
      <c r="FV58" s="128"/>
      <c r="FW58" s="128">
        <f t="shared" si="55"/>
        <v>10</v>
      </c>
    </row>
    <row r="59" spans="1:192" ht="12.75" x14ac:dyDescent="0.2"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O59" s="30"/>
      <c r="DP59" s="128"/>
      <c r="DQ59" s="128"/>
      <c r="DR59" s="128"/>
      <c r="DS59" s="128"/>
      <c r="DT59" s="128"/>
      <c r="DU59" s="128"/>
      <c r="DV59" s="128"/>
      <c r="DW59" s="128"/>
      <c r="DX59" s="128"/>
      <c r="DY59" s="128"/>
      <c r="DZ59" s="128"/>
      <c r="EA59" s="215"/>
      <c r="EB59" s="128"/>
      <c r="EC59" s="128"/>
      <c r="ED59" s="215"/>
      <c r="EE59" s="128"/>
      <c r="EF59" s="128"/>
      <c r="EG59" s="215">
        <f t="shared" si="43"/>
        <v>0</v>
      </c>
      <c r="EH59" s="128"/>
      <c r="EI59" s="128"/>
      <c r="EJ59" s="215">
        <f t="shared" si="57"/>
        <v>0</v>
      </c>
      <c r="EK59" s="128"/>
      <c r="EL59" s="128"/>
      <c r="EM59" s="215"/>
      <c r="EN59" s="128"/>
      <c r="EO59" s="128"/>
      <c r="EP59" s="215"/>
      <c r="EQ59" s="128"/>
      <c r="ER59" s="128"/>
      <c r="ES59" s="128">
        <f t="shared" si="46"/>
        <v>0</v>
      </c>
      <c r="ET59" s="128"/>
      <c r="EU59" s="128"/>
      <c r="EV59" s="128">
        <f t="shared" si="47"/>
        <v>0</v>
      </c>
      <c r="EW59" s="128"/>
      <c r="EX59" s="128"/>
      <c r="EY59" s="128">
        <f t="shared" si="48"/>
        <v>0</v>
      </c>
      <c r="EZ59" s="128"/>
      <c r="FA59" s="128"/>
      <c r="FB59" s="128">
        <f t="shared" si="49"/>
        <v>0</v>
      </c>
      <c r="FC59" s="128"/>
      <c r="FD59" s="215"/>
      <c r="FE59" s="128">
        <f t="shared" si="50"/>
        <v>0</v>
      </c>
      <c r="FF59" s="128"/>
      <c r="FG59" s="128"/>
      <c r="FH59" s="128">
        <f t="shared" si="51"/>
        <v>0</v>
      </c>
      <c r="FI59" s="128"/>
      <c r="FJ59" s="128"/>
      <c r="FK59" s="128">
        <f t="shared" si="52"/>
        <v>0</v>
      </c>
      <c r="FL59" s="128"/>
      <c r="FM59" s="128"/>
      <c r="FN59" s="128">
        <f t="shared" si="60"/>
        <v>0</v>
      </c>
      <c r="FO59" s="128"/>
      <c r="FP59" s="128"/>
      <c r="FQ59" s="128">
        <f t="shared" si="53"/>
        <v>0</v>
      </c>
      <c r="FR59" s="128"/>
      <c r="FS59" s="128"/>
      <c r="FT59" s="128">
        <f t="shared" si="59"/>
        <v>0</v>
      </c>
      <c r="FU59" s="128"/>
      <c r="FV59" s="128"/>
      <c r="FW59" s="128">
        <f t="shared" si="55"/>
        <v>0</v>
      </c>
    </row>
    <row r="60" spans="1:192" ht="12.75" x14ac:dyDescent="0.2"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O60" s="30"/>
      <c r="EH60" s="128"/>
      <c r="EI60" s="128"/>
      <c r="EJ60" s="215">
        <f t="shared" si="57"/>
        <v>0</v>
      </c>
      <c r="EK60" s="128"/>
      <c r="EL60" s="128"/>
      <c r="EM60" s="215"/>
      <c r="EN60" s="128"/>
      <c r="EO60" s="128"/>
      <c r="EP60" s="215"/>
      <c r="EQ60" s="128"/>
      <c r="ER60" s="128"/>
      <c r="ES60" s="128">
        <f t="shared" si="46"/>
        <v>0</v>
      </c>
      <c r="ET60" s="128"/>
      <c r="EU60" s="128"/>
      <c r="EV60" s="128">
        <f t="shared" si="47"/>
        <v>0</v>
      </c>
      <c r="EW60" s="128"/>
      <c r="EX60" s="128"/>
      <c r="EY60" s="128">
        <f t="shared" si="48"/>
        <v>0</v>
      </c>
      <c r="EZ60" s="128"/>
      <c r="FA60" s="128"/>
      <c r="FB60" s="128">
        <f t="shared" si="49"/>
        <v>0</v>
      </c>
      <c r="FC60" s="128"/>
      <c r="FD60" s="215"/>
      <c r="FE60" s="128">
        <f t="shared" si="50"/>
        <v>0</v>
      </c>
      <c r="FF60" s="128"/>
      <c r="FG60" s="128"/>
      <c r="FH60" s="128">
        <f t="shared" si="51"/>
        <v>0</v>
      </c>
      <c r="FI60" s="128"/>
      <c r="FJ60" s="128"/>
      <c r="FK60" s="128">
        <f t="shared" si="52"/>
        <v>0</v>
      </c>
      <c r="FL60" s="128"/>
      <c r="FM60" s="128"/>
      <c r="FN60" s="128">
        <f t="shared" si="60"/>
        <v>0</v>
      </c>
      <c r="FO60" s="128"/>
      <c r="FP60" s="128"/>
      <c r="FQ60" s="128">
        <f t="shared" si="53"/>
        <v>0</v>
      </c>
      <c r="FR60" s="128"/>
      <c r="FS60" s="128"/>
      <c r="FT60" s="128">
        <f t="shared" si="59"/>
        <v>0</v>
      </c>
      <c r="FU60" s="128"/>
      <c r="FV60" s="128"/>
      <c r="FW60" s="128">
        <f t="shared" si="55"/>
        <v>0</v>
      </c>
    </row>
    <row r="61" spans="1:192" ht="12.75" x14ac:dyDescent="0.2"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O61" s="30"/>
      <c r="EH61" s="128"/>
      <c r="EI61" s="128"/>
      <c r="EJ61" s="215">
        <f t="shared" si="57"/>
        <v>0</v>
      </c>
      <c r="EK61" s="128"/>
      <c r="EL61" s="128"/>
      <c r="EM61" s="215"/>
      <c r="EN61" s="128"/>
      <c r="EO61" s="128"/>
      <c r="EP61" s="215"/>
      <c r="EQ61" s="128"/>
      <c r="ER61" s="128"/>
      <c r="ES61" s="128">
        <f t="shared" si="46"/>
        <v>0</v>
      </c>
      <c r="ET61" s="128"/>
      <c r="EU61" s="128"/>
      <c r="EV61" s="128">
        <f t="shared" si="47"/>
        <v>0</v>
      </c>
      <c r="EW61" s="128"/>
      <c r="EX61" s="128"/>
      <c r="EY61" s="128">
        <f t="shared" si="48"/>
        <v>0</v>
      </c>
      <c r="EZ61" s="128"/>
      <c r="FA61" s="128"/>
      <c r="FB61" s="128">
        <f t="shared" si="49"/>
        <v>0</v>
      </c>
      <c r="FC61" s="128"/>
      <c r="FD61" s="215"/>
      <c r="FE61" s="128">
        <f t="shared" si="50"/>
        <v>0</v>
      </c>
      <c r="FF61" s="128"/>
      <c r="FG61" s="128"/>
      <c r="FH61" s="128">
        <f t="shared" si="51"/>
        <v>0</v>
      </c>
      <c r="FI61" s="128"/>
      <c r="FJ61" s="128"/>
      <c r="FK61" s="128">
        <f t="shared" si="52"/>
        <v>0</v>
      </c>
      <c r="FL61" s="128"/>
      <c r="FM61" s="128"/>
      <c r="FN61" s="128">
        <f t="shared" si="60"/>
        <v>0</v>
      </c>
      <c r="FO61" s="128"/>
      <c r="FP61" s="128"/>
      <c r="FQ61" s="128">
        <f t="shared" si="53"/>
        <v>0</v>
      </c>
      <c r="FR61" s="128"/>
      <c r="FS61" s="128"/>
      <c r="FT61" s="128">
        <f t="shared" si="59"/>
        <v>0</v>
      </c>
      <c r="FU61" s="128"/>
      <c r="FV61" s="128"/>
      <c r="FW61" s="128">
        <f t="shared" si="55"/>
        <v>0</v>
      </c>
    </row>
    <row r="62" spans="1:192" ht="12.75" x14ac:dyDescent="0.2"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O62" s="30"/>
      <c r="EJ62" s="215">
        <f t="shared" si="57"/>
        <v>0</v>
      </c>
      <c r="EK62" s="128"/>
      <c r="EL62" s="128"/>
      <c r="EM62" s="215"/>
      <c r="EN62" s="128"/>
      <c r="EO62" s="128"/>
      <c r="EP62" s="215"/>
      <c r="EQ62" s="128"/>
      <c r="ER62" s="128"/>
      <c r="ES62" s="128">
        <f t="shared" si="46"/>
        <v>0</v>
      </c>
      <c r="ET62" s="128"/>
      <c r="EU62" s="128"/>
      <c r="EV62" s="128">
        <f t="shared" si="47"/>
        <v>0</v>
      </c>
      <c r="EW62" s="128"/>
      <c r="EX62" s="128"/>
      <c r="EY62" s="128">
        <f t="shared" si="48"/>
        <v>0</v>
      </c>
      <c r="EZ62" s="128"/>
      <c r="FA62" s="128"/>
      <c r="FB62" s="128">
        <f t="shared" si="49"/>
        <v>0</v>
      </c>
      <c r="FC62" s="128"/>
      <c r="FD62" s="215"/>
      <c r="FE62" s="128">
        <f t="shared" si="50"/>
        <v>0</v>
      </c>
      <c r="FF62" s="128"/>
      <c r="FG62" s="128"/>
      <c r="FH62" s="128">
        <f t="shared" si="51"/>
        <v>0</v>
      </c>
      <c r="FI62" s="128"/>
      <c r="FJ62" s="128"/>
      <c r="FK62" s="128">
        <f t="shared" si="52"/>
        <v>0</v>
      </c>
      <c r="FL62" s="128"/>
      <c r="FM62" s="128"/>
      <c r="FN62" s="128">
        <f t="shared" si="60"/>
        <v>0</v>
      </c>
      <c r="FO62" s="128"/>
      <c r="FP62" s="128"/>
      <c r="FQ62" s="128">
        <f t="shared" si="53"/>
        <v>0</v>
      </c>
      <c r="FR62" s="128"/>
      <c r="FS62" s="128"/>
      <c r="FT62" s="128">
        <f t="shared" si="59"/>
        <v>0</v>
      </c>
      <c r="FU62" s="128"/>
      <c r="FV62" s="128"/>
      <c r="FW62" s="128">
        <f t="shared" si="55"/>
        <v>0</v>
      </c>
    </row>
    <row r="63" spans="1:192" ht="12.75" x14ac:dyDescent="0.2"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O63" s="30"/>
      <c r="EJ63" s="215">
        <f t="shared" si="57"/>
        <v>0</v>
      </c>
      <c r="EQ63" s="128"/>
      <c r="ER63" s="128"/>
      <c r="ES63" s="128">
        <f t="shared" si="46"/>
        <v>0</v>
      </c>
      <c r="ET63" s="128"/>
      <c r="EU63" s="128"/>
      <c r="EV63" s="128">
        <f t="shared" si="47"/>
        <v>0</v>
      </c>
      <c r="EW63" s="128"/>
      <c r="EX63" s="128"/>
      <c r="EY63" s="128">
        <f t="shared" si="48"/>
        <v>0</v>
      </c>
      <c r="EZ63" s="128"/>
      <c r="FA63" s="128"/>
      <c r="FB63" s="128">
        <f t="shared" si="49"/>
        <v>0</v>
      </c>
      <c r="FC63" s="128"/>
      <c r="FD63" s="215"/>
      <c r="FE63" s="128">
        <f t="shared" si="50"/>
        <v>0</v>
      </c>
      <c r="FF63" s="128"/>
      <c r="FG63" s="128"/>
      <c r="FH63" s="128">
        <f t="shared" si="51"/>
        <v>0</v>
      </c>
      <c r="FI63" s="128"/>
      <c r="FJ63" s="128"/>
      <c r="FK63" s="128">
        <f t="shared" si="52"/>
        <v>0</v>
      </c>
      <c r="FL63" s="128"/>
      <c r="FM63" s="128"/>
      <c r="FN63" s="128">
        <f t="shared" si="60"/>
        <v>0</v>
      </c>
      <c r="FO63" s="128"/>
      <c r="FP63" s="128"/>
      <c r="FQ63" s="128">
        <f t="shared" si="53"/>
        <v>0</v>
      </c>
      <c r="FR63" s="128"/>
      <c r="FS63" s="128"/>
      <c r="FT63" s="128">
        <f t="shared" si="59"/>
        <v>0</v>
      </c>
      <c r="FU63" s="128"/>
      <c r="FV63" s="128"/>
      <c r="FW63" s="128">
        <f t="shared" si="55"/>
        <v>0</v>
      </c>
    </row>
    <row r="64" spans="1:192" ht="12.75" x14ac:dyDescent="0.2"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O64" s="30"/>
      <c r="EJ64" s="215">
        <f t="shared" si="57"/>
        <v>0</v>
      </c>
      <c r="EQ64" s="128"/>
      <c r="ER64" s="128"/>
      <c r="ES64" s="128">
        <f t="shared" si="46"/>
        <v>0</v>
      </c>
      <c r="ET64" s="128"/>
      <c r="EU64" s="128"/>
      <c r="EV64" s="128">
        <f t="shared" si="47"/>
        <v>0</v>
      </c>
      <c r="EW64" s="128"/>
      <c r="EX64" s="128"/>
      <c r="EY64" s="128">
        <f t="shared" si="48"/>
        <v>0</v>
      </c>
      <c r="EZ64" s="128"/>
      <c r="FA64" s="128"/>
      <c r="FB64" s="128">
        <f t="shared" si="49"/>
        <v>0</v>
      </c>
      <c r="FC64" s="128"/>
      <c r="FD64" s="215"/>
      <c r="FE64" s="128">
        <f t="shared" si="50"/>
        <v>0</v>
      </c>
      <c r="FF64" s="128"/>
      <c r="FG64" s="128"/>
      <c r="FH64" s="128">
        <f t="shared" si="51"/>
        <v>0</v>
      </c>
      <c r="FI64" s="128"/>
      <c r="FJ64" s="128"/>
      <c r="FK64" s="128">
        <f t="shared" si="52"/>
        <v>0</v>
      </c>
      <c r="FL64" s="128"/>
      <c r="FM64" s="128"/>
      <c r="FN64" s="128">
        <f t="shared" si="60"/>
        <v>0</v>
      </c>
      <c r="FO64" s="128"/>
      <c r="FP64" s="128"/>
      <c r="FQ64" s="128">
        <f t="shared" si="53"/>
        <v>0</v>
      </c>
      <c r="FR64" s="128"/>
      <c r="FS64" s="128"/>
      <c r="FT64" s="128">
        <f t="shared" si="59"/>
        <v>0</v>
      </c>
      <c r="FU64" s="128"/>
      <c r="FV64" s="128"/>
      <c r="FW64" s="128">
        <f t="shared" si="55"/>
        <v>0</v>
      </c>
    </row>
    <row r="65" spans="27:179" ht="12.75" x14ac:dyDescent="0.2"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O65" s="30"/>
      <c r="EJ65" s="215">
        <f t="shared" si="57"/>
        <v>0</v>
      </c>
      <c r="EQ65" s="128"/>
      <c r="ER65" s="128"/>
      <c r="ES65" s="128">
        <f t="shared" si="46"/>
        <v>0</v>
      </c>
      <c r="ET65" s="128"/>
      <c r="EU65" s="128"/>
      <c r="EV65" s="128">
        <f t="shared" si="47"/>
        <v>0</v>
      </c>
      <c r="EW65" s="128"/>
      <c r="EX65" s="128"/>
      <c r="EY65" s="128">
        <f t="shared" si="48"/>
        <v>0</v>
      </c>
      <c r="EZ65" s="128"/>
      <c r="FA65" s="128"/>
      <c r="FB65" s="128">
        <f t="shared" si="49"/>
        <v>0</v>
      </c>
      <c r="FC65" s="128"/>
      <c r="FD65" s="215"/>
      <c r="FE65" s="128">
        <f t="shared" si="50"/>
        <v>0</v>
      </c>
      <c r="FF65" s="128"/>
      <c r="FG65" s="128"/>
      <c r="FH65" s="128">
        <f t="shared" si="51"/>
        <v>0</v>
      </c>
      <c r="FI65" s="128"/>
      <c r="FJ65" s="128"/>
      <c r="FK65" s="128">
        <f t="shared" si="52"/>
        <v>0</v>
      </c>
      <c r="FL65" s="128"/>
      <c r="FM65" s="128"/>
      <c r="FN65" s="128">
        <f t="shared" si="60"/>
        <v>0</v>
      </c>
      <c r="FO65" s="128"/>
      <c r="FP65" s="128"/>
      <c r="FQ65" s="128">
        <f t="shared" si="53"/>
        <v>0</v>
      </c>
      <c r="FR65" s="128"/>
      <c r="FS65" s="128"/>
      <c r="FT65" s="128">
        <f t="shared" si="59"/>
        <v>0</v>
      </c>
      <c r="FU65" s="128"/>
      <c r="FV65" s="128"/>
      <c r="FW65" s="128">
        <f t="shared" si="55"/>
        <v>0</v>
      </c>
    </row>
    <row r="66" spans="27:179" ht="12.75" x14ac:dyDescent="0.2"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O66" s="30"/>
      <c r="EM66" s="215">
        <f t="shared" ref="EM66:EM67" si="64">EJ66+EK66-EL66</f>
        <v>0</v>
      </c>
      <c r="EV66" s="128">
        <f t="shared" ref="EV66:EV67" si="65">ES66+ET66-EU66</f>
        <v>0</v>
      </c>
    </row>
    <row r="67" spans="27:179" ht="12.75" x14ac:dyDescent="0.2"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O67" s="30"/>
      <c r="EM67" s="215">
        <f t="shared" si="64"/>
        <v>0</v>
      </c>
      <c r="EV67" s="128">
        <f t="shared" si="65"/>
        <v>0</v>
      </c>
    </row>
    <row r="68" spans="27:179" ht="12.75" x14ac:dyDescent="0.2"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O68" s="30"/>
      <c r="EM68" s="215">
        <f t="shared" ref="EM68:EM131" si="66">EJ68+EK68-EL68</f>
        <v>0</v>
      </c>
      <c r="EV68" s="128">
        <f t="shared" ref="EV68:EV131" si="67">ES68+ET68-EU68</f>
        <v>0</v>
      </c>
    </row>
    <row r="69" spans="27:179" ht="12.75" x14ac:dyDescent="0.2"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O69" s="30"/>
      <c r="EM69" s="215">
        <f t="shared" si="66"/>
        <v>0</v>
      </c>
      <c r="EV69" s="128">
        <f t="shared" si="67"/>
        <v>0</v>
      </c>
    </row>
    <row r="70" spans="27:179" ht="12.75" x14ac:dyDescent="0.2"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O70" s="30"/>
      <c r="EM70" s="215">
        <f t="shared" si="66"/>
        <v>0</v>
      </c>
      <c r="EV70" s="128">
        <f t="shared" si="67"/>
        <v>0</v>
      </c>
    </row>
    <row r="71" spans="27:179" ht="12.75" x14ac:dyDescent="0.2"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O71" s="30"/>
      <c r="EM71" s="215">
        <f t="shared" si="66"/>
        <v>0</v>
      </c>
      <c r="EV71" s="128">
        <f t="shared" si="67"/>
        <v>0</v>
      </c>
    </row>
    <row r="72" spans="27:179" ht="12.75" x14ac:dyDescent="0.2"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O72" s="30"/>
      <c r="EM72" s="215">
        <f t="shared" si="66"/>
        <v>0</v>
      </c>
      <c r="EV72" s="128">
        <f t="shared" si="67"/>
        <v>0</v>
      </c>
    </row>
    <row r="73" spans="27:179" ht="12.75" x14ac:dyDescent="0.2"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O73" s="30"/>
      <c r="EM73" s="215">
        <f t="shared" si="66"/>
        <v>0</v>
      </c>
      <c r="EV73" s="128">
        <f t="shared" si="67"/>
        <v>0</v>
      </c>
    </row>
    <row r="74" spans="27:179" ht="12.75" x14ac:dyDescent="0.2"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O74" s="30"/>
      <c r="EM74" s="215">
        <f t="shared" si="66"/>
        <v>0</v>
      </c>
      <c r="EV74" s="128">
        <f t="shared" si="67"/>
        <v>0</v>
      </c>
    </row>
    <row r="75" spans="27:179" ht="12.75" x14ac:dyDescent="0.2"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O75" s="30"/>
      <c r="EM75" s="215">
        <f t="shared" si="66"/>
        <v>0</v>
      </c>
      <c r="EV75" s="128">
        <f t="shared" si="67"/>
        <v>0</v>
      </c>
    </row>
    <row r="76" spans="27:179" ht="12.75" x14ac:dyDescent="0.2"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O76" s="30"/>
      <c r="EM76" s="215">
        <f t="shared" si="66"/>
        <v>0</v>
      </c>
      <c r="EV76" s="128">
        <f t="shared" si="67"/>
        <v>0</v>
      </c>
    </row>
    <row r="77" spans="27:179" ht="12.75" x14ac:dyDescent="0.2"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O77" s="30"/>
      <c r="EM77" s="215">
        <f t="shared" si="66"/>
        <v>0</v>
      </c>
      <c r="EV77" s="128">
        <f t="shared" si="67"/>
        <v>0</v>
      </c>
    </row>
    <row r="78" spans="27:179" ht="12.75" x14ac:dyDescent="0.2"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O78" s="30"/>
      <c r="EM78" s="215">
        <f t="shared" si="66"/>
        <v>0</v>
      </c>
      <c r="EV78" s="128">
        <f t="shared" si="67"/>
        <v>0</v>
      </c>
    </row>
    <row r="79" spans="27:179" ht="12.75" x14ac:dyDescent="0.2"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O79" s="30"/>
      <c r="EM79" s="215">
        <f t="shared" si="66"/>
        <v>0</v>
      </c>
      <c r="EV79" s="128">
        <f t="shared" si="67"/>
        <v>0</v>
      </c>
    </row>
    <row r="80" spans="27:179" ht="12.75" x14ac:dyDescent="0.2"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O80" s="30"/>
      <c r="EM80" s="215">
        <f t="shared" si="66"/>
        <v>0</v>
      </c>
      <c r="EV80" s="128">
        <f t="shared" si="67"/>
        <v>0</v>
      </c>
    </row>
    <row r="81" spans="27:152" ht="12.75" x14ac:dyDescent="0.2"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O81" s="30"/>
      <c r="EM81" s="215">
        <f t="shared" si="66"/>
        <v>0</v>
      </c>
      <c r="EV81" s="128">
        <f t="shared" si="67"/>
        <v>0</v>
      </c>
    </row>
    <row r="82" spans="27:152" ht="12.75" x14ac:dyDescent="0.2"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O82" s="30"/>
      <c r="EM82" s="215">
        <f t="shared" si="66"/>
        <v>0</v>
      </c>
      <c r="EV82" s="128">
        <f t="shared" si="67"/>
        <v>0</v>
      </c>
    </row>
    <row r="83" spans="27:152" ht="12.75" x14ac:dyDescent="0.2"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O83" s="30"/>
      <c r="EM83" s="215">
        <f t="shared" si="66"/>
        <v>0</v>
      </c>
      <c r="EV83" s="128">
        <f t="shared" si="67"/>
        <v>0</v>
      </c>
    </row>
    <row r="84" spans="27:152" ht="12.75" x14ac:dyDescent="0.2"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O84" s="30"/>
      <c r="EM84" s="215">
        <f t="shared" si="66"/>
        <v>0</v>
      </c>
      <c r="EV84" s="128">
        <f t="shared" si="67"/>
        <v>0</v>
      </c>
    </row>
    <row r="85" spans="27:152" ht="12.75" x14ac:dyDescent="0.2"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O85" s="30"/>
      <c r="EM85" s="215">
        <f t="shared" si="66"/>
        <v>0</v>
      </c>
      <c r="EV85" s="128">
        <f t="shared" si="67"/>
        <v>0</v>
      </c>
    </row>
    <row r="86" spans="27:152" ht="12.75" x14ac:dyDescent="0.2"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O86" s="30"/>
      <c r="EM86" s="215">
        <f t="shared" si="66"/>
        <v>0</v>
      </c>
      <c r="EV86" s="128">
        <f t="shared" si="67"/>
        <v>0</v>
      </c>
    </row>
    <row r="87" spans="27:152" ht="12.75" x14ac:dyDescent="0.2"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O87" s="30"/>
      <c r="EM87" s="215">
        <f t="shared" si="66"/>
        <v>0</v>
      </c>
      <c r="EV87" s="128">
        <f t="shared" si="67"/>
        <v>0</v>
      </c>
    </row>
    <row r="88" spans="27:152" ht="12.75" x14ac:dyDescent="0.2"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O88" s="30"/>
      <c r="EM88" s="215">
        <f t="shared" si="66"/>
        <v>0</v>
      </c>
      <c r="EV88" s="128">
        <f t="shared" si="67"/>
        <v>0</v>
      </c>
    </row>
    <row r="89" spans="27:152" ht="12.75" x14ac:dyDescent="0.2"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O89" s="30"/>
      <c r="EM89" s="215">
        <f t="shared" si="66"/>
        <v>0</v>
      </c>
      <c r="EV89" s="128">
        <f t="shared" si="67"/>
        <v>0</v>
      </c>
    </row>
    <row r="90" spans="27:152" ht="12.75" x14ac:dyDescent="0.2"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O90" s="30"/>
      <c r="EM90" s="215">
        <f t="shared" si="66"/>
        <v>0</v>
      </c>
      <c r="EV90" s="128">
        <f t="shared" si="67"/>
        <v>0</v>
      </c>
    </row>
    <row r="91" spans="27:152" ht="12.75" x14ac:dyDescent="0.2"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O91" s="30"/>
      <c r="EM91" s="215">
        <f t="shared" si="66"/>
        <v>0</v>
      </c>
      <c r="EV91" s="128">
        <f t="shared" si="67"/>
        <v>0</v>
      </c>
    </row>
    <row r="92" spans="27:152" ht="12.75" x14ac:dyDescent="0.2"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O92" s="30"/>
      <c r="EM92" s="215">
        <f t="shared" si="66"/>
        <v>0</v>
      </c>
      <c r="EV92" s="128">
        <f t="shared" si="67"/>
        <v>0</v>
      </c>
    </row>
    <row r="93" spans="27:152" ht="12.75" x14ac:dyDescent="0.2"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O93" s="30"/>
      <c r="EM93" s="215">
        <f t="shared" si="66"/>
        <v>0</v>
      </c>
      <c r="EV93" s="128">
        <f t="shared" si="67"/>
        <v>0</v>
      </c>
    </row>
    <row r="94" spans="27:152" ht="12.75" x14ac:dyDescent="0.2"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O94" s="30"/>
      <c r="EM94" s="215">
        <f t="shared" si="66"/>
        <v>0</v>
      </c>
      <c r="EV94" s="128">
        <f t="shared" si="67"/>
        <v>0</v>
      </c>
    </row>
    <row r="95" spans="27:152" ht="12.75" x14ac:dyDescent="0.2"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O95" s="30"/>
      <c r="EM95" s="215">
        <f t="shared" si="66"/>
        <v>0</v>
      </c>
      <c r="EV95" s="128">
        <f t="shared" si="67"/>
        <v>0</v>
      </c>
    </row>
    <row r="96" spans="27:152" ht="12.75" x14ac:dyDescent="0.2"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O96" s="30"/>
      <c r="EM96" s="215">
        <f t="shared" si="66"/>
        <v>0</v>
      </c>
      <c r="EV96" s="128">
        <f t="shared" si="67"/>
        <v>0</v>
      </c>
    </row>
    <row r="97" spans="27:152" ht="12.75" x14ac:dyDescent="0.2"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O97" s="30"/>
      <c r="EM97" s="215">
        <f t="shared" si="66"/>
        <v>0</v>
      </c>
      <c r="EV97" s="128">
        <f t="shared" si="67"/>
        <v>0</v>
      </c>
    </row>
    <row r="98" spans="27:152" ht="12.75" x14ac:dyDescent="0.2"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O98" s="30"/>
      <c r="EM98" s="215">
        <f t="shared" si="66"/>
        <v>0</v>
      </c>
      <c r="EV98" s="128">
        <f t="shared" si="67"/>
        <v>0</v>
      </c>
    </row>
    <row r="99" spans="27:152" ht="12.75" x14ac:dyDescent="0.2"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O99" s="30"/>
      <c r="EM99" s="215">
        <f t="shared" si="66"/>
        <v>0</v>
      </c>
      <c r="EV99" s="128">
        <f t="shared" si="67"/>
        <v>0</v>
      </c>
    </row>
    <row r="100" spans="27:152" ht="12.75" x14ac:dyDescent="0.2"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O100" s="30"/>
      <c r="EM100" s="215">
        <f t="shared" si="66"/>
        <v>0</v>
      </c>
      <c r="EV100" s="128">
        <f t="shared" si="67"/>
        <v>0</v>
      </c>
    </row>
    <row r="101" spans="27:152" ht="12.75" x14ac:dyDescent="0.2"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O101" s="30"/>
      <c r="EM101" s="215">
        <f t="shared" si="66"/>
        <v>0</v>
      </c>
      <c r="EV101" s="128">
        <f t="shared" si="67"/>
        <v>0</v>
      </c>
    </row>
    <row r="102" spans="27:152" ht="12.75" x14ac:dyDescent="0.2"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O102" s="30"/>
      <c r="EM102" s="215">
        <f t="shared" si="66"/>
        <v>0</v>
      </c>
      <c r="EV102" s="128">
        <f t="shared" si="67"/>
        <v>0</v>
      </c>
    </row>
    <row r="103" spans="27:152" ht="12.75" x14ac:dyDescent="0.2"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O103" s="30"/>
      <c r="EM103" s="215">
        <f t="shared" si="66"/>
        <v>0</v>
      </c>
      <c r="EV103" s="128">
        <f t="shared" si="67"/>
        <v>0</v>
      </c>
    </row>
    <row r="104" spans="27:152" ht="12.75" x14ac:dyDescent="0.2"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O104" s="30"/>
      <c r="EM104" s="215">
        <f t="shared" si="66"/>
        <v>0</v>
      </c>
      <c r="EV104" s="128">
        <f t="shared" si="67"/>
        <v>0</v>
      </c>
    </row>
    <row r="105" spans="27:152" ht="12.75" x14ac:dyDescent="0.2"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O105" s="30"/>
      <c r="EM105" s="215">
        <f t="shared" si="66"/>
        <v>0</v>
      </c>
      <c r="EV105" s="128">
        <f t="shared" si="67"/>
        <v>0</v>
      </c>
    </row>
    <row r="106" spans="27:152" ht="12.75" x14ac:dyDescent="0.2"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O106" s="30"/>
      <c r="EM106" s="215">
        <f t="shared" si="66"/>
        <v>0</v>
      </c>
      <c r="EV106" s="128">
        <f t="shared" si="67"/>
        <v>0</v>
      </c>
    </row>
    <row r="107" spans="27:152" ht="12.75" x14ac:dyDescent="0.2"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O107" s="30"/>
      <c r="EM107" s="215">
        <f t="shared" si="66"/>
        <v>0</v>
      </c>
      <c r="EV107" s="128">
        <f t="shared" si="67"/>
        <v>0</v>
      </c>
    </row>
    <row r="108" spans="27:152" ht="12.75" x14ac:dyDescent="0.2"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O108" s="30"/>
      <c r="EM108" s="215">
        <f t="shared" si="66"/>
        <v>0</v>
      </c>
      <c r="EV108" s="128">
        <f t="shared" si="67"/>
        <v>0</v>
      </c>
    </row>
    <row r="109" spans="27:152" ht="12.75" x14ac:dyDescent="0.2"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O109" s="30"/>
      <c r="EM109" s="215">
        <f t="shared" si="66"/>
        <v>0</v>
      </c>
      <c r="EV109" s="128">
        <f t="shared" si="67"/>
        <v>0</v>
      </c>
    </row>
    <row r="110" spans="27:152" ht="12.75" x14ac:dyDescent="0.2"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O110" s="30"/>
      <c r="EM110" s="215">
        <f t="shared" si="66"/>
        <v>0</v>
      </c>
      <c r="EV110" s="128">
        <f t="shared" si="67"/>
        <v>0</v>
      </c>
    </row>
    <row r="111" spans="27:152" ht="12.75" x14ac:dyDescent="0.2"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O111" s="30"/>
      <c r="EM111" s="215">
        <f t="shared" si="66"/>
        <v>0</v>
      </c>
      <c r="EV111" s="128">
        <f t="shared" si="67"/>
        <v>0</v>
      </c>
    </row>
    <row r="112" spans="27:152" ht="12.75" x14ac:dyDescent="0.2"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O112" s="30"/>
      <c r="EM112" s="215">
        <f t="shared" si="66"/>
        <v>0</v>
      </c>
      <c r="EV112" s="128">
        <f t="shared" si="67"/>
        <v>0</v>
      </c>
    </row>
    <row r="113" spans="27:152" ht="12.75" x14ac:dyDescent="0.2"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O113" s="30"/>
      <c r="EM113" s="215">
        <f t="shared" si="66"/>
        <v>0</v>
      </c>
      <c r="EV113" s="128">
        <f t="shared" si="67"/>
        <v>0</v>
      </c>
    </row>
    <row r="114" spans="27:152" ht="12.75" x14ac:dyDescent="0.2"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O114" s="30"/>
      <c r="EM114" s="215">
        <f t="shared" si="66"/>
        <v>0</v>
      </c>
      <c r="EV114" s="128">
        <f t="shared" si="67"/>
        <v>0</v>
      </c>
    </row>
    <row r="115" spans="27:152" ht="12.75" x14ac:dyDescent="0.2"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O115" s="30"/>
      <c r="EM115" s="215">
        <f t="shared" si="66"/>
        <v>0</v>
      </c>
      <c r="EV115" s="128">
        <f t="shared" si="67"/>
        <v>0</v>
      </c>
    </row>
    <row r="116" spans="27:152" ht="12.75" x14ac:dyDescent="0.2"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O116" s="30"/>
      <c r="EM116" s="215">
        <f t="shared" si="66"/>
        <v>0</v>
      </c>
      <c r="EV116" s="128">
        <f t="shared" si="67"/>
        <v>0</v>
      </c>
    </row>
    <row r="117" spans="27:152" ht="12.75" x14ac:dyDescent="0.2"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O117" s="30"/>
      <c r="EM117" s="215">
        <f t="shared" si="66"/>
        <v>0</v>
      </c>
      <c r="EV117" s="128">
        <f t="shared" si="67"/>
        <v>0</v>
      </c>
    </row>
    <row r="118" spans="27:152" ht="12.75" x14ac:dyDescent="0.2"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O118" s="30"/>
      <c r="EM118" s="215">
        <f t="shared" si="66"/>
        <v>0</v>
      </c>
      <c r="EV118" s="128">
        <f t="shared" si="67"/>
        <v>0</v>
      </c>
    </row>
    <row r="119" spans="27:152" ht="12.75" x14ac:dyDescent="0.2"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O119" s="30"/>
      <c r="EM119" s="215">
        <f t="shared" si="66"/>
        <v>0</v>
      </c>
      <c r="EV119" s="128">
        <f t="shared" si="67"/>
        <v>0</v>
      </c>
    </row>
    <row r="120" spans="27:152" ht="12.75" x14ac:dyDescent="0.2"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O120" s="30"/>
      <c r="EM120" s="215">
        <f t="shared" si="66"/>
        <v>0</v>
      </c>
      <c r="EV120" s="128">
        <f t="shared" si="67"/>
        <v>0</v>
      </c>
    </row>
    <row r="121" spans="27:152" ht="12.75" x14ac:dyDescent="0.2"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O121" s="30"/>
      <c r="EM121" s="215">
        <f t="shared" si="66"/>
        <v>0</v>
      </c>
      <c r="EV121" s="128">
        <f t="shared" si="67"/>
        <v>0</v>
      </c>
    </row>
    <row r="122" spans="27:152" ht="12.75" x14ac:dyDescent="0.2"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O122" s="30"/>
      <c r="EM122" s="215">
        <f t="shared" si="66"/>
        <v>0</v>
      </c>
      <c r="EV122" s="128">
        <f t="shared" si="67"/>
        <v>0</v>
      </c>
    </row>
    <row r="123" spans="27:152" ht="12.75" x14ac:dyDescent="0.2"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O123" s="30"/>
      <c r="EM123" s="215">
        <f t="shared" si="66"/>
        <v>0</v>
      </c>
      <c r="EV123" s="128">
        <f t="shared" si="67"/>
        <v>0</v>
      </c>
    </row>
    <row r="124" spans="27:152" ht="12.75" x14ac:dyDescent="0.2"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O124" s="30"/>
      <c r="EM124" s="215">
        <f t="shared" si="66"/>
        <v>0</v>
      </c>
      <c r="EV124" s="128">
        <f t="shared" si="67"/>
        <v>0</v>
      </c>
    </row>
    <row r="125" spans="27:152" ht="12.75" x14ac:dyDescent="0.2"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O125" s="30"/>
      <c r="EM125" s="215">
        <f t="shared" si="66"/>
        <v>0</v>
      </c>
      <c r="EV125" s="128">
        <f t="shared" si="67"/>
        <v>0</v>
      </c>
    </row>
    <row r="126" spans="27:152" ht="12.75" x14ac:dyDescent="0.2"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O126" s="30"/>
      <c r="EM126" s="215">
        <f t="shared" si="66"/>
        <v>0</v>
      </c>
      <c r="EV126" s="128">
        <f t="shared" si="67"/>
        <v>0</v>
      </c>
    </row>
    <row r="127" spans="27:152" ht="12.75" x14ac:dyDescent="0.2"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O127" s="30"/>
      <c r="EM127" s="215">
        <f t="shared" si="66"/>
        <v>0</v>
      </c>
      <c r="EV127" s="128">
        <f t="shared" si="67"/>
        <v>0</v>
      </c>
    </row>
    <row r="128" spans="27:152" ht="12.75" x14ac:dyDescent="0.2"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O128" s="30"/>
      <c r="EM128" s="215">
        <f t="shared" si="66"/>
        <v>0</v>
      </c>
      <c r="EV128" s="128">
        <f t="shared" si="67"/>
        <v>0</v>
      </c>
    </row>
    <row r="129" spans="27:152" ht="12.75" x14ac:dyDescent="0.2"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O129" s="30"/>
      <c r="EM129" s="215">
        <f t="shared" si="66"/>
        <v>0</v>
      </c>
      <c r="EV129" s="128">
        <f t="shared" si="67"/>
        <v>0</v>
      </c>
    </row>
    <row r="130" spans="27:152" ht="12.75" x14ac:dyDescent="0.2"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O130" s="30"/>
      <c r="EM130" s="215">
        <f t="shared" si="66"/>
        <v>0</v>
      </c>
      <c r="EV130" s="128">
        <f t="shared" si="67"/>
        <v>0</v>
      </c>
    </row>
    <row r="131" spans="27:152" ht="12.75" x14ac:dyDescent="0.2"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O131" s="30"/>
      <c r="EM131" s="215">
        <f t="shared" si="66"/>
        <v>0</v>
      </c>
      <c r="EV131" s="128">
        <f t="shared" si="67"/>
        <v>0</v>
      </c>
    </row>
    <row r="132" spans="27:152" ht="12.75" x14ac:dyDescent="0.2"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O132" s="30"/>
      <c r="EM132" s="215">
        <f t="shared" ref="EM132:EM184" si="68">EJ132+EK132-EL132</f>
        <v>0</v>
      </c>
      <c r="EV132" s="128">
        <f t="shared" ref="EV132:EV139" si="69">ES132+ET132-EU132</f>
        <v>0</v>
      </c>
    </row>
    <row r="133" spans="27:152" ht="12.75" x14ac:dyDescent="0.2"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O133" s="30"/>
      <c r="EM133" s="215">
        <f t="shared" si="68"/>
        <v>0</v>
      </c>
      <c r="EV133" s="128">
        <f t="shared" si="69"/>
        <v>0</v>
      </c>
    </row>
    <row r="134" spans="27:152" ht="12.75" x14ac:dyDescent="0.2"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O134" s="30"/>
      <c r="EM134" s="215">
        <f t="shared" si="68"/>
        <v>0</v>
      </c>
      <c r="EV134" s="128">
        <f t="shared" si="69"/>
        <v>0</v>
      </c>
    </row>
    <row r="135" spans="27:152" ht="12.75" x14ac:dyDescent="0.2"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O135" s="30"/>
      <c r="EM135" s="215">
        <f t="shared" si="68"/>
        <v>0</v>
      </c>
      <c r="EV135" s="128">
        <f t="shared" si="69"/>
        <v>0</v>
      </c>
    </row>
    <row r="136" spans="27:152" ht="12.75" x14ac:dyDescent="0.2"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O136" s="30"/>
      <c r="EM136" s="215">
        <f t="shared" si="68"/>
        <v>0</v>
      </c>
      <c r="EV136" s="128">
        <f t="shared" si="69"/>
        <v>0</v>
      </c>
    </row>
    <row r="137" spans="27:152" ht="12.75" x14ac:dyDescent="0.2"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O137" s="30"/>
      <c r="EM137" s="215">
        <f t="shared" si="68"/>
        <v>0</v>
      </c>
      <c r="EV137" s="128">
        <f t="shared" si="69"/>
        <v>0</v>
      </c>
    </row>
    <row r="138" spans="27:152" ht="12.75" x14ac:dyDescent="0.2"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O138" s="30"/>
      <c r="EM138" s="215">
        <f t="shared" si="68"/>
        <v>0</v>
      </c>
      <c r="EV138" s="128">
        <f t="shared" si="69"/>
        <v>0</v>
      </c>
    </row>
    <row r="139" spans="27:152" ht="12.75" x14ac:dyDescent="0.2"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O139" s="30"/>
      <c r="EM139" s="215">
        <f t="shared" si="68"/>
        <v>0</v>
      </c>
      <c r="EV139" s="128">
        <f t="shared" si="69"/>
        <v>0</v>
      </c>
    </row>
    <row r="140" spans="27:152" ht="12.75" x14ac:dyDescent="0.2"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O140" s="30"/>
      <c r="EM140" s="215">
        <f t="shared" si="68"/>
        <v>0</v>
      </c>
    </row>
    <row r="141" spans="27:152" ht="12.75" x14ac:dyDescent="0.2"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O141" s="30"/>
      <c r="EM141" s="215">
        <f t="shared" si="68"/>
        <v>0</v>
      </c>
    </row>
    <row r="142" spans="27:152" ht="12.75" x14ac:dyDescent="0.2"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O142" s="30"/>
      <c r="EM142" s="215">
        <f t="shared" si="68"/>
        <v>0</v>
      </c>
    </row>
    <row r="143" spans="27:152" ht="12.75" x14ac:dyDescent="0.2"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O143" s="30"/>
      <c r="EM143" s="215">
        <f t="shared" si="68"/>
        <v>0</v>
      </c>
    </row>
    <row r="144" spans="27:152" ht="12.75" x14ac:dyDescent="0.2"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O144" s="30"/>
      <c r="EM144" s="215">
        <f t="shared" si="68"/>
        <v>0</v>
      </c>
    </row>
    <row r="145" spans="27:143" ht="12.75" x14ac:dyDescent="0.2"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O145" s="30"/>
      <c r="EM145" s="215">
        <f t="shared" si="68"/>
        <v>0</v>
      </c>
    </row>
    <row r="146" spans="27:143" ht="12.75" x14ac:dyDescent="0.2"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O146" s="30"/>
      <c r="EM146" s="215">
        <f t="shared" si="68"/>
        <v>0</v>
      </c>
    </row>
    <row r="147" spans="27:143" ht="12.75" x14ac:dyDescent="0.2"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O147" s="30"/>
      <c r="EM147" s="215">
        <f t="shared" si="68"/>
        <v>0</v>
      </c>
    </row>
    <row r="148" spans="27:143" ht="12.75" x14ac:dyDescent="0.2"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O148" s="30"/>
      <c r="EM148" s="215">
        <f t="shared" si="68"/>
        <v>0</v>
      </c>
    </row>
    <row r="149" spans="27:143" ht="12.75" x14ac:dyDescent="0.2"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O149" s="30"/>
      <c r="EM149" s="215">
        <f t="shared" si="68"/>
        <v>0</v>
      </c>
    </row>
    <row r="150" spans="27:143" ht="12.75" x14ac:dyDescent="0.2"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O150" s="30"/>
      <c r="EM150" s="215">
        <f t="shared" si="68"/>
        <v>0</v>
      </c>
    </row>
    <row r="151" spans="27:143" ht="12.75" x14ac:dyDescent="0.2"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O151" s="30"/>
      <c r="EM151" s="215">
        <f t="shared" si="68"/>
        <v>0</v>
      </c>
    </row>
    <row r="152" spans="27:143" ht="12.75" x14ac:dyDescent="0.2"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O152" s="30"/>
      <c r="EM152" s="215">
        <f t="shared" si="68"/>
        <v>0</v>
      </c>
    </row>
    <row r="153" spans="27:143" ht="12.75" x14ac:dyDescent="0.2"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O153" s="30"/>
      <c r="EM153" s="215">
        <f t="shared" si="68"/>
        <v>0</v>
      </c>
    </row>
    <row r="154" spans="27:143" ht="12.75" x14ac:dyDescent="0.2"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O154" s="30"/>
      <c r="EM154" s="215">
        <f t="shared" si="68"/>
        <v>0</v>
      </c>
    </row>
    <row r="155" spans="27:143" ht="12.75" x14ac:dyDescent="0.2"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O155" s="30"/>
      <c r="EM155" s="215">
        <f t="shared" si="68"/>
        <v>0</v>
      </c>
    </row>
    <row r="156" spans="27:143" ht="12.75" x14ac:dyDescent="0.2"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O156" s="30"/>
      <c r="EM156" s="215">
        <f t="shared" si="68"/>
        <v>0</v>
      </c>
    </row>
    <row r="157" spans="27:143" ht="12.75" x14ac:dyDescent="0.2"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O157" s="30"/>
      <c r="EM157" s="215">
        <f t="shared" si="68"/>
        <v>0</v>
      </c>
    </row>
    <row r="158" spans="27:143" ht="12.75" x14ac:dyDescent="0.2"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O158" s="30"/>
      <c r="EM158" s="215">
        <f t="shared" si="68"/>
        <v>0</v>
      </c>
    </row>
    <row r="159" spans="27:143" ht="12.75" x14ac:dyDescent="0.2"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O159" s="30"/>
      <c r="EM159" s="215">
        <f t="shared" si="68"/>
        <v>0</v>
      </c>
    </row>
    <row r="160" spans="27:143" ht="12.75" x14ac:dyDescent="0.2"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O160" s="30"/>
      <c r="EM160" s="215">
        <f t="shared" si="68"/>
        <v>0</v>
      </c>
    </row>
    <row r="161" spans="27:143" ht="12.75" x14ac:dyDescent="0.2"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O161" s="30"/>
      <c r="EM161" s="215">
        <f t="shared" si="68"/>
        <v>0</v>
      </c>
    </row>
    <row r="162" spans="27:143" ht="12.75" x14ac:dyDescent="0.2"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O162" s="30"/>
      <c r="EM162" s="215">
        <f t="shared" si="68"/>
        <v>0</v>
      </c>
    </row>
    <row r="163" spans="27:143" ht="12.75" x14ac:dyDescent="0.2"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O163" s="30"/>
      <c r="EM163" s="215">
        <f t="shared" si="68"/>
        <v>0</v>
      </c>
    </row>
    <row r="164" spans="27:143" ht="12.75" x14ac:dyDescent="0.2"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O164" s="30"/>
      <c r="EM164" s="215">
        <f t="shared" si="68"/>
        <v>0</v>
      </c>
    </row>
    <row r="165" spans="27:143" ht="12.75" x14ac:dyDescent="0.2"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O165" s="30"/>
      <c r="EM165" s="215">
        <f t="shared" si="68"/>
        <v>0</v>
      </c>
    </row>
    <row r="166" spans="27:143" ht="12.75" x14ac:dyDescent="0.2"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O166" s="30"/>
      <c r="EM166" s="215">
        <f t="shared" si="68"/>
        <v>0</v>
      </c>
    </row>
    <row r="167" spans="27:143" ht="12.75" x14ac:dyDescent="0.2"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O167" s="30"/>
      <c r="EM167" s="215">
        <f t="shared" si="68"/>
        <v>0</v>
      </c>
    </row>
    <row r="168" spans="27:143" ht="12.75" x14ac:dyDescent="0.2"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O168" s="30"/>
      <c r="EM168" s="215">
        <f t="shared" si="68"/>
        <v>0</v>
      </c>
    </row>
    <row r="169" spans="27:143" ht="12.75" x14ac:dyDescent="0.2"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O169" s="30"/>
      <c r="EM169" s="215">
        <f t="shared" si="68"/>
        <v>0</v>
      </c>
    </row>
    <row r="170" spans="27:143" ht="12.75" x14ac:dyDescent="0.2"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O170" s="30"/>
      <c r="EM170" s="215">
        <f t="shared" si="68"/>
        <v>0</v>
      </c>
    </row>
    <row r="171" spans="27:143" ht="12.75" x14ac:dyDescent="0.2"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O171" s="30"/>
      <c r="EM171" s="215">
        <f t="shared" si="68"/>
        <v>0</v>
      </c>
    </row>
    <row r="172" spans="27:143" ht="12.75" x14ac:dyDescent="0.2"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O172" s="30"/>
      <c r="EM172" s="215">
        <f t="shared" si="68"/>
        <v>0</v>
      </c>
    </row>
    <row r="173" spans="27:143" ht="12.75" x14ac:dyDescent="0.2"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O173" s="30"/>
      <c r="EM173" s="215">
        <f t="shared" si="68"/>
        <v>0</v>
      </c>
    </row>
    <row r="174" spans="27:143" ht="12.75" x14ac:dyDescent="0.2"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O174" s="30"/>
      <c r="EM174" s="215">
        <f t="shared" si="68"/>
        <v>0</v>
      </c>
    </row>
    <row r="175" spans="27:143" ht="12.75" x14ac:dyDescent="0.2"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O175" s="30"/>
      <c r="EM175" s="215">
        <f t="shared" si="68"/>
        <v>0</v>
      </c>
    </row>
    <row r="176" spans="27:143" ht="12.75" x14ac:dyDescent="0.2"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O176" s="30"/>
      <c r="EM176" s="215">
        <f t="shared" si="68"/>
        <v>0</v>
      </c>
    </row>
    <row r="177" spans="27:143" ht="12.75" x14ac:dyDescent="0.2"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O177" s="30"/>
      <c r="EM177" s="215">
        <f t="shared" si="68"/>
        <v>0</v>
      </c>
    </row>
    <row r="178" spans="27:143" ht="12.75" x14ac:dyDescent="0.2"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O178" s="30"/>
      <c r="EM178" s="215">
        <f t="shared" si="68"/>
        <v>0</v>
      </c>
    </row>
    <row r="179" spans="27:143" ht="12.75" x14ac:dyDescent="0.2"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O179" s="30"/>
      <c r="EM179" s="215">
        <f t="shared" si="68"/>
        <v>0</v>
      </c>
    </row>
    <row r="180" spans="27:143" ht="12.75" x14ac:dyDescent="0.2"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O180" s="30"/>
      <c r="EM180" s="215">
        <f t="shared" si="68"/>
        <v>0</v>
      </c>
    </row>
    <row r="181" spans="27:143" ht="12.75" x14ac:dyDescent="0.2"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O181" s="30"/>
      <c r="EM181" s="215">
        <f t="shared" si="68"/>
        <v>0</v>
      </c>
    </row>
    <row r="182" spans="27:143" ht="12.75" x14ac:dyDescent="0.2"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O182" s="30"/>
      <c r="EM182" s="215">
        <f t="shared" si="68"/>
        <v>0</v>
      </c>
    </row>
    <row r="183" spans="27:143" ht="12.75" x14ac:dyDescent="0.2"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O183" s="30"/>
      <c r="EM183" s="215">
        <f t="shared" si="68"/>
        <v>0</v>
      </c>
    </row>
    <row r="184" spans="27:143" ht="12.75" x14ac:dyDescent="0.2"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O184" s="30"/>
      <c r="EM184" s="215">
        <f t="shared" si="68"/>
        <v>0</v>
      </c>
    </row>
    <row r="185" spans="27:143" ht="12.75" x14ac:dyDescent="0.2"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O185" s="30"/>
    </row>
    <row r="186" spans="27:143" ht="12.75" x14ac:dyDescent="0.2"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O186" s="30"/>
    </row>
    <row r="187" spans="27:143" ht="12.75" x14ac:dyDescent="0.2"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O187" s="30"/>
    </row>
    <row r="188" spans="27:143" ht="12.75" x14ac:dyDescent="0.2"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O188" s="30"/>
    </row>
    <row r="189" spans="27:143" ht="12.75" x14ac:dyDescent="0.2"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O189" s="30"/>
    </row>
    <row r="190" spans="27:143" ht="12.75" x14ac:dyDescent="0.2"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O190" s="30"/>
    </row>
    <row r="191" spans="27:143" ht="12.75" x14ac:dyDescent="0.2"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O191" s="30"/>
    </row>
    <row r="192" spans="27:143" ht="12.75" x14ac:dyDescent="0.2"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O192" s="30"/>
    </row>
    <row r="193" spans="27:93" ht="12.75" x14ac:dyDescent="0.2"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O193" s="30"/>
    </row>
    <row r="194" spans="27:93" ht="12.75" x14ac:dyDescent="0.2"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O194" s="30"/>
    </row>
    <row r="195" spans="27:93" ht="12.75" x14ac:dyDescent="0.2"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O195" s="30"/>
    </row>
    <row r="196" spans="27:93" ht="12.75" x14ac:dyDescent="0.2"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O196" s="30"/>
    </row>
    <row r="197" spans="27:93" ht="12.75" x14ac:dyDescent="0.2"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O197" s="30"/>
    </row>
    <row r="198" spans="27:93" ht="12.75" x14ac:dyDescent="0.2"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O198" s="30"/>
    </row>
    <row r="199" spans="27:93" ht="12.75" x14ac:dyDescent="0.2"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O199" s="30"/>
    </row>
    <row r="200" spans="27:93" ht="12.75" x14ac:dyDescent="0.2"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O200" s="30"/>
    </row>
    <row r="201" spans="27:93" ht="12.75" x14ac:dyDescent="0.2"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O201" s="30"/>
    </row>
    <row r="202" spans="27:93" ht="12.75" x14ac:dyDescent="0.2"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O202" s="30"/>
    </row>
    <row r="203" spans="27:93" ht="12.75" x14ac:dyDescent="0.2"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O203" s="30"/>
    </row>
    <row r="204" spans="27:93" ht="12.75" x14ac:dyDescent="0.2"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O204" s="30"/>
    </row>
    <row r="205" spans="27:93" ht="12.75" x14ac:dyDescent="0.2"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O205" s="30"/>
    </row>
    <row r="206" spans="27:93" ht="12.75" x14ac:dyDescent="0.2"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O206" s="30"/>
    </row>
    <row r="207" spans="27:93" ht="12.75" x14ac:dyDescent="0.2"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O207" s="30"/>
    </row>
    <row r="208" spans="27:93" ht="12.75" x14ac:dyDescent="0.2"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O208" s="30"/>
    </row>
    <row r="209" spans="27:93" ht="12.75" x14ac:dyDescent="0.2"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O209" s="30"/>
    </row>
    <row r="210" spans="27:93" ht="12.75" x14ac:dyDescent="0.2"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O210" s="30"/>
    </row>
    <row r="211" spans="27:93" ht="12.75" x14ac:dyDescent="0.2"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O211" s="30"/>
    </row>
    <row r="212" spans="27:93" ht="12.75" x14ac:dyDescent="0.2"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O212" s="30"/>
    </row>
    <row r="213" spans="27:93" ht="12.75" x14ac:dyDescent="0.2"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O213" s="30"/>
    </row>
    <row r="214" spans="27:93" ht="12.75" x14ac:dyDescent="0.2"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O214" s="30"/>
    </row>
    <row r="215" spans="27:93" ht="12.75" x14ac:dyDescent="0.2"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O215" s="30"/>
    </row>
    <row r="216" spans="27:93" ht="12.75" x14ac:dyDescent="0.2"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O216" s="30"/>
    </row>
    <row r="217" spans="27:93" ht="12.75" x14ac:dyDescent="0.2"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O217" s="30"/>
    </row>
    <row r="218" spans="27:93" ht="12.75" x14ac:dyDescent="0.2"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O218" s="30"/>
    </row>
    <row r="219" spans="27:93" ht="12.75" x14ac:dyDescent="0.2"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O219" s="30"/>
    </row>
    <row r="220" spans="27:93" ht="12.75" x14ac:dyDescent="0.2"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O220" s="30"/>
    </row>
    <row r="221" spans="27:93" ht="12.75" x14ac:dyDescent="0.2"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O221" s="30"/>
    </row>
    <row r="222" spans="27:93" ht="12.75" x14ac:dyDescent="0.2"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O222" s="30"/>
    </row>
    <row r="223" spans="27:93" ht="12.75" x14ac:dyDescent="0.2"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O223" s="30"/>
    </row>
    <row r="224" spans="27:93" ht="12.75" x14ac:dyDescent="0.2"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O224" s="30"/>
    </row>
    <row r="225" spans="27:93" ht="12.75" x14ac:dyDescent="0.2"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O225" s="30"/>
    </row>
    <row r="226" spans="27:93" ht="12.75" x14ac:dyDescent="0.2"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O226" s="30"/>
    </row>
    <row r="227" spans="27:93" ht="12.75" x14ac:dyDescent="0.2"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O227" s="30"/>
    </row>
    <row r="228" spans="27:93" ht="12.75" x14ac:dyDescent="0.2"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O228" s="30"/>
    </row>
    <row r="229" spans="27:93" ht="12.75" x14ac:dyDescent="0.2"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O229" s="30"/>
    </row>
    <row r="230" spans="27:93" ht="12.75" x14ac:dyDescent="0.2"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O230" s="30"/>
    </row>
    <row r="231" spans="27:93" ht="12.75" x14ac:dyDescent="0.2"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O231" s="30"/>
    </row>
    <row r="232" spans="27:93" ht="12.75" x14ac:dyDescent="0.2"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O232" s="30"/>
    </row>
    <row r="233" spans="27:93" ht="12.75" x14ac:dyDescent="0.2"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O233" s="30"/>
    </row>
    <row r="234" spans="27:93" ht="12.75" x14ac:dyDescent="0.2"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O234" s="30"/>
    </row>
    <row r="235" spans="27:93" ht="12.75" x14ac:dyDescent="0.2"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O235" s="30"/>
    </row>
    <row r="236" spans="27:93" ht="12.75" x14ac:dyDescent="0.2"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O236" s="30"/>
    </row>
    <row r="237" spans="27:93" ht="12.75" x14ac:dyDescent="0.2"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O237" s="30"/>
    </row>
    <row r="238" spans="27:93" ht="12.75" x14ac:dyDescent="0.2"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O238" s="30"/>
    </row>
    <row r="239" spans="27:93" ht="12.75" x14ac:dyDescent="0.2"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O239" s="30"/>
    </row>
    <row r="240" spans="27:93" ht="12.75" x14ac:dyDescent="0.2"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O240" s="30"/>
    </row>
    <row r="241" spans="27:93" ht="12.75" x14ac:dyDescent="0.2"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O241" s="30"/>
    </row>
    <row r="242" spans="27:93" ht="12.75" x14ac:dyDescent="0.2"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O242" s="30"/>
    </row>
    <row r="243" spans="27:93" ht="12.75" x14ac:dyDescent="0.2"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O243" s="30"/>
    </row>
    <row r="244" spans="27:93" ht="12.75" x14ac:dyDescent="0.2"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O244" s="30"/>
    </row>
    <row r="245" spans="27:93" ht="12.75" x14ac:dyDescent="0.2"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O245" s="30"/>
    </row>
    <row r="246" spans="27:93" ht="12.75" x14ac:dyDescent="0.2"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O246" s="30"/>
    </row>
    <row r="247" spans="27:93" ht="12.75" x14ac:dyDescent="0.2"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O247" s="30"/>
    </row>
    <row r="248" spans="27:93" ht="12.75" x14ac:dyDescent="0.2"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O248" s="30"/>
    </row>
    <row r="249" spans="27:93" ht="12.75" x14ac:dyDescent="0.2"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O249" s="30"/>
    </row>
    <row r="250" spans="27:93" ht="12.75" x14ac:dyDescent="0.2"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O250" s="30"/>
    </row>
    <row r="251" spans="27:93" ht="12.75" x14ac:dyDescent="0.2"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O251" s="30"/>
    </row>
    <row r="252" spans="27:93" ht="12.75" x14ac:dyDescent="0.2"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O252" s="30"/>
    </row>
    <row r="253" spans="27:93" ht="12.75" x14ac:dyDescent="0.2"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O253" s="30"/>
    </row>
    <row r="254" spans="27:93" ht="12.75" x14ac:dyDescent="0.2"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O254" s="30"/>
    </row>
    <row r="255" spans="27:93" ht="12.75" x14ac:dyDescent="0.2"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O255" s="30"/>
    </row>
    <row r="256" spans="27:93" ht="12.75" x14ac:dyDescent="0.2"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O256" s="30"/>
    </row>
    <row r="257" spans="27:93" ht="12.75" x14ac:dyDescent="0.2"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O257" s="30"/>
    </row>
    <row r="258" spans="27:93" ht="12.75" x14ac:dyDescent="0.2"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  <c r="BX258" s="23"/>
      <c r="BY258" s="23"/>
      <c r="BZ258" s="23"/>
      <c r="CA258" s="23"/>
      <c r="CB258" s="23"/>
      <c r="CC258" s="23"/>
      <c r="CD258" s="23"/>
      <c r="CE258" s="23"/>
      <c r="CF258" s="23"/>
      <c r="CG258" s="23"/>
      <c r="CH258" s="23"/>
      <c r="CI258" s="23"/>
      <c r="CJ258" s="23"/>
      <c r="CK258" s="23"/>
      <c r="CL258" s="23"/>
      <c r="CO258" s="30"/>
    </row>
    <row r="259" spans="27:93" ht="12.75" x14ac:dyDescent="0.2"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3"/>
      <c r="CB259" s="23"/>
      <c r="CC259" s="23"/>
      <c r="CD259" s="23"/>
      <c r="CE259" s="23"/>
      <c r="CF259" s="23"/>
      <c r="CG259" s="23"/>
      <c r="CH259" s="23"/>
      <c r="CI259" s="23"/>
      <c r="CJ259" s="23"/>
      <c r="CK259" s="23"/>
      <c r="CL259" s="23"/>
      <c r="CO259" s="30"/>
    </row>
    <row r="260" spans="27:93" ht="12.75" x14ac:dyDescent="0.2"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O260" s="30"/>
    </row>
    <row r="261" spans="27:93" ht="12.75" x14ac:dyDescent="0.2"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  <c r="BV261" s="23"/>
      <c r="BW261" s="23"/>
      <c r="BX261" s="23"/>
      <c r="BY261" s="23"/>
      <c r="BZ261" s="23"/>
      <c r="CA261" s="23"/>
      <c r="CB261" s="23"/>
      <c r="CC261" s="23"/>
      <c r="CD261" s="23"/>
      <c r="CE261" s="23"/>
      <c r="CF261" s="23"/>
      <c r="CG261" s="23"/>
      <c r="CH261" s="23"/>
      <c r="CI261" s="23"/>
      <c r="CJ261" s="23"/>
      <c r="CK261" s="23"/>
      <c r="CL261" s="23"/>
      <c r="CO261" s="30"/>
    </row>
    <row r="262" spans="27:93" ht="12.75" x14ac:dyDescent="0.2"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  <c r="BX262" s="23"/>
      <c r="BY262" s="23"/>
      <c r="BZ262" s="23"/>
      <c r="CA262" s="23"/>
      <c r="CB262" s="23"/>
      <c r="CC262" s="23"/>
      <c r="CD262" s="23"/>
      <c r="CE262" s="23"/>
      <c r="CF262" s="23"/>
      <c r="CG262" s="23"/>
      <c r="CH262" s="23"/>
      <c r="CI262" s="23"/>
      <c r="CJ262" s="23"/>
      <c r="CK262" s="23"/>
      <c r="CL262" s="23"/>
      <c r="CO262" s="30"/>
    </row>
    <row r="263" spans="27:93" ht="12.75" x14ac:dyDescent="0.2"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3"/>
      <c r="CB263" s="23"/>
      <c r="CC263" s="23"/>
      <c r="CD263" s="23"/>
      <c r="CE263" s="23"/>
      <c r="CF263" s="23"/>
      <c r="CG263" s="23"/>
      <c r="CH263" s="23"/>
      <c r="CI263" s="23"/>
      <c r="CJ263" s="23"/>
      <c r="CK263" s="23"/>
      <c r="CL263" s="23"/>
      <c r="CO263" s="30"/>
    </row>
    <row r="264" spans="27:93" ht="12.75" x14ac:dyDescent="0.2"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3"/>
      <c r="CA264" s="23"/>
      <c r="CB264" s="23"/>
      <c r="CC264" s="23"/>
      <c r="CD264" s="23"/>
      <c r="CE264" s="23"/>
      <c r="CF264" s="23"/>
      <c r="CG264" s="23"/>
      <c r="CH264" s="23"/>
      <c r="CI264" s="23"/>
      <c r="CJ264" s="23"/>
      <c r="CK264" s="23"/>
      <c r="CL264" s="23"/>
      <c r="CO264" s="30"/>
    </row>
    <row r="265" spans="27:93" ht="12.75" x14ac:dyDescent="0.2"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3"/>
      <c r="CA265" s="23"/>
      <c r="CB265" s="23"/>
      <c r="CC265" s="23"/>
      <c r="CD265" s="23"/>
      <c r="CE265" s="23"/>
      <c r="CF265" s="23"/>
      <c r="CG265" s="23"/>
      <c r="CH265" s="23"/>
      <c r="CI265" s="23"/>
      <c r="CJ265" s="23"/>
      <c r="CK265" s="23"/>
      <c r="CL265" s="23"/>
      <c r="CO265" s="30"/>
    </row>
    <row r="266" spans="27:93" ht="12.75" x14ac:dyDescent="0.2"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3"/>
      <c r="CB266" s="23"/>
      <c r="CC266" s="23"/>
      <c r="CD266" s="23"/>
      <c r="CE266" s="23"/>
      <c r="CF266" s="23"/>
      <c r="CG266" s="23"/>
      <c r="CH266" s="23"/>
      <c r="CI266" s="23"/>
      <c r="CJ266" s="23"/>
      <c r="CK266" s="23"/>
      <c r="CL266" s="23"/>
      <c r="CO266" s="30"/>
    </row>
    <row r="267" spans="27:93" ht="12.75" x14ac:dyDescent="0.2"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3"/>
      <c r="CA267" s="23"/>
      <c r="CB267" s="23"/>
      <c r="CC267" s="23"/>
      <c r="CD267" s="23"/>
      <c r="CE267" s="23"/>
      <c r="CF267" s="23"/>
      <c r="CG267" s="23"/>
      <c r="CH267" s="23"/>
      <c r="CI267" s="23"/>
      <c r="CJ267" s="23"/>
      <c r="CK267" s="23"/>
      <c r="CL267" s="23"/>
      <c r="CO267" s="30"/>
    </row>
    <row r="268" spans="27:93" ht="12.75" x14ac:dyDescent="0.2"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  <c r="BX268" s="23"/>
      <c r="BY268" s="23"/>
      <c r="BZ268" s="23"/>
      <c r="CA268" s="23"/>
      <c r="CB268" s="23"/>
      <c r="CC268" s="23"/>
      <c r="CD268" s="23"/>
      <c r="CE268" s="23"/>
      <c r="CF268" s="23"/>
      <c r="CG268" s="23"/>
      <c r="CH268" s="23"/>
      <c r="CI268" s="23"/>
      <c r="CJ268" s="23"/>
      <c r="CK268" s="23"/>
      <c r="CL268" s="23"/>
      <c r="CO268" s="30"/>
    </row>
    <row r="269" spans="27:93" ht="12.75" x14ac:dyDescent="0.2"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23"/>
      <c r="BY269" s="23"/>
      <c r="BZ269" s="23"/>
      <c r="CA269" s="23"/>
      <c r="CB269" s="23"/>
      <c r="CC269" s="23"/>
      <c r="CD269" s="23"/>
      <c r="CE269" s="23"/>
      <c r="CF269" s="23"/>
      <c r="CG269" s="23"/>
      <c r="CH269" s="23"/>
      <c r="CI269" s="23"/>
      <c r="CJ269" s="23"/>
      <c r="CK269" s="23"/>
      <c r="CL269" s="23"/>
      <c r="CO269" s="30"/>
    </row>
    <row r="270" spans="27:93" ht="12.75" x14ac:dyDescent="0.2"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23"/>
      <c r="BY270" s="23"/>
      <c r="BZ270" s="23"/>
      <c r="CA270" s="23"/>
      <c r="CB270" s="23"/>
      <c r="CC270" s="23"/>
      <c r="CD270" s="23"/>
      <c r="CE270" s="23"/>
      <c r="CF270" s="23"/>
      <c r="CG270" s="23"/>
      <c r="CH270" s="23"/>
      <c r="CI270" s="23"/>
      <c r="CJ270" s="23"/>
      <c r="CK270" s="23"/>
      <c r="CL270" s="23"/>
      <c r="CO270" s="30"/>
    </row>
    <row r="271" spans="27:93" ht="12.75" x14ac:dyDescent="0.2"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  <c r="BX271" s="23"/>
      <c r="BY271" s="23"/>
      <c r="BZ271" s="23"/>
      <c r="CA271" s="23"/>
      <c r="CB271" s="23"/>
      <c r="CC271" s="23"/>
      <c r="CD271" s="23"/>
      <c r="CE271" s="23"/>
      <c r="CF271" s="23"/>
      <c r="CG271" s="23"/>
      <c r="CH271" s="23"/>
      <c r="CI271" s="23"/>
      <c r="CJ271" s="23"/>
      <c r="CK271" s="23"/>
      <c r="CL271" s="23"/>
      <c r="CO271" s="30"/>
    </row>
    <row r="272" spans="27:93" ht="12.75" x14ac:dyDescent="0.2"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  <c r="CB272" s="23"/>
      <c r="CC272" s="23"/>
      <c r="CD272" s="23"/>
      <c r="CE272" s="23"/>
      <c r="CF272" s="23"/>
      <c r="CG272" s="23"/>
      <c r="CH272" s="23"/>
      <c r="CI272" s="23"/>
      <c r="CJ272" s="23"/>
      <c r="CK272" s="23"/>
      <c r="CL272" s="23"/>
      <c r="CO272" s="30"/>
    </row>
    <row r="273" spans="27:93" ht="12.75" x14ac:dyDescent="0.2"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3"/>
      <c r="CB273" s="23"/>
      <c r="CC273" s="23"/>
      <c r="CD273" s="23"/>
      <c r="CE273" s="23"/>
      <c r="CF273" s="23"/>
      <c r="CG273" s="23"/>
      <c r="CH273" s="23"/>
      <c r="CI273" s="23"/>
      <c r="CJ273" s="23"/>
      <c r="CK273" s="23"/>
      <c r="CL273" s="23"/>
      <c r="CO273" s="30"/>
    </row>
    <row r="274" spans="27:93" ht="12.75" x14ac:dyDescent="0.2"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  <c r="CK274" s="23"/>
      <c r="CL274" s="23"/>
      <c r="CO274" s="30"/>
    </row>
    <row r="275" spans="27:93" ht="12.75" x14ac:dyDescent="0.2"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23"/>
      <c r="CF275" s="23"/>
      <c r="CG275" s="23"/>
      <c r="CH275" s="23"/>
      <c r="CI275" s="23"/>
      <c r="CJ275" s="23"/>
      <c r="CK275" s="23"/>
      <c r="CL275" s="23"/>
      <c r="CO275" s="30"/>
    </row>
    <row r="276" spans="27:93" ht="12.75" x14ac:dyDescent="0.2"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23"/>
      <c r="CF276" s="23"/>
      <c r="CG276" s="23"/>
      <c r="CH276" s="23"/>
      <c r="CI276" s="23"/>
      <c r="CJ276" s="23"/>
      <c r="CK276" s="23"/>
      <c r="CL276" s="23"/>
      <c r="CO276" s="30"/>
    </row>
    <row r="277" spans="27:93" ht="12.75" x14ac:dyDescent="0.2"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O277" s="30"/>
    </row>
    <row r="278" spans="27:93" ht="12.75" x14ac:dyDescent="0.2"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23"/>
      <c r="CI278" s="23"/>
      <c r="CJ278" s="23"/>
      <c r="CK278" s="23"/>
      <c r="CL278" s="23"/>
      <c r="CO278" s="30"/>
    </row>
    <row r="279" spans="27:93" ht="12.75" x14ac:dyDescent="0.2"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23"/>
      <c r="CF279" s="23"/>
      <c r="CG279" s="23"/>
      <c r="CH279" s="23"/>
      <c r="CI279" s="23"/>
      <c r="CJ279" s="23"/>
      <c r="CK279" s="23"/>
      <c r="CL279" s="23"/>
      <c r="CO279" s="30"/>
    </row>
    <row r="280" spans="27:93" ht="12.75" x14ac:dyDescent="0.2"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O280" s="30"/>
    </row>
    <row r="281" spans="27:93" ht="12.75" x14ac:dyDescent="0.2"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3"/>
      <c r="CA281" s="23"/>
      <c r="CB281" s="23"/>
      <c r="CC281" s="23"/>
      <c r="CD281" s="23"/>
      <c r="CE281" s="23"/>
      <c r="CF281" s="23"/>
      <c r="CG281" s="23"/>
      <c r="CH281" s="23"/>
      <c r="CI281" s="23"/>
      <c r="CJ281" s="23"/>
      <c r="CK281" s="23"/>
      <c r="CL281" s="23"/>
      <c r="CO281" s="30"/>
    </row>
    <row r="282" spans="27:93" ht="12.75" x14ac:dyDescent="0.2"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3"/>
      <c r="CA282" s="23"/>
      <c r="CB282" s="23"/>
      <c r="CC282" s="23"/>
      <c r="CD282" s="23"/>
      <c r="CE282" s="23"/>
      <c r="CF282" s="23"/>
      <c r="CG282" s="23"/>
      <c r="CH282" s="23"/>
      <c r="CI282" s="23"/>
      <c r="CJ282" s="23"/>
      <c r="CK282" s="23"/>
      <c r="CL282" s="23"/>
      <c r="CO282" s="30"/>
    </row>
    <row r="283" spans="27:93" ht="12.75" x14ac:dyDescent="0.2"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3"/>
      <c r="CF283" s="23"/>
      <c r="CG283" s="23"/>
      <c r="CH283" s="23"/>
      <c r="CI283" s="23"/>
      <c r="CJ283" s="23"/>
      <c r="CK283" s="23"/>
      <c r="CL283" s="23"/>
      <c r="CO283" s="30"/>
    </row>
    <row r="284" spans="27:93" ht="12.75" x14ac:dyDescent="0.2"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  <c r="CB284" s="23"/>
      <c r="CC284" s="23"/>
      <c r="CD284" s="23"/>
      <c r="CE284" s="23"/>
      <c r="CF284" s="23"/>
      <c r="CG284" s="23"/>
      <c r="CH284" s="23"/>
      <c r="CI284" s="23"/>
      <c r="CJ284" s="23"/>
      <c r="CK284" s="23"/>
      <c r="CL284" s="23"/>
      <c r="CO284" s="30"/>
    </row>
    <row r="285" spans="27:93" ht="12.75" x14ac:dyDescent="0.2"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  <c r="CB285" s="23"/>
      <c r="CC285" s="23"/>
      <c r="CD285" s="23"/>
      <c r="CE285" s="23"/>
      <c r="CF285" s="23"/>
      <c r="CG285" s="23"/>
      <c r="CH285" s="23"/>
      <c r="CI285" s="23"/>
      <c r="CJ285" s="23"/>
      <c r="CK285" s="23"/>
      <c r="CL285" s="23"/>
      <c r="CO285" s="30"/>
    </row>
    <row r="286" spans="27:93" ht="12.75" x14ac:dyDescent="0.2"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O286" s="30"/>
    </row>
    <row r="287" spans="27:93" ht="12.75" x14ac:dyDescent="0.2"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/>
      <c r="CA287" s="23"/>
      <c r="CB287" s="23"/>
      <c r="CC287" s="23"/>
      <c r="CD287" s="23"/>
      <c r="CE287" s="23"/>
      <c r="CF287" s="23"/>
      <c r="CG287" s="23"/>
      <c r="CH287" s="23"/>
      <c r="CI287" s="23"/>
      <c r="CJ287" s="23"/>
      <c r="CK287" s="23"/>
      <c r="CL287" s="23"/>
      <c r="CO287" s="30"/>
    </row>
    <row r="288" spans="27:93" ht="12.75" x14ac:dyDescent="0.2"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23"/>
      <c r="CF288" s="23"/>
      <c r="CG288" s="23"/>
      <c r="CH288" s="23"/>
      <c r="CI288" s="23"/>
      <c r="CJ288" s="23"/>
      <c r="CK288" s="23"/>
      <c r="CL288" s="23"/>
      <c r="CO288" s="30"/>
    </row>
    <row r="289" spans="27:93" ht="12.75" x14ac:dyDescent="0.2"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23"/>
      <c r="CA289" s="23"/>
      <c r="CB289" s="23"/>
      <c r="CC289" s="23"/>
      <c r="CD289" s="23"/>
      <c r="CE289" s="23"/>
      <c r="CF289" s="23"/>
      <c r="CG289" s="23"/>
      <c r="CH289" s="23"/>
      <c r="CI289" s="23"/>
      <c r="CJ289" s="23"/>
      <c r="CK289" s="23"/>
      <c r="CL289" s="23"/>
      <c r="CO289" s="30"/>
    </row>
    <row r="290" spans="27:93" ht="12.75" x14ac:dyDescent="0.2"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3"/>
      <c r="CA290" s="23"/>
      <c r="CB290" s="23"/>
      <c r="CC290" s="23"/>
      <c r="CD290" s="23"/>
      <c r="CE290" s="23"/>
      <c r="CF290" s="23"/>
      <c r="CG290" s="23"/>
      <c r="CH290" s="23"/>
      <c r="CI290" s="23"/>
      <c r="CJ290" s="23"/>
      <c r="CK290" s="23"/>
      <c r="CL290" s="23"/>
      <c r="CO290" s="30"/>
    </row>
    <row r="291" spans="27:93" ht="12.75" x14ac:dyDescent="0.2"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23"/>
      <c r="CF291" s="23"/>
      <c r="CG291" s="23"/>
      <c r="CH291" s="23"/>
      <c r="CI291" s="23"/>
      <c r="CJ291" s="23"/>
      <c r="CK291" s="23"/>
      <c r="CL291" s="23"/>
      <c r="CO291" s="30"/>
    </row>
    <row r="292" spans="27:93" ht="12.75" x14ac:dyDescent="0.2"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23"/>
      <c r="CI292" s="23"/>
      <c r="CJ292" s="23"/>
      <c r="CK292" s="23"/>
      <c r="CL292" s="23"/>
      <c r="CO292" s="30"/>
    </row>
    <row r="293" spans="27:93" ht="12.75" x14ac:dyDescent="0.2"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  <c r="CB293" s="23"/>
      <c r="CC293" s="23"/>
      <c r="CD293" s="23"/>
      <c r="CE293" s="23"/>
      <c r="CF293" s="23"/>
      <c r="CG293" s="23"/>
      <c r="CH293" s="23"/>
      <c r="CI293" s="23"/>
      <c r="CJ293" s="23"/>
      <c r="CK293" s="23"/>
      <c r="CL293" s="23"/>
      <c r="CO293" s="30"/>
    </row>
    <row r="294" spans="27:93" ht="12.75" x14ac:dyDescent="0.2"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BZ294" s="23"/>
      <c r="CA294" s="23"/>
      <c r="CB294" s="23"/>
      <c r="CC294" s="23"/>
      <c r="CD294" s="23"/>
      <c r="CE294" s="23"/>
      <c r="CF294" s="23"/>
      <c r="CG294" s="23"/>
      <c r="CH294" s="23"/>
      <c r="CI294" s="23"/>
      <c r="CJ294" s="23"/>
      <c r="CK294" s="23"/>
      <c r="CL294" s="23"/>
      <c r="CO294" s="30"/>
    </row>
    <row r="295" spans="27:93" ht="12.75" x14ac:dyDescent="0.2"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23"/>
      <c r="CC295" s="23"/>
      <c r="CD295" s="23"/>
      <c r="CE295" s="23"/>
      <c r="CF295" s="23"/>
      <c r="CG295" s="23"/>
      <c r="CH295" s="23"/>
      <c r="CI295" s="23"/>
      <c r="CJ295" s="23"/>
      <c r="CK295" s="23"/>
      <c r="CL295" s="23"/>
      <c r="CO295" s="30"/>
    </row>
    <row r="296" spans="27:93" ht="12.75" x14ac:dyDescent="0.2"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23"/>
      <c r="CF296" s="23"/>
      <c r="CG296" s="23"/>
      <c r="CH296" s="23"/>
      <c r="CI296" s="23"/>
      <c r="CJ296" s="23"/>
      <c r="CK296" s="23"/>
      <c r="CL296" s="23"/>
      <c r="CO296" s="30"/>
    </row>
    <row r="297" spans="27:93" ht="12.75" x14ac:dyDescent="0.2"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23"/>
      <c r="CF297" s="23"/>
      <c r="CG297" s="23"/>
      <c r="CH297" s="23"/>
      <c r="CI297" s="23"/>
      <c r="CJ297" s="23"/>
      <c r="CK297" s="23"/>
      <c r="CL297" s="23"/>
      <c r="CO297" s="30"/>
    </row>
    <row r="298" spans="27:93" ht="12.75" x14ac:dyDescent="0.2"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23"/>
      <c r="CE298" s="23"/>
      <c r="CF298" s="23"/>
      <c r="CG298" s="23"/>
      <c r="CH298" s="23"/>
      <c r="CI298" s="23"/>
      <c r="CJ298" s="23"/>
      <c r="CK298" s="23"/>
      <c r="CL298" s="23"/>
      <c r="CO298" s="30"/>
    </row>
    <row r="299" spans="27:93" ht="12.75" x14ac:dyDescent="0.2"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23"/>
      <c r="CC299" s="23"/>
      <c r="CD299" s="23"/>
      <c r="CE299" s="23"/>
      <c r="CF299" s="23"/>
      <c r="CG299" s="23"/>
      <c r="CH299" s="23"/>
      <c r="CI299" s="23"/>
      <c r="CJ299" s="23"/>
      <c r="CK299" s="23"/>
      <c r="CL299" s="23"/>
      <c r="CO299" s="30"/>
    </row>
    <row r="300" spans="27:93" ht="12.75" x14ac:dyDescent="0.2"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  <c r="CK300" s="23"/>
      <c r="CL300" s="23"/>
      <c r="CO300" s="30"/>
    </row>
    <row r="301" spans="27:93" ht="12.75" x14ac:dyDescent="0.2"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3"/>
      <c r="CA301" s="23"/>
      <c r="CB301" s="23"/>
      <c r="CC301" s="23"/>
      <c r="CD301" s="23"/>
      <c r="CE301" s="23"/>
      <c r="CF301" s="23"/>
      <c r="CG301" s="23"/>
      <c r="CH301" s="23"/>
      <c r="CI301" s="23"/>
      <c r="CJ301" s="23"/>
      <c r="CK301" s="23"/>
      <c r="CL301" s="23"/>
      <c r="CO301" s="30"/>
    </row>
    <row r="302" spans="27:93" ht="12.75" x14ac:dyDescent="0.2"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  <c r="CK302" s="23"/>
      <c r="CL302" s="23"/>
      <c r="CO302" s="30"/>
    </row>
    <row r="303" spans="27:93" ht="12.75" x14ac:dyDescent="0.2"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O303" s="30"/>
    </row>
    <row r="304" spans="27:93" ht="12.75" x14ac:dyDescent="0.2"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  <c r="CB304" s="23"/>
      <c r="CC304" s="23"/>
      <c r="CD304" s="23"/>
      <c r="CE304" s="23"/>
      <c r="CF304" s="23"/>
      <c r="CG304" s="23"/>
      <c r="CH304" s="23"/>
      <c r="CI304" s="23"/>
      <c r="CJ304" s="23"/>
      <c r="CK304" s="23"/>
      <c r="CL304" s="23"/>
      <c r="CO304" s="30"/>
    </row>
    <row r="305" spans="27:93" ht="12.75" x14ac:dyDescent="0.2"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3"/>
      <c r="CA305" s="23"/>
      <c r="CB305" s="23"/>
      <c r="CC305" s="23"/>
      <c r="CD305" s="23"/>
      <c r="CE305" s="23"/>
      <c r="CF305" s="23"/>
      <c r="CG305" s="23"/>
      <c r="CH305" s="23"/>
      <c r="CI305" s="23"/>
      <c r="CJ305" s="23"/>
      <c r="CK305" s="23"/>
      <c r="CL305" s="23"/>
      <c r="CO305" s="30"/>
    </row>
    <row r="306" spans="27:93" ht="12.75" x14ac:dyDescent="0.2"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  <c r="CK306" s="23"/>
      <c r="CL306" s="23"/>
      <c r="CO306" s="30"/>
    </row>
    <row r="307" spans="27:93" ht="12.75" x14ac:dyDescent="0.2"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3"/>
      <c r="CA307" s="23"/>
      <c r="CB307" s="23"/>
      <c r="CC307" s="23"/>
      <c r="CD307" s="23"/>
      <c r="CE307" s="23"/>
      <c r="CF307" s="23"/>
      <c r="CG307" s="23"/>
      <c r="CH307" s="23"/>
      <c r="CI307" s="23"/>
      <c r="CJ307" s="23"/>
      <c r="CK307" s="23"/>
      <c r="CL307" s="23"/>
      <c r="CO307" s="30"/>
    </row>
    <row r="308" spans="27:93" ht="12.75" x14ac:dyDescent="0.2"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3"/>
      <c r="CA308" s="23"/>
      <c r="CB308" s="23"/>
      <c r="CC308" s="23"/>
      <c r="CD308" s="23"/>
      <c r="CE308" s="23"/>
      <c r="CF308" s="23"/>
      <c r="CG308" s="23"/>
      <c r="CH308" s="23"/>
      <c r="CI308" s="23"/>
      <c r="CJ308" s="23"/>
      <c r="CK308" s="23"/>
      <c r="CL308" s="23"/>
      <c r="CO308" s="30"/>
    </row>
    <row r="309" spans="27:93" ht="12.75" x14ac:dyDescent="0.2"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O309" s="30"/>
    </row>
    <row r="310" spans="27:93" ht="12.75" x14ac:dyDescent="0.2"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/>
      <c r="CA310" s="23"/>
      <c r="CB310" s="23"/>
      <c r="CC310" s="23"/>
      <c r="CD310" s="23"/>
      <c r="CE310" s="23"/>
      <c r="CF310" s="23"/>
      <c r="CG310" s="23"/>
      <c r="CH310" s="23"/>
      <c r="CI310" s="23"/>
      <c r="CJ310" s="23"/>
      <c r="CK310" s="23"/>
      <c r="CL310" s="23"/>
      <c r="CO310" s="30"/>
    </row>
    <row r="311" spans="27:93" ht="12.75" x14ac:dyDescent="0.2"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  <c r="CB311" s="23"/>
      <c r="CC311" s="23"/>
      <c r="CD311" s="23"/>
      <c r="CE311" s="23"/>
      <c r="CF311" s="23"/>
      <c r="CG311" s="23"/>
      <c r="CH311" s="23"/>
      <c r="CI311" s="23"/>
      <c r="CJ311" s="23"/>
      <c r="CK311" s="23"/>
      <c r="CL311" s="23"/>
      <c r="CO311" s="30"/>
    </row>
    <row r="312" spans="27:93" ht="12.75" x14ac:dyDescent="0.2"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O312" s="30"/>
    </row>
    <row r="313" spans="27:93" ht="12.75" x14ac:dyDescent="0.2"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3"/>
      <c r="CA313" s="23"/>
      <c r="CB313" s="23"/>
      <c r="CC313" s="23"/>
      <c r="CD313" s="23"/>
      <c r="CE313" s="23"/>
      <c r="CF313" s="23"/>
      <c r="CG313" s="23"/>
      <c r="CH313" s="23"/>
      <c r="CI313" s="23"/>
      <c r="CJ313" s="23"/>
      <c r="CK313" s="23"/>
      <c r="CL313" s="23"/>
      <c r="CO313" s="30"/>
    </row>
    <row r="314" spans="27:93" ht="12.75" x14ac:dyDescent="0.2"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  <c r="BX314" s="23"/>
      <c r="BY314" s="23"/>
      <c r="BZ314" s="23"/>
      <c r="CA314" s="23"/>
      <c r="CB314" s="23"/>
      <c r="CC314" s="23"/>
      <c r="CD314" s="23"/>
      <c r="CE314" s="23"/>
      <c r="CF314" s="23"/>
      <c r="CG314" s="23"/>
      <c r="CH314" s="23"/>
      <c r="CI314" s="23"/>
      <c r="CJ314" s="23"/>
      <c r="CK314" s="23"/>
      <c r="CL314" s="23"/>
      <c r="CO314" s="30"/>
    </row>
    <row r="315" spans="27:93" ht="12.75" x14ac:dyDescent="0.2"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  <c r="BX315" s="23"/>
      <c r="BY315" s="23"/>
      <c r="BZ315" s="23"/>
      <c r="CA315" s="23"/>
      <c r="CB315" s="23"/>
      <c r="CC315" s="23"/>
      <c r="CD315" s="23"/>
      <c r="CE315" s="23"/>
      <c r="CF315" s="23"/>
      <c r="CG315" s="23"/>
      <c r="CH315" s="23"/>
      <c r="CI315" s="23"/>
      <c r="CJ315" s="23"/>
      <c r="CK315" s="23"/>
      <c r="CL315" s="23"/>
      <c r="CO315" s="30"/>
    </row>
    <row r="316" spans="27:93" ht="12.75" x14ac:dyDescent="0.2"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  <c r="BX316" s="23"/>
      <c r="BY316" s="23"/>
      <c r="BZ316" s="23"/>
      <c r="CA316" s="23"/>
      <c r="CB316" s="23"/>
      <c r="CC316" s="23"/>
      <c r="CD316" s="23"/>
      <c r="CE316" s="23"/>
      <c r="CF316" s="23"/>
      <c r="CG316" s="23"/>
      <c r="CH316" s="23"/>
      <c r="CI316" s="23"/>
      <c r="CJ316" s="23"/>
      <c r="CK316" s="23"/>
      <c r="CL316" s="23"/>
      <c r="CO316" s="30"/>
    </row>
    <row r="317" spans="27:93" ht="12.75" x14ac:dyDescent="0.2"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  <c r="BU317" s="23"/>
      <c r="BV317" s="23"/>
      <c r="BW317" s="23"/>
      <c r="BX317" s="23"/>
      <c r="BY317" s="23"/>
      <c r="BZ317" s="23"/>
      <c r="CA317" s="23"/>
      <c r="CB317" s="23"/>
      <c r="CC317" s="23"/>
      <c r="CD317" s="23"/>
      <c r="CE317" s="23"/>
      <c r="CF317" s="23"/>
      <c r="CG317" s="23"/>
      <c r="CH317" s="23"/>
      <c r="CI317" s="23"/>
      <c r="CJ317" s="23"/>
      <c r="CK317" s="23"/>
      <c r="CL317" s="23"/>
      <c r="CO317" s="30"/>
    </row>
    <row r="318" spans="27:93" ht="12.75" x14ac:dyDescent="0.2"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  <c r="CK318" s="23"/>
      <c r="CL318" s="23"/>
      <c r="CO318" s="30"/>
    </row>
    <row r="319" spans="27:93" ht="12.75" x14ac:dyDescent="0.2"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3"/>
      <c r="CD319" s="23"/>
      <c r="CE319" s="23"/>
      <c r="CF319" s="23"/>
      <c r="CG319" s="23"/>
      <c r="CH319" s="23"/>
      <c r="CI319" s="23"/>
      <c r="CJ319" s="23"/>
      <c r="CK319" s="23"/>
      <c r="CL319" s="23"/>
      <c r="CO319" s="30"/>
    </row>
    <row r="320" spans="27:93" ht="12.75" x14ac:dyDescent="0.2"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3"/>
      <c r="CA320" s="23"/>
      <c r="CB320" s="23"/>
      <c r="CC320" s="23"/>
      <c r="CD320" s="23"/>
      <c r="CE320" s="23"/>
      <c r="CF320" s="23"/>
      <c r="CG320" s="23"/>
      <c r="CH320" s="23"/>
      <c r="CI320" s="23"/>
      <c r="CJ320" s="23"/>
      <c r="CK320" s="23"/>
      <c r="CL320" s="23"/>
      <c r="CO320" s="30"/>
    </row>
    <row r="321" spans="27:93" ht="12.75" x14ac:dyDescent="0.2"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23"/>
      <c r="CD321" s="23"/>
      <c r="CE321" s="23"/>
      <c r="CF321" s="23"/>
      <c r="CG321" s="23"/>
      <c r="CH321" s="23"/>
      <c r="CI321" s="23"/>
      <c r="CJ321" s="23"/>
      <c r="CK321" s="23"/>
      <c r="CL321" s="23"/>
      <c r="CO321" s="30"/>
    </row>
    <row r="322" spans="27:93" ht="12.75" x14ac:dyDescent="0.2"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3"/>
      <c r="CD322" s="23"/>
      <c r="CE322" s="23"/>
      <c r="CF322" s="23"/>
      <c r="CG322" s="23"/>
      <c r="CH322" s="23"/>
      <c r="CI322" s="23"/>
      <c r="CJ322" s="23"/>
      <c r="CK322" s="23"/>
      <c r="CL322" s="23"/>
      <c r="CO322" s="30"/>
    </row>
    <row r="323" spans="27:93" ht="12.75" x14ac:dyDescent="0.2"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3"/>
      <c r="CD323" s="23"/>
      <c r="CE323" s="23"/>
      <c r="CF323" s="23"/>
      <c r="CG323" s="23"/>
      <c r="CH323" s="23"/>
      <c r="CI323" s="23"/>
      <c r="CJ323" s="23"/>
      <c r="CK323" s="23"/>
      <c r="CL323" s="23"/>
      <c r="CO323" s="30"/>
    </row>
    <row r="324" spans="27:93" ht="12.75" x14ac:dyDescent="0.2"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3"/>
      <c r="CF324" s="23"/>
      <c r="CG324" s="23"/>
      <c r="CH324" s="23"/>
      <c r="CI324" s="23"/>
      <c r="CJ324" s="23"/>
      <c r="CK324" s="23"/>
      <c r="CL324" s="23"/>
      <c r="CO324" s="30"/>
    </row>
    <row r="325" spans="27:93" ht="12.75" x14ac:dyDescent="0.2"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  <c r="CK325" s="23"/>
      <c r="CL325" s="23"/>
      <c r="CO325" s="30"/>
    </row>
    <row r="326" spans="27:93" ht="12.75" x14ac:dyDescent="0.2"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/>
      <c r="CI326" s="23"/>
      <c r="CJ326" s="23"/>
      <c r="CK326" s="23"/>
      <c r="CL326" s="23"/>
      <c r="CO326" s="30"/>
    </row>
    <row r="327" spans="27:93" ht="12.75" x14ac:dyDescent="0.2"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  <c r="BX327" s="23"/>
      <c r="BY327" s="23"/>
      <c r="BZ327" s="23"/>
      <c r="CA327" s="23"/>
      <c r="CB327" s="23"/>
      <c r="CC327" s="23"/>
      <c r="CD327" s="23"/>
      <c r="CE327" s="23"/>
      <c r="CF327" s="23"/>
      <c r="CG327" s="23"/>
      <c r="CH327" s="23"/>
      <c r="CI327" s="23"/>
      <c r="CJ327" s="23"/>
      <c r="CK327" s="23"/>
      <c r="CL327" s="23"/>
      <c r="CO327" s="30"/>
    </row>
    <row r="328" spans="27:93" ht="12.75" x14ac:dyDescent="0.2"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3"/>
      <c r="CA328" s="23"/>
      <c r="CB328" s="23"/>
      <c r="CC328" s="23"/>
      <c r="CD328" s="23"/>
      <c r="CE328" s="23"/>
      <c r="CF328" s="23"/>
      <c r="CG328" s="23"/>
      <c r="CH328" s="23"/>
      <c r="CI328" s="23"/>
      <c r="CJ328" s="23"/>
      <c r="CK328" s="23"/>
      <c r="CL328" s="23"/>
      <c r="CO328" s="30"/>
    </row>
    <row r="329" spans="27:93" ht="12.75" x14ac:dyDescent="0.2"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3"/>
      <c r="CA329" s="23"/>
      <c r="CB329" s="23"/>
      <c r="CC329" s="23"/>
      <c r="CD329" s="23"/>
      <c r="CE329" s="23"/>
      <c r="CF329" s="23"/>
      <c r="CG329" s="23"/>
      <c r="CH329" s="23"/>
      <c r="CI329" s="23"/>
      <c r="CJ329" s="23"/>
      <c r="CK329" s="23"/>
      <c r="CL329" s="23"/>
      <c r="CO329" s="30"/>
    </row>
    <row r="330" spans="27:93" ht="12.75" x14ac:dyDescent="0.2"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  <c r="BX330" s="23"/>
      <c r="BY330" s="23"/>
      <c r="BZ330" s="23"/>
      <c r="CA330" s="23"/>
      <c r="CB330" s="23"/>
      <c r="CC330" s="23"/>
      <c r="CD330" s="23"/>
      <c r="CE330" s="23"/>
      <c r="CF330" s="23"/>
      <c r="CG330" s="23"/>
      <c r="CH330" s="23"/>
      <c r="CI330" s="23"/>
      <c r="CJ330" s="23"/>
      <c r="CK330" s="23"/>
      <c r="CL330" s="23"/>
      <c r="CO330" s="30"/>
    </row>
    <row r="331" spans="27:93" ht="12.75" x14ac:dyDescent="0.2"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O331" s="30"/>
    </row>
    <row r="332" spans="27:93" ht="12.75" x14ac:dyDescent="0.2"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23"/>
      <c r="BY332" s="23"/>
      <c r="BZ332" s="23"/>
      <c r="CA332" s="23"/>
      <c r="CB332" s="23"/>
      <c r="CC332" s="23"/>
      <c r="CD332" s="23"/>
      <c r="CE332" s="23"/>
      <c r="CF332" s="23"/>
      <c r="CG332" s="23"/>
      <c r="CH332" s="23"/>
      <c r="CI332" s="23"/>
      <c r="CJ332" s="23"/>
      <c r="CK332" s="23"/>
      <c r="CL332" s="23"/>
      <c r="CO332" s="30"/>
    </row>
    <row r="333" spans="27:93" ht="12.75" x14ac:dyDescent="0.2"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  <c r="BW333" s="23"/>
      <c r="BX333" s="23"/>
      <c r="BY333" s="23"/>
      <c r="BZ333" s="23"/>
      <c r="CA333" s="23"/>
      <c r="CB333" s="23"/>
      <c r="CC333" s="23"/>
      <c r="CD333" s="23"/>
      <c r="CE333" s="23"/>
      <c r="CF333" s="23"/>
      <c r="CG333" s="23"/>
      <c r="CH333" s="23"/>
      <c r="CI333" s="23"/>
      <c r="CJ333" s="23"/>
      <c r="CK333" s="23"/>
      <c r="CL333" s="23"/>
      <c r="CO333" s="30"/>
    </row>
    <row r="334" spans="27:93" ht="12.75" x14ac:dyDescent="0.2"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  <c r="BX334" s="23"/>
      <c r="BY334" s="23"/>
      <c r="BZ334" s="23"/>
      <c r="CA334" s="23"/>
      <c r="CB334" s="23"/>
      <c r="CC334" s="23"/>
      <c r="CD334" s="23"/>
      <c r="CE334" s="23"/>
      <c r="CF334" s="23"/>
      <c r="CG334" s="23"/>
      <c r="CH334" s="23"/>
      <c r="CI334" s="23"/>
      <c r="CJ334" s="23"/>
      <c r="CK334" s="23"/>
      <c r="CL334" s="23"/>
      <c r="CO334" s="30"/>
    </row>
    <row r="335" spans="27:93" ht="12.75" x14ac:dyDescent="0.2"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BZ335" s="23"/>
      <c r="CA335" s="23"/>
      <c r="CB335" s="23"/>
      <c r="CC335" s="23"/>
      <c r="CD335" s="23"/>
      <c r="CE335" s="23"/>
      <c r="CF335" s="23"/>
      <c r="CG335" s="23"/>
      <c r="CH335" s="23"/>
      <c r="CI335" s="23"/>
      <c r="CJ335" s="23"/>
      <c r="CK335" s="23"/>
      <c r="CL335" s="23"/>
      <c r="CO335" s="30"/>
    </row>
    <row r="336" spans="27:93" ht="12.75" x14ac:dyDescent="0.2"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23"/>
      <c r="CD336" s="23"/>
      <c r="CE336" s="23"/>
      <c r="CF336" s="23"/>
      <c r="CG336" s="23"/>
      <c r="CH336" s="23"/>
      <c r="CI336" s="23"/>
      <c r="CJ336" s="23"/>
      <c r="CK336" s="23"/>
      <c r="CL336" s="23"/>
      <c r="CO336" s="30"/>
    </row>
    <row r="337" spans="27:93" ht="12.75" x14ac:dyDescent="0.2"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BZ337" s="23"/>
      <c r="CA337" s="23"/>
      <c r="CB337" s="23"/>
      <c r="CC337" s="23"/>
      <c r="CD337" s="23"/>
      <c r="CE337" s="23"/>
      <c r="CF337" s="23"/>
      <c r="CG337" s="23"/>
      <c r="CH337" s="23"/>
      <c r="CI337" s="23"/>
      <c r="CJ337" s="23"/>
      <c r="CK337" s="23"/>
      <c r="CL337" s="23"/>
      <c r="CO337" s="30"/>
    </row>
    <row r="338" spans="27:93" ht="12.75" x14ac:dyDescent="0.2"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  <c r="BX338" s="23"/>
      <c r="BY338" s="23"/>
      <c r="BZ338" s="23"/>
      <c r="CA338" s="23"/>
      <c r="CB338" s="23"/>
      <c r="CC338" s="23"/>
      <c r="CD338" s="23"/>
      <c r="CE338" s="23"/>
      <c r="CF338" s="23"/>
      <c r="CG338" s="23"/>
      <c r="CH338" s="23"/>
      <c r="CI338" s="23"/>
      <c r="CJ338" s="23"/>
      <c r="CK338" s="23"/>
      <c r="CL338" s="23"/>
      <c r="CO338" s="30"/>
    </row>
    <row r="339" spans="27:93" ht="12.75" x14ac:dyDescent="0.2"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  <c r="BW339" s="23"/>
      <c r="BX339" s="23"/>
      <c r="BY339" s="23"/>
      <c r="BZ339" s="23"/>
      <c r="CA339" s="23"/>
      <c r="CB339" s="23"/>
      <c r="CC339" s="23"/>
      <c r="CD339" s="23"/>
      <c r="CE339" s="23"/>
      <c r="CF339" s="23"/>
      <c r="CG339" s="23"/>
      <c r="CH339" s="23"/>
      <c r="CI339" s="23"/>
      <c r="CJ339" s="23"/>
      <c r="CK339" s="23"/>
      <c r="CL339" s="23"/>
      <c r="CO339" s="30"/>
    </row>
    <row r="340" spans="27:93" ht="12.75" x14ac:dyDescent="0.2"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3"/>
      <c r="CD340" s="23"/>
      <c r="CE340" s="23"/>
      <c r="CF340" s="23"/>
      <c r="CG340" s="23"/>
      <c r="CH340" s="23"/>
      <c r="CI340" s="23"/>
      <c r="CJ340" s="23"/>
      <c r="CK340" s="23"/>
      <c r="CL340" s="23"/>
      <c r="CO340" s="30"/>
    </row>
    <row r="341" spans="27:93" ht="12.75" x14ac:dyDescent="0.2"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  <c r="BX341" s="23"/>
      <c r="BY341" s="23"/>
      <c r="BZ341" s="23"/>
      <c r="CA341" s="23"/>
      <c r="CB341" s="23"/>
      <c r="CC341" s="23"/>
      <c r="CD341" s="23"/>
      <c r="CE341" s="23"/>
      <c r="CF341" s="23"/>
      <c r="CG341" s="23"/>
      <c r="CH341" s="23"/>
      <c r="CI341" s="23"/>
      <c r="CJ341" s="23"/>
      <c r="CK341" s="23"/>
      <c r="CL341" s="23"/>
      <c r="CO341" s="30"/>
    </row>
    <row r="342" spans="27:93" ht="12.75" x14ac:dyDescent="0.2"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  <c r="BX342" s="23"/>
      <c r="BY342" s="23"/>
      <c r="BZ342" s="23"/>
      <c r="CA342" s="23"/>
      <c r="CB342" s="23"/>
      <c r="CC342" s="23"/>
      <c r="CD342" s="23"/>
      <c r="CE342" s="23"/>
      <c r="CF342" s="23"/>
      <c r="CG342" s="23"/>
      <c r="CH342" s="23"/>
      <c r="CI342" s="23"/>
      <c r="CJ342" s="23"/>
      <c r="CK342" s="23"/>
      <c r="CL342" s="23"/>
      <c r="CO342" s="30"/>
    </row>
    <row r="343" spans="27:93" ht="12.75" x14ac:dyDescent="0.2"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  <c r="BX343" s="23"/>
      <c r="BY343" s="23"/>
      <c r="BZ343" s="23"/>
      <c r="CA343" s="23"/>
      <c r="CB343" s="23"/>
      <c r="CC343" s="23"/>
      <c r="CD343" s="23"/>
      <c r="CE343" s="23"/>
      <c r="CF343" s="23"/>
      <c r="CG343" s="23"/>
      <c r="CH343" s="23"/>
      <c r="CI343" s="23"/>
      <c r="CJ343" s="23"/>
      <c r="CK343" s="23"/>
      <c r="CL343" s="23"/>
      <c r="CO343" s="30"/>
    </row>
    <row r="344" spans="27:93" ht="12.75" x14ac:dyDescent="0.2"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3"/>
      <c r="CA344" s="23"/>
      <c r="CB344" s="23"/>
      <c r="CC344" s="23"/>
      <c r="CD344" s="23"/>
      <c r="CE344" s="23"/>
      <c r="CF344" s="23"/>
      <c r="CG344" s="23"/>
      <c r="CH344" s="23"/>
      <c r="CI344" s="23"/>
      <c r="CJ344" s="23"/>
      <c r="CK344" s="23"/>
      <c r="CL344" s="23"/>
      <c r="CO344" s="30"/>
    </row>
    <row r="345" spans="27:93" ht="12.75" x14ac:dyDescent="0.2"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3"/>
      <c r="CA345" s="23"/>
      <c r="CB345" s="23"/>
      <c r="CC345" s="23"/>
      <c r="CD345" s="23"/>
      <c r="CE345" s="23"/>
      <c r="CF345" s="23"/>
      <c r="CG345" s="23"/>
      <c r="CH345" s="23"/>
      <c r="CI345" s="23"/>
      <c r="CJ345" s="23"/>
      <c r="CK345" s="23"/>
      <c r="CL345" s="23"/>
      <c r="CO345" s="30"/>
    </row>
    <row r="346" spans="27:93" ht="12.75" x14ac:dyDescent="0.2"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  <c r="BX346" s="23"/>
      <c r="BY346" s="23"/>
      <c r="BZ346" s="23"/>
      <c r="CA346" s="23"/>
      <c r="CB346" s="23"/>
      <c r="CC346" s="23"/>
      <c r="CD346" s="23"/>
      <c r="CE346" s="23"/>
      <c r="CF346" s="23"/>
      <c r="CG346" s="23"/>
      <c r="CH346" s="23"/>
      <c r="CI346" s="23"/>
      <c r="CJ346" s="23"/>
      <c r="CK346" s="23"/>
      <c r="CL346" s="23"/>
      <c r="CO346" s="30"/>
    </row>
    <row r="347" spans="27:93" ht="12.75" x14ac:dyDescent="0.2"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3"/>
      <c r="CA347" s="23"/>
      <c r="CB347" s="23"/>
      <c r="CC347" s="23"/>
      <c r="CD347" s="23"/>
      <c r="CE347" s="23"/>
      <c r="CF347" s="23"/>
      <c r="CG347" s="23"/>
      <c r="CH347" s="23"/>
      <c r="CI347" s="23"/>
      <c r="CJ347" s="23"/>
      <c r="CK347" s="23"/>
      <c r="CL347" s="23"/>
      <c r="CO347" s="30"/>
    </row>
    <row r="348" spans="27:93" ht="12.75" x14ac:dyDescent="0.2"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3"/>
      <c r="CA348" s="23"/>
      <c r="CB348" s="23"/>
      <c r="CC348" s="23"/>
      <c r="CD348" s="23"/>
      <c r="CE348" s="23"/>
      <c r="CF348" s="23"/>
      <c r="CG348" s="23"/>
      <c r="CH348" s="23"/>
      <c r="CI348" s="23"/>
      <c r="CJ348" s="23"/>
      <c r="CK348" s="23"/>
      <c r="CL348" s="23"/>
      <c r="CO348" s="30"/>
    </row>
    <row r="349" spans="27:93" ht="12.75" x14ac:dyDescent="0.2"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3"/>
      <c r="BZ349" s="23"/>
      <c r="CA349" s="23"/>
      <c r="CB349" s="23"/>
      <c r="CC349" s="23"/>
      <c r="CD349" s="23"/>
      <c r="CE349" s="23"/>
      <c r="CF349" s="23"/>
      <c r="CG349" s="23"/>
      <c r="CH349" s="23"/>
      <c r="CI349" s="23"/>
      <c r="CJ349" s="23"/>
      <c r="CK349" s="23"/>
      <c r="CL349" s="23"/>
      <c r="CO349" s="30"/>
    </row>
    <row r="350" spans="27:93" ht="12.75" x14ac:dyDescent="0.2"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3"/>
      <c r="BY350" s="23"/>
      <c r="BZ350" s="23"/>
      <c r="CA350" s="23"/>
      <c r="CB350" s="23"/>
      <c r="CC350" s="23"/>
      <c r="CD350" s="23"/>
      <c r="CE350" s="23"/>
      <c r="CF350" s="23"/>
      <c r="CG350" s="23"/>
      <c r="CH350" s="23"/>
      <c r="CI350" s="23"/>
      <c r="CJ350" s="23"/>
      <c r="CK350" s="23"/>
      <c r="CL350" s="23"/>
      <c r="CO350" s="30"/>
    </row>
    <row r="351" spans="27:93" ht="12.75" x14ac:dyDescent="0.2"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  <c r="BX351" s="23"/>
      <c r="BY351" s="23"/>
      <c r="BZ351" s="23"/>
      <c r="CA351" s="23"/>
      <c r="CB351" s="23"/>
      <c r="CC351" s="23"/>
      <c r="CD351" s="23"/>
      <c r="CE351" s="23"/>
      <c r="CF351" s="23"/>
      <c r="CG351" s="23"/>
      <c r="CH351" s="23"/>
      <c r="CI351" s="23"/>
      <c r="CJ351" s="23"/>
      <c r="CK351" s="23"/>
      <c r="CL351" s="23"/>
      <c r="CO351" s="30"/>
    </row>
    <row r="352" spans="27:93" ht="12.75" x14ac:dyDescent="0.2"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  <c r="BX352" s="23"/>
      <c r="BY352" s="23"/>
      <c r="BZ352" s="23"/>
      <c r="CA352" s="23"/>
      <c r="CB352" s="23"/>
      <c r="CC352" s="23"/>
      <c r="CD352" s="23"/>
      <c r="CE352" s="23"/>
      <c r="CF352" s="23"/>
      <c r="CG352" s="23"/>
      <c r="CH352" s="23"/>
      <c r="CI352" s="23"/>
      <c r="CJ352" s="23"/>
      <c r="CK352" s="23"/>
      <c r="CL352" s="23"/>
      <c r="CO352" s="30"/>
    </row>
    <row r="353" spans="27:93" ht="12.75" x14ac:dyDescent="0.2"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  <c r="BU353" s="23"/>
      <c r="BV353" s="23"/>
      <c r="BW353" s="23"/>
      <c r="BX353" s="23"/>
      <c r="BY353" s="23"/>
      <c r="BZ353" s="23"/>
      <c r="CA353" s="23"/>
      <c r="CB353" s="23"/>
      <c r="CC353" s="23"/>
      <c r="CD353" s="23"/>
      <c r="CE353" s="23"/>
      <c r="CF353" s="23"/>
      <c r="CG353" s="23"/>
      <c r="CH353" s="23"/>
      <c r="CI353" s="23"/>
      <c r="CJ353" s="23"/>
      <c r="CK353" s="23"/>
      <c r="CL353" s="23"/>
      <c r="CO353" s="30"/>
    </row>
    <row r="354" spans="27:93" ht="12.75" x14ac:dyDescent="0.2"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  <c r="BX354" s="23"/>
      <c r="BY354" s="23"/>
      <c r="BZ354" s="23"/>
      <c r="CA354" s="23"/>
      <c r="CB354" s="23"/>
      <c r="CC354" s="23"/>
      <c r="CD354" s="23"/>
      <c r="CE354" s="23"/>
      <c r="CF354" s="23"/>
      <c r="CG354" s="23"/>
      <c r="CH354" s="23"/>
      <c r="CI354" s="23"/>
      <c r="CJ354" s="23"/>
      <c r="CK354" s="23"/>
      <c r="CL354" s="23"/>
      <c r="CO354" s="30"/>
    </row>
    <row r="355" spans="27:93" ht="12.75" x14ac:dyDescent="0.2"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  <c r="BU355" s="23"/>
      <c r="BV355" s="23"/>
      <c r="BW355" s="23"/>
      <c r="BX355" s="23"/>
      <c r="BY355" s="23"/>
      <c r="BZ355" s="23"/>
      <c r="CA355" s="23"/>
      <c r="CB355" s="23"/>
      <c r="CC355" s="23"/>
      <c r="CD355" s="23"/>
      <c r="CE355" s="23"/>
      <c r="CF355" s="23"/>
      <c r="CG355" s="23"/>
      <c r="CH355" s="23"/>
      <c r="CI355" s="23"/>
      <c r="CJ355" s="23"/>
      <c r="CK355" s="23"/>
      <c r="CL355" s="23"/>
      <c r="CO355" s="30"/>
    </row>
    <row r="356" spans="27:93" ht="12.75" x14ac:dyDescent="0.2"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3"/>
      <c r="BY356" s="23"/>
      <c r="BZ356" s="23"/>
      <c r="CA356" s="23"/>
      <c r="CB356" s="23"/>
      <c r="CC356" s="23"/>
      <c r="CD356" s="23"/>
      <c r="CE356" s="23"/>
      <c r="CF356" s="23"/>
      <c r="CG356" s="23"/>
      <c r="CH356" s="23"/>
      <c r="CI356" s="23"/>
      <c r="CJ356" s="23"/>
      <c r="CK356" s="23"/>
      <c r="CL356" s="23"/>
      <c r="CO356" s="30"/>
    </row>
    <row r="357" spans="27:93" ht="12.75" x14ac:dyDescent="0.2"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  <c r="BX357" s="23"/>
      <c r="BY357" s="23"/>
      <c r="BZ357" s="23"/>
      <c r="CA357" s="23"/>
      <c r="CB357" s="23"/>
      <c r="CC357" s="23"/>
      <c r="CD357" s="23"/>
      <c r="CE357" s="23"/>
      <c r="CF357" s="23"/>
      <c r="CG357" s="23"/>
      <c r="CH357" s="23"/>
      <c r="CI357" s="23"/>
      <c r="CJ357" s="23"/>
      <c r="CK357" s="23"/>
      <c r="CL357" s="23"/>
      <c r="CO357" s="30"/>
    </row>
    <row r="358" spans="27:93" ht="12.75" x14ac:dyDescent="0.2"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  <c r="BX358" s="23"/>
      <c r="BY358" s="23"/>
      <c r="BZ358" s="23"/>
      <c r="CA358" s="23"/>
      <c r="CB358" s="23"/>
      <c r="CC358" s="23"/>
      <c r="CD358" s="23"/>
      <c r="CE358" s="23"/>
      <c r="CF358" s="23"/>
      <c r="CG358" s="23"/>
      <c r="CH358" s="23"/>
      <c r="CI358" s="23"/>
      <c r="CJ358" s="23"/>
      <c r="CK358" s="23"/>
      <c r="CL358" s="23"/>
      <c r="CO358" s="30"/>
    </row>
    <row r="359" spans="27:93" ht="12.75" x14ac:dyDescent="0.2"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  <c r="BU359" s="23"/>
      <c r="BV359" s="23"/>
      <c r="BW359" s="23"/>
      <c r="BX359" s="23"/>
      <c r="BY359" s="23"/>
      <c r="BZ359" s="23"/>
      <c r="CA359" s="23"/>
      <c r="CB359" s="23"/>
      <c r="CC359" s="23"/>
      <c r="CD359" s="23"/>
      <c r="CE359" s="23"/>
      <c r="CF359" s="23"/>
      <c r="CG359" s="23"/>
      <c r="CH359" s="23"/>
      <c r="CI359" s="23"/>
      <c r="CJ359" s="23"/>
      <c r="CK359" s="23"/>
      <c r="CL359" s="23"/>
      <c r="CO359" s="30"/>
    </row>
    <row r="360" spans="27:93" ht="12.75" x14ac:dyDescent="0.2"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  <c r="BX360" s="23"/>
      <c r="BY360" s="23"/>
      <c r="BZ360" s="23"/>
      <c r="CA360" s="23"/>
      <c r="CB360" s="23"/>
      <c r="CC360" s="23"/>
      <c r="CD360" s="23"/>
      <c r="CE360" s="23"/>
      <c r="CF360" s="23"/>
      <c r="CG360" s="23"/>
      <c r="CH360" s="23"/>
      <c r="CI360" s="23"/>
      <c r="CJ360" s="23"/>
      <c r="CK360" s="23"/>
      <c r="CL360" s="23"/>
      <c r="CO360" s="30"/>
    </row>
    <row r="361" spans="27:93" ht="12.75" x14ac:dyDescent="0.2"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  <c r="BU361" s="23"/>
      <c r="BV361" s="23"/>
      <c r="BW361" s="23"/>
      <c r="BX361" s="23"/>
      <c r="BY361" s="23"/>
      <c r="BZ361" s="23"/>
      <c r="CA361" s="23"/>
      <c r="CB361" s="23"/>
      <c r="CC361" s="23"/>
      <c r="CD361" s="23"/>
      <c r="CE361" s="23"/>
      <c r="CF361" s="23"/>
      <c r="CG361" s="23"/>
      <c r="CH361" s="23"/>
      <c r="CI361" s="23"/>
      <c r="CJ361" s="23"/>
      <c r="CK361" s="23"/>
      <c r="CL361" s="23"/>
      <c r="CO361" s="30"/>
    </row>
    <row r="362" spans="27:93" ht="12.75" x14ac:dyDescent="0.2"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  <c r="BX362" s="23"/>
      <c r="BY362" s="23"/>
      <c r="BZ362" s="23"/>
      <c r="CA362" s="23"/>
      <c r="CB362" s="23"/>
      <c r="CC362" s="23"/>
      <c r="CD362" s="23"/>
      <c r="CE362" s="23"/>
      <c r="CF362" s="23"/>
      <c r="CG362" s="23"/>
      <c r="CH362" s="23"/>
      <c r="CI362" s="23"/>
      <c r="CJ362" s="23"/>
      <c r="CK362" s="23"/>
      <c r="CL362" s="23"/>
      <c r="CO362" s="30"/>
    </row>
    <row r="363" spans="27:93" ht="12.75" x14ac:dyDescent="0.2"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  <c r="BU363" s="23"/>
      <c r="BV363" s="23"/>
      <c r="BW363" s="23"/>
      <c r="BX363" s="23"/>
      <c r="BY363" s="23"/>
      <c r="BZ363" s="23"/>
      <c r="CA363" s="23"/>
      <c r="CB363" s="23"/>
      <c r="CC363" s="23"/>
      <c r="CD363" s="23"/>
      <c r="CE363" s="23"/>
      <c r="CF363" s="23"/>
      <c r="CG363" s="23"/>
      <c r="CH363" s="23"/>
      <c r="CI363" s="23"/>
      <c r="CJ363" s="23"/>
      <c r="CK363" s="23"/>
      <c r="CL363" s="23"/>
      <c r="CO363" s="30"/>
    </row>
    <row r="364" spans="27:93" ht="12.75" x14ac:dyDescent="0.2"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  <c r="BX364" s="23"/>
      <c r="BY364" s="23"/>
      <c r="BZ364" s="23"/>
      <c r="CA364" s="23"/>
      <c r="CB364" s="23"/>
      <c r="CC364" s="23"/>
      <c r="CD364" s="23"/>
      <c r="CE364" s="23"/>
      <c r="CF364" s="23"/>
      <c r="CG364" s="23"/>
      <c r="CH364" s="23"/>
      <c r="CI364" s="23"/>
      <c r="CJ364" s="23"/>
      <c r="CK364" s="23"/>
      <c r="CL364" s="23"/>
      <c r="CO364" s="30"/>
    </row>
    <row r="365" spans="27:93" ht="12.75" x14ac:dyDescent="0.2"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  <c r="BW365" s="23"/>
      <c r="BX365" s="23"/>
      <c r="BY365" s="23"/>
      <c r="BZ365" s="23"/>
      <c r="CA365" s="23"/>
      <c r="CB365" s="23"/>
      <c r="CC365" s="23"/>
      <c r="CD365" s="23"/>
      <c r="CE365" s="23"/>
      <c r="CF365" s="23"/>
      <c r="CG365" s="23"/>
      <c r="CH365" s="23"/>
      <c r="CI365" s="23"/>
      <c r="CJ365" s="23"/>
      <c r="CK365" s="23"/>
      <c r="CL365" s="23"/>
      <c r="CO365" s="30"/>
    </row>
    <row r="366" spans="27:93" ht="12.75" x14ac:dyDescent="0.2"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3"/>
      <c r="CA366" s="23"/>
      <c r="CB366" s="23"/>
      <c r="CC366" s="23"/>
      <c r="CD366" s="23"/>
      <c r="CE366" s="23"/>
      <c r="CF366" s="23"/>
      <c r="CG366" s="23"/>
      <c r="CH366" s="23"/>
      <c r="CI366" s="23"/>
      <c r="CJ366" s="23"/>
      <c r="CK366" s="23"/>
      <c r="CL366" s="23"/>
      <c r="CO366" s="30"/>
    </row>
    <row r="367" spans="27:93" ht="12.75" x14ac:dyDescent="0.2"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3"/>
      <c r="CA367" s="23"/>
      <c r="CB367" s="23"/>
      <c r="CC367" s="23"/>
      <c r="CD367" s="23"/>
      <c r="CE367" s="23"/>
      <c r="CF367" s="23"/>
      <c r="CG367" s="23"/>
      <c r="CH367" s="23"/>
      <c r="CI367" s="23"/>
      <c r="CJ367" s="23"/>
      <c r="CK367" s="23"/>
      <c r="CL367" s="23"/>
      <c r="CO367" s="30"/>
    </row>
    <row r="368" spans="27:93" ht="12.75" x14ac:dyDescent="0.2"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  <c r="BX368" s="23"/>
      <c r="BY368" s="23"/>
      <c r="BZ368" s="23"/>
      <c r="CA368" s="23"/>
      <c r="CB368" s="23"/>
      <c r="CC368" s="23"/>
      <c r="CD368" s="23"/>
      <c r="CE368" s="23"/>
      <c r="CF368" s="23"/>
      <c r="CG368" s="23"/>
      <c r="CH368" s="23"/>
      <c r="CI368" s="23"/>
      <c r="CJ368" s="23"/>
      <c r="CK368" s="23"/>
      <c r="CL368" s="23"/>
      <c r="CO368" s="30"/>
    </row>
    <row r="369" spans="27:93" ht="12.75" x14ac:dyDescent="0.2"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3"/>
      <c r="CA369" s="23"/>
      <c r="CB369" s="23"/>
      <c r="CC369" s="23"/>
      <c r="CD369" s="23"/>
      <c r="CE369" s="23"/>
      <c r="CF369" s="23"/>
      <c r="CG369" s="23"/>
      <c r="CH369" s="23"/>
      <c r="CI369" s="23"/>
      <c r="CJ369" s="23"/>
      <c r="CK369" s="23"/>
      <c r="CL369" s="23"/>
      <c r="CO369" s="30"/>
    </row>
    <row r="370" spans="27:93" ht="12.75" x14ac:dyDescent="0.2"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3"/>
      <c r="BY370" s="23"/>
      <c r="BZ370" s="23"/>
      <c r="CA370" s="23"/>
      <c r="CB370" s="23"/>
      <c r="CC370" s="23"/>
      <c r="CD370" s="23"/>
      <c r="CE370" s="23"/>
      <c r="CF370" s="23"/>
      <c r="CG370" s="23"/>
      <c r="CH370" s="23"/>
      <c r="CI370" s="23"/>
      <c r="CJ370" s="23"/>
      <c r="CK370" s="23"/>
      <c r="CL370" s="23"/>
      <c r="CO370" s="30"/>
    </row>
    <row r="371" spans="27:93" ht="12.75" x14ac:dyDescent="0.2"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  <c r="BU371" s="23"/>
      <c r="BV371" s="23"/>
      <c r="BW371" s="23"/>
      <c r="BX371" s="23"/>
      <c r="BY371" s="23"/>
      <c r="BZ371" s="23"/>
      <c r="CA371" s="23"/>
      <c r="CB371" s="23"/>
      <c r="CC371" s="23"/>
      <c r="CD371" s="23"/>
      <c r="CE371" s="23"/>
      <c r="CF371" s="23"/>
      <c r="CG371" s="23"/>
      <c r="CH371" s="23"/>
      <c r="CI371" s="23"/>
      <c r="CJ371" s="23"/>
      <c r="CK371" s="23"/>
      <c r="CL371" s="23"/>
      <c r="CO371" s="30"/>
    </row>
    <row r="372" spans="27:93" ht="12.75" x14ac:dyDescent="0.2"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  <c r="BX372" s="23"/>
      <c r="BY372" s="23"/>
      <c r="BZ372" s="23"/>
      <c r="CA372" s="23"/>
      <c r="CB372" s="23"/>
      <c r="CC372" s="23"/>
      <c r="CD372" s="23"/>
      <c r="CE372" s="23"/>
      <c r="CF372" s="23"/>
      <c r="CG372" s="23"/>
      <c r="CH372" s="23"/>
      <c r="CI372" s="23"/>
      <c r="CJ372" s="23"/>
      <c r="CK372" s="23"/>
      <c r="CL372" s="23"/>
      <c r="CO372" s="30"/>
    </row>
    <row r="373" spans="27:93" ht="12.75" x14ac:dyDescent="0.2"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  <c r="BU373" s="23"/>
      <c r="BV373" s="23"/>
      <c r="BW373" s="23"/>
      <c r="BX373" s="23"/>
      <c r="BY373" s="23"/>
      <c r="BZ373" s="23"/>
      <c r="CA373" s="23"/>
      <c r="CB373" s="23"/>
      <c r="CC373" s="23"/>
      <c r="CD373" s="23"/>
      <c r="CE373" s="23"/>
      <c r="CF373" s="23"/>
      <c r="CG373" s="23"/>
      <c r="CH373" s="23"/>
      <c r="CI373" s="23"/>
      <c r="CJ373" s="23"/>
      <c r="CK373" s="23"/>
      <c r="CL373" s="23"/>
      <c r="CO373" s="30"/>
    </row>
    <row r="374" spans="27:93" ht="12.75" x14ac:dyDescent="0.2"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  <c r="BX374" s="23"/>
      <c r="BY374" s="23"/>
      <c r="BZ374" s="23"/>
      <c r="CA374" s="23"/>
      <c r="CB374" s="23"/>
      <c r="CC374" s="23"/>
      <c r="CD374" s="23"/>
      <c r="CE374" s="23"/>
      <c r="CF374" s="23"/>
      <c r="CG374" s="23"/>
      <c r="CH374" s="23"/>
      <c r="CI374" s="23"/>
      <c r="CJ374" s="23"/>
      <c r="CK374" s="23"/>
      <c r="CL374" s="23"/>
      <c r="CO374" s="30"/>
    </row>
    <row r="375" spans="27:93" ht="12.75" x14ac:dyDescent="0.2"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  <c r="BU375" s="23"/>
      <c r="BV375" s="23"/>
      <c r="BW375" s="23"/>
      <c r="BX375" s="23"/>
      <c r="BY375" s="23"/>
      <c r="BZ375" s="23"/>
      <c r="CA375" s="23"/>
      <c r="CB375" s="23"/>
      <c r="CC375" s="23"/>
      <c r="CD375" s="23"/>
      <c r="CE375" s="23"/>
      <c r="CF375" s="23"/>
      <c r="CG375" s="23"/>
      <c r="CH375" s="23"/>
      <c r="CI375" s="23"/>
      <c r="CJ375" s="23"/>
      <c r="CK375" s="23"/>
      <c r="CL375" s="23"/>
      <c r="CO375" s="30"/>
    </row>
    <row r="376" spans="27:93" ht="12.75" x14ac:dyDescent="0.2"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  <c r="BX376" s="23"/>
      <c r="BY376" s="23"/>
      <c r="BZ376" s="23"/>
      <c r="CA376" s="23"/>
      <c r="CB376" s="23"/>
      <c r="CC376" s="23"/>
      <c r="CD376" s="23"/>
      <c r="CE376" s="23"/>
      <c r="CF376" s="23"/>
      <c r="CG376" s="23"/>
      <c r="CH376" s="23"/>
      <c r="CI376" s="23"/>
      <c r="CJ376" s="23"/>
      <c r="CK376" s="23"/>
      <c r="CL376" s="23"/>
      <c r="CO376" s="30"/>
    </row>
    <row r="377" spans="27:93" ht="12.75" x14ac:dyDescent="0.2"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  <c r="BU377" s="23"/>
      <c r="BV377" s="23"/>
      <c r="BW377" s="23"/>
      <c r="BX377" s="23"/>
      <c r="BY377" s="23"/>
      <c r="BZ377" s="23"/>
      <c r="CA377" s="23"/>
      <c r="CB377" s="23"/>
      <c r="CC377" s="23"/>
      <c r="CD377" s="23"/>
      <c r="CE377" s="23"/>
      <c r="CF377" s="23"/>
      <c r="CG377" s="23"/>
      <c r="CH377" s="23"/>
      <c r="CI377" s="23"/>
      <c r="CJ377" s="23"/>
      <c r="CK377" s="23"/>
      <c r="CL377" s="23"/>
      <c r="CO377" s="30"/>
    </row>
    <row r="378" spans="27:93" ht="12.75" x14ac:dyDescent="0.2"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  <c r="BX378" s="23"/>
      <c r="BY378" s="23"/>
      <c r="BZ378" s="23"/>
      <c r="CA378" s="23"/>
      <c r="CB378" s="23"/>
      <c r="CC378" s="23"/>
      <c r="CD378" s="23"/>
      <c r="CE378" s="23"/>
      <c r="CF378" s="23"/>
      <c r="CG378" s="23"/>
      <c r="CH378" s="23"/>
      <c r="CI378" s="23"/>
      <c r="CJ378" s="23"/>
      <c r="CK378" s="23"/>
      <c r="CL378" s="23"/>
      <c r="CO378" s="30"/>
    </row>
    <row r="379" spans="27:93" ht="12.75" x14ac:dyDescent="0.2"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  <c r="BX379" s="23"/>
      <c r="BY379" s="23"/>
      <c r="BZ379" s="23"/>
      <c r="CA379" s="23"/>
      <c r="CB379" s="23"/>
      <c r="CC379" s="23"/>
      <c r="CD379" s="23"/>
      <c r="CE379" s="23"/>
      <c r="CF379" s="23"/>
      <c r="CG379" s="23"/>
      <c r="CH379" s="23"/>
      <c r="CI379" s="23"/>
      <c r="CJ379" s="23"/>
      <c r="CK379" s="23"/>
      <c r="CL379" s="23"/>
      <c r="CO379" s="30"/>
    </row>
    <row r="380" spans="27:93" ht="12.75" x14ac:dyDescent="0.2"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  <c r="BX380" s="23"/>
      <c r="BY380" s="23"/>
      <c r="BZ380" s="23"/>
      <c r="CA380" s="23"/>
      <c r="CB380" s="23"/>
      <c r="CC380" s="23"/>
      <c r="CD380" s="23"/>
      <c r="CE380" s="23"/>
      <c r="CF380" s="23"/>
      <c r="CG380" s="23"/>
      <c r="CH380" s="23"/>
      <c r="CI380" s="23"/>
      <c r="CJ380" s="23"/>
      <c r="CK380" s="23"/>
      <c r="CL380" s="23"/>
      <c r="CO380" s="30"/>
    </row>
    <row r="381" spans="27:93" ht="12.75" x14ac:dyDescent="0.2"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  <c r="BX381" s="23"/>
      <c r="BY381" s="23"/>
      <c r="BZ381" s="23"/>
      <c r="CA381" s="23"/>
      <c r="CB381" s="23"/>
      <c r="CC381" s="23"/>
      <c r="CD381" s="23"/>
      <c r="CE381" s="23"/>
      <c r="CF381" s="23"/>
      <c r="CG381" s="23"/>
      <c r="CH381" s="23"/>
      <c r="CI381" s="23"/>
      <c r="CJ381" s="23"/>
      <c r="CK381" s="23"/>
      <c r="CL381" s="23"/>
      <c r="CO381" s="30"/>
    </row>
    <row r="382" spans="27:93" ht="12.75" x14ac:dyDescent="0.2"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  <c r="BX382" s="23"/>
      <c r="BY382" s="23"/>
      <c r="BZ382" s="23"/>
      <c r="CA382" s="23"/>
      <c r="CB382" s="23"/>
      <c r="CC382" s="23"/>
      <c r="CD382" s="23"/>
      <c r="CE382" s="23"/>
      <c r="CF382" s="23"/>
      <c r="CG382" s="23"/>
      <c r="CH382" s="23"/>
      <c r="CI382" s="23"/>
      <c r="CJ382" s="23"/>
      <c r="CK382" s="23"/>
      <c r="CL382" s="23"/>
      <c r="CO382" s="30"/>
    </row>
    <row r="383" spans="27:93" ht="12.75" x14ac:dyDescent="0.2"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  <c r="BX383" s="23"/>
      <c r="BY383" s="23"/>
      <c r="BZ383" s="23"/>
      <c r="CA383" s="23"/>
      <c r="CB383" s="23"/>
      <c r="CC383" s="23"/>
      <c r="CD383" s="23"/>
      <c r="CE383" s="23"/>
      <c r="CF383" s="23"/>
      <c r="CG383" s="23"/>
      <c r="CH383" s="23"/>
      <c r="CI383" s="23"/>
      <c r="CJ383" s="23"/>
      <c r="CK383" s="23"/>
      <c r="CL383" s="23"/>
      <c r="CO383" s="30"/>
    </row>
    <row r="384" spans="27:93" ht="12.75" x14ac:dyDescent="0.2"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3"/>
      <c r="CA384" s="23"/>
      <c r="CB384" s="23"/>
      <c r="CC384" s="23"/>
      <c r="CD384" s="23"/>
      <c r="CE384" s="23"/>
      <c r="CF384" s="23"/>
      <c r="CG384" s="23"/>
      <c r="CH384" s="23"/>
      <c r="CI384" s="23"/>
      <c r="CJ384" s="23"/>
      <c r="CK384" s="23"/>
      <c r="CL384" s="23"/>
      <c r="CO384" s="30"/>
    </row>
    <row r="385" spans="27:93" ht="12.75" x14ac:dyDescent="0.2"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3"/>
      <c r="CA385" s="23"/>
      <c r="CB385" s="23"/>
      <c r="CC385" s="23"/>
      <c r="CD385" s="23"/>
      <c r="CE385" s="23"/>
      <c r="CF385" s="23"/>
      <c r="CG385" s="23"/>
      <c r="CH385" s="23"/>
      <c r="CI385" s="23"/>
      <c r="CJ385" s="23"/>
      <c r="CK385" s="23"/>
      <c r="CL385" s="23"/>
      <c r="CO385" s="30"/>
    </row>
    <row r="386" spans="27:93" ht="12.75" x14ac:dyDescent="0.2"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  <c r="BX386" s="23"/>
      <c r="BY386" s="23"/>
      <c r="BZ386" s="23"/>
      <c r="CA386" s="23"/>
      <c r="CB386" s="23"/>
      <c r="CC386" s="23"/>
      <c r="CD386" s="23"/>
      <c r="CE386" s="23"/>
      <c r="CF386" s="23"/>
      <c r="CG386" s="23"/>
      <c r="CH386" s="23"/>
      <c r="CI386" s="23"/>
      <c r="CJ386" s="23"/>
      <c r="CK386" s="23"/>
      <c r="CL386" s="23"/>
      <c r="CO386" s="30"/>
    </row>
    <row r="387" spans="27:93" ht="12.75" x14ac:dyDescent="0.2"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3"/>
      <c r="CA387" s="23"/>
      <c r="CB387" s="23"/>
      <c r="CC387" s="23"/>
      <c r="CD387" s="23"/>
      <c r="CE387" s="23"/>
      <c r="CF387" s="23"/>
      <c r="CG387" s="23"/>
      <c r="CH387" s="23"/>
      <c r="CI387" s="23"/>
      <c r="CJ387" s="23"/>
      <c r="CK387" s="23"/>
      <c r="CL387" s="23"/>
      <c r="CO387" s="30"/>
    </row>
    <row r="388" spans="27:93" ht="12.75" x14ac:dyDescent="0.2"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  <c r="BX388" s="23"/>
      <c r="BY388" s="23"/>
      <c r="BZ388" s="23"/>
      <c r="CA388" s="23"/>
      <c r="CB388" s="23"/>
      <c r="CC388" s="23"/>
      <c r="CD388" s="23"/>
      <c r="CE388" s="23"/>
      <c r="CF388" s="23"/>
      <c r="CG388" s="23"/>
      <c r="CH388" s="23"/>
      <c r="CI388" s="23"/>
      <c r="CJ388" s="23"/>
      <c r="CK388" s="23"/>
      <c r="CL388" s="23"/>
      <c r="CO388" s="30"/>
    </row>
    <row r="389" spans="27:93" ht="12.75" x14ac:dyDescent="0.2"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  <c r="BU389" s="23"/>
      <c r="BV389" s="23"/>
      <c r="BW389" s="23"/>
      <c r="BX389" s="23"/>
      <c r="BY389" s="23"/>
      <c r="BZ389" s="23"/>
      <c r="CA389" s="23"/>
      <c r="CB389" s="23"/>
      <c r="CC389" s="23"/>
      <c r="CD389" s="23"/>
      <c r="CE389" s="23"/>
      <c r="CF389" s="23"/>
      <c r="CG389" s="23"/>
      <c r="CH389" s="23"/>
      <c r="CI389" s="23"/>
      <c r="CJ389" s="23"/>
      <c r="CK389" s="23"/>
      <c r="CL389" s="23"/>
      <c r="CO389" s="30"/>
    </row>
    <row r="390" spans="27:93" ht="12.75" x14ac:dyDescent="0.2"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  <c r="BX390" s="23"/>
      <c r="BY390" s="23"/>
      <c r="BZ390" s="23"/>
      <c r="CA390" s="23"/>
      <c r="CB390" s="23"/>
      <c r="CC390" s="23"/>
      <c r="CD390" s="23"/>
      <c r="CE390" s="23"/>
      <c r="CF390" s="23"/>
      <c r="CG390" s="23"/>
      <c r="CH390" s="23"/>
      <c r="CI390" s="23"/>
      <c r="CJ390" s="23"/>
      <c r="CK390" s="23"/>
      <c r="CL390" s="23"/>
      <c r="CO390" s="30"/>
    </row>
    <row r="391" spans="27:93" ht="12.75" x14ac:dyDescent="0.2"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  <c r="BX391" s="23"/>
      <c r="BY391" s="23"/>
      <c r="BZ391" s="23"/>
      <c r="CA391" s="23"/>
      <c r="CB391" s="23"/>
      <c r="CC391" s="23"/>
      <c r="CD391" s="23"/>
      <c r="CE391" s="23"/>
      <c r="CF391" s="23"/>
      <c r="CG391" s="23"/>
      <c r="CH391" s="23"/>
      <c r="CI391" s="23"/>
      <c r="CJ391" s="23"/>
      <c r="CK391" s="23"/>
      <c r="CL391" s="23"/>
      <c r="CO391" s="30"/>
    </row>
    <row r="392" spans="27:93" ht="12.75" x14ac:dyDescent="0.2"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  <c r="BX392" s="23"/>
      <c r="BY392" s="23"/>
      <c r="BZ392" s="23"/>
      <c r="CA392" s="23"/>
      <c r="CB392" s="23"/>
      <c r="CC392" s="23"/>
      <c r="CD392" s="23"/>
      <c r="CE392" s="23"/>
      <c r="CF392" s="23"/>
      <c r="CG392" s="23"/>
      <c r="CH392" s="23"/>
      <c r="CI392" s="23"/>
      <c r="CJ392" s="23"/>
      <c r="CK392" s="23"/>
      <c r="CL392" s="23"/>
      <c r="CO392" s="30"/>
    </row>
    <row r="393" spans="27:93" ht="12.75" x14ac:dyDescent="0.2"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  <c r="BX393" s="23"/>
      <c r="BY393" s="23"/>
      <c r="BZ393" s="23"/>
      <c r="CA393" s="23"/>
      <c r="CB393" s="23"/>
      <c r="CC393" s="23"/>
      <c r="CD393" s="23"/>
      <c r="CE393" s="23"/>
      <c r="CF393" s="23"/>
      <c r="CG393" s="23"/>
      <c r="CH393" s="23"/>
      <c r="CI393" s="23"/>
      <c r="CJ393" s="23"/>
      <c r="CK393" s="23"/>
      <c r="CL393" s="23"/>
      <c r="CO393" s="30"/>
    </row>
    <row r="394" spans="27:93" ht="12.75" x14ac:dyDescent="0.2"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  <c r="BX394" s="23"/>
      <c r="BY394" s="23"/>
      <c r="BZ394" s="23"/>
      <c r="CA394" s="23"/>
      <c r="CB394" s="23"/>
      <c r="CC394" s="23"/>
      <c r="CD394" s="23"/>
      <c r="CE394" s="23"/>
      <c r="CF394" s="23"/>
      <c r="CG394" s="23"/>
      <c r="CH394" s="23"/>
      <c r="CI394" s="23"/>
      <c r="CJ394" s="23"/>
      <c r="CK394" s="23"/>
      <c r="CL394" s="23"/>
      <c r="CO394" s="30"/>
    </row>
    <row r="395" spans="27:93" ht="12.75" x14ac:dyDescent="0.2"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  <c r="BU395" s="23"/>
      <c r="BV395" s="23"/>
      <c r="BW395" s="23"/>
      <c r="BX395" s="23"/>
      <c r="BY395" s="23"/>
      <c r="BZ395" s="23"/>
      <c r="CA395" s="23"/>
      <c r="CB395" s="23"/>
      <c r="CC395" s="23"/>
      <c r="CD395" s="23"/>
      <c r="CE395" s="23"/>
      <c r="CF395" s="23"/>
      <c r="CG395" s="23"/>
      <c r="CH395" s="23"/>
      <c r="CI395" s="23"/>
      <c r="CJ395" s="23"/>
      <c r="CK395" s="23"/>
      <c r="CL395" s="23"/>
      <c r="CO395" s="30"/>
    </row>
    <row r="396" spans="27:93" ht="12.75" x14ac:dyDescent="0.2"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3"/>
      <c r="CD396" s="23"/>
      <c r="CE396" s="23"/>
      <c r="CF396" s="23"/>
      <c r="CG396" s="23"/>
      <c r="CH396" s="23"/>
      <c r="CI396" s="23"/>
      <c r="CJ396" s="23"/>
      <c r="CK396" s="23"/>
      <c r="CL396" s="23"/>
      <c r="CO396" s="30"/>
    </row>
    <row r="397" spans="27:93" ht="12.75" x14ac:dyDescent="0.2"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  <c r="BX397" s="23"/>
      <c r="BY397" s="23"/>
      <c r="BZ397" s="23"/>
      <c r="CA397" s="23"/>
      <c r="CB397" s="23"/>
      <c r="CC397" s="23"/>
      <c r="CD397" s="23"/>
      <c r="CE397" s="23"/>
      <c r="CF397" s="23"/>
      <c r="CG397" s="23"/>
      <c r="CH397" s="23"/>
      <c r="CI397" s="23"/>
      <c r="CJ397" s="23"/>
      <c r="CK397" s="23"/>
      <c r="CL397" s="23"/>
      <c r="CO397" s="30"/>
    </row>
    <row r="398" spans="27:93" ht="12.75" x14ac:dyDescent="0.2"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23"/>
      <c r="BY398" s="23"/>
      <c r="BZ398" s="23"/>
      <c r="CA398" s="23"/>
      <c r="CB398" s="23"/>
      <c r="CC398" s="23"/>
      <c r="CD398" s="23"/>
      <c r="CE398" s="23"/>
      <c r="CF398" s="23"/>
      <c r="CG398" s="23"/>
      <c r="CH398" s="23"/>
      <c r="CI398" s="23"/>
      <c r="CJ398" s="23"/>
      <c r="CK398" s="23"/>
      <c r="CL398" s="23"/>
      <c r="CO398" s="30"/>
    </row>
    <row r="399" spans="27:93" ht="12.75" x14ac:dyDescent="0.2"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  <c r="BX399" s="23"/>
      <c r="BY399" s="23"/>
      <c r="BZ399" s="23"/>
      <c r="CA399" s="23"/>
      <c r="CB399" s="23"/>
      <c r="CC399" s="23"/>
      <c r="CD399" s="23"/>
      <c r="CE399" s="23"/>
      <c r="CF399" s="23"/>
      <c r="CG399" s="23"/>
      <c r="CH399" s="23"/>
      <c r="CI399" s="23"/>
      <c r="CJ399" s="23"/>
      <c r="CK399" s="23"/>
      <c r="CL399" s="23"/>
      <c r="CO399" s="30"/>
    </row>
    <row r="400" spans="27:93" ht="12.75" x14ac:dyDescent="0.2"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3"/>
      <c r="BY400" s="23"/>
      <c r="BZ400" s="23"/>
      <c r="CA400" s="23"/>
      <c r="CB400" s="23"/>
      <c r="CC400" s="23"/>
      <c r="CD400" s="23"/>
      <c r="CE400" s="23"/>
      <c r="CF400" s="23"/>
      <c r="CG400" s="23"/>
      <c r="CH400" s="23"/>
      <c r="CI400" s="23"/>
      <c r="CJ400" s="23"/>
      <c r="CK400" s="23"/>
      <c r="CL400" s="23"/>
      <c r="CO400" s="30"/>
    </row>
    <row r="401" spans="27:93" ht="12.75" x14ac:dyDescent="0.2"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  <c r="BU401" s="23"/>
      <c r="BV401" s="23"/>
      <c r="BW401" s="23"/>
      <c r="BX401" s="23"/>
      <c r="BY401" s="23"/>
      <c r="BZ401" s="23"/>
      <c r="CA401" s="23"/>
      <c r="CB401" s="23"/>
      <c r="CC401" s="23"/>
      <c r="CD401" s="23"/>
      <c r="CE401" s="23"/>
      <c r="CF401" s="23"/>
      <c r="CG401" s="23"/>
      <c r="CH401" s="23"/>
      <c r="CI401" s="23"/>
      <c r="CJ401" s="23"/>
      <c r="CK401" s="23"/>
      <c r="CL401" s="23"/>
      <c r="CO401" s="30"/>
    </row>
    <row r="402" spans="27:93" ht="12.75" x14ac:dyDescent="0.2"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  <c r="BX402" s="23"/>
      <c r="BY402" s="23"/>
      <c r="BZ402" s="23"/>
      <c r="CA402" s="23"/>
      <c r="CB402" s="23"/>
      <c r="CC402" s="23"/>
      <c r="CD402" s="23"/>
      <c r="CE402" s="23"/>
      <c r="CF402" s="23"/>
      <c r="CG402" s="23"/>
      <c r="CH402" s="23"/>
      <c r="CI402" s="23"/>
      <c r="CJ402" s="23"/>
      <c r="CK402" s="23"/>
      <c r="CL402" s="23"/>
      <c r="CO402" s="30"/>
    </row>
    <row r="403" spans="27:93" ht="12.75" x14ac:dyDescent="0.2"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  <c r="BX403" s="23"/>
      <c r="BY403" s="23"/>
      <c r="BZ403" s="23"/>
      <c r="CA403" s="23"/>
      <c r="CB403" s="23"/>
      <c r="CC403" s="23"/>
      <c r="CD403" s="23"/>
      <c r="CE403" s="23"/>
      <c r="CF403" s="23"/>
      <c r="CG403" s="23"/>
      <c r="CH403" s="23"/>
      <c r="CI403" s="23"/>
      <c r="CJ403" s="23"/>
      <c r="CK403" s="23"/>
      <c r="CL403" s="23"/>
      <c r="CO403" s="30"/>
    </row>
    <row r="404" spans="27:93" ht="12.75" x14ac:dyDescent="0.2"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3"/>
      <c r="CA404" s="23"/>
      <c r="CB404" s="23"/>
      <c r="CC404" s="23"/>
      <c r="CD404" s="23"/>
      <c r="CE404" s="23"/>
      <c r="CF404" s="23"/>
      <c r="CG404" s="23"/>
      <c r="CH404" s="23"/>
      <c r="CI404" s="23"/>
      <c r="CJ404" s="23"/>
      <c r="CK404" s="23"/>
      <c r="CL404" s="23"/>
      <c r="CO404" s="30"/>
    </row>
    <row r="405" spans="27:93" ht="12.75" x14ac:dyDescent="0.2"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3"/>
      <c r="CA405" s="23"/>
      <c r="CB405" s="23"/>
      <c r="CC405" s="23"/>
      <c r="CD405" s="23"/>
      <c r="CE405" s="23"/>
      <c r="CF405" s="23"/>
      <c r="CG405" s="23"/>
      <c r="CH405" s="23"/>
      <c r="CI405" s="23"/>
      <c r="CJ405" s="23"/>
      <c r="CK405" s="23"/>
      <c r="CL405" s="23"/>
      <c r="CO405" s="30"/>
    </row>
    <row r="406" spans="27:93" ht="12.75" x14ac:dyDescent="0.2"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  <c r="BX406" s="23"/>
      <c r="BY406" s="23"/>
      <c r="BZ406" s="23"/>
      <c r="CA406" s="23"/>
      <c r="CB406" s="23"/>
      <c r="CC406" s="23"/>
      <c r="CD406" s="23"/>
      <c r="CE406" s="23"/>
      <c r="CF406" s="23"/>
      <c r="CG406" s="23"/>
      <c r="CH406" s="23"/>
      <c r="CI406" s="23"/>
      <c r="CJ406" s="23"/>
      <c r="CK406" s="23"/>
      <c r="CL406" s="23"/>
      <c r="CO406" s="30"/>
    </row>
    <row r="407" spans="27:93" ht="12.75" x14ac:dyDescent="0.2"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3"/>
      <c r="CA407" s="23"/>
      <c r="CB407" s="23"/>
      <c r="CC407" s="23"/>
      <c r="CD407" s="23"/>
      <c r="CE407" s="23"/>
      <c r="CF407" s="23"/>
      <c r="CG407" s="23"/>
      <c r="CH407" s="23"/>
      <c r="CI407" s="23"/>
      <c r="CJ407" s="23"/>
      <c r="CK407" s="23"/>
      <c r="CL407" s="23"/>
      <c r="CO407" s="30"/>
    </row>
    <row r="408" spans="27:93" ht="12.75" x14ac:dyDescent="0.2"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  <c r="BX408" s="23"/>
      <c r="BY408" s="23"/>
      <c r="BZ408" s="23"/>
      <c r="CA408" s="23"/>
      <c r="CB408" s="23"/>
      <c r="CC408" s="23"/>
      <c r="CD408" s="23"/>
      <c r="CE408" s="23"/>
      <c r="CF408" s="23"/>
      <c r="CG408" s="23"/>
      <c r="CH408" s="23"/>
      <c r="CI408" s="23"/>
      <c r="CJ408" s="23"/>
      <c r="CK408" s="23"/>
      <c r="CL408" s="23"/>
      <c r="CO408" s="30"/>
    </row>
    <row r="409" spans="27:93" ht="12.75" x14ac:dyDescent="0.2"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23"/>
      <c r="BY409" s="23"/>
      <c r="BZ409" s="23"/>
      <c r="CA409" s="23"/>
      <c r="CB409" s="23"/>
      <c r="CC409" s="23"/>
      <c r="CD409" s="23"/>
      <c r="CE409" s="23"/>
      <c r="CF409" s="23"/>
      <c r="CG409" s="23"/>
      <c r="CH409" s="23"/>
      <c r="CI409" s="23"/>
      <c r="CJ409" s="23"/>
      <c r="CK409" s="23"/>
      <c r="CL409" s="23"/>
      <c r="CO409" s="30"/>
    </row>
    <row r="410" spans="27:93" ht="12.75" x14ac:dyDescent="0.2"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  <c r="BX410" s="23"/>
      <c r="BY410" s="23"/>
      <c r="BZ410" s="23"/>
      <c r="CA410" s="23"/>
      <c r="CB410" s="23"/>
      <c r="CC410" s="23"/>
      <c r="CD410" s="23"/>
      <c r="CE410" s="23"/>
      <c r="CF410" s="23"/>
      <c r="CG410" s="23"/>
      <c r="CH410" s="23"/>
      <c r="CI410" s="23"/>
      <c r="CJ410" s="23"/>
      <c r="CK410" s="23"/>
      <c r="CL410" s="23"/>
      <c r="CO410" s="30"/>
    </row>
    <row r="411" spans="27:93" ht="12.75" x14ac:dyDescent="0.2"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  <c r="BU411" s="23"/>
      <c r="BV411" s="23"/>
      <c r="BW411" s="23"/>
      <c r="BX411" s="23"/>
      <c r="BY411" s="23"/>
      <c r="BZ411" s="23"/>
      <c r="CA411" s="23"/>
      <c r="CB411" s="23"/>
      <c r="CC411" s="23"/>
      <c r="CD411" s="23"/>
      <c r="CE411" s="23"/>
      <c r="CF411" s="23"/>
      <c r="CG411" s="23"/>
      <c r="CH411" s="23"/>
      <c r="CI411" s="23"/>
      <c r="CJ411" s="23"/>
      <c r="CK411" s="23"/>
      <c r="CL411" s="23"/>
      <c r="CO411" s="30"/>
    </row>
    <row r="412" spans="27:93" ht="12.75" x14ac:dyDescent="0.2"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  <c r="BX412" s="23"/>
      <c r="BY412" s="23"/>
      <c r="BZ412" s="23"/>
      <c r="CA412" s="23"/>
      <c r="CB412" s="23"/>
      <c r="CC412" s="23"/>
      <c r="CD412" s="23"/>
      <c r="CE412" s="23"/>
      <c r="CF412" s="23"/>
      <c r="CG412" s="23"/>
      <c r="CH412" s="23"/>
      <c r="CI412" s="23"/>
      <c r="CJ412" s="23"/>
      <c r="CK412" s="23"/>
      <c r="CL412" s="23"/>
      <c r="CO412" s="30"/>
    </row>
    <row r="413" spans="27:93" ht="12.75" x14ac:dyDescent="0.2"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  <c r="BU413" s="23"/>
      <c r="BV413" s="23"/>
      <c r="BW413" s="23"/>
      <c r="BX413" s="23"/>
      <c r="BY413" s="23"/>
      <c r="BZ413" s="23"/>
      <c r="CA413" s="23"/>
      <c r="CB413" s="23"/>
      <c r="CC413" s="23"/>
      <c r="CD413" s="23"/>
      <c r="CE413" s="23"/>
      <c r="CF413" s="23"/>
      <c r="CG413" s="23"/>
      <c r="CH413" s="23"/>
      <c r="CI413" s="23"/>
      <c r="CJ413" s="23"/>
      <c r="CK413" s="23"/>
      <c r="CL413" s="23"/>
      <c r="CO413" s="30"/>
    </row>
    <row r="414" spans="27:93" ht="12.75" x14ac:dyDescent="0.2"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  <c r="BX414" s="23"/>
      <c r="BY414" s="23"/>
      <c r="BZ414" s="23"/>
      <c r="CA414" s="23"/>
      <c r="CB414" s="23"/>
      <c r="CC414" s="23"/>
      <c r="CD414" s="23"/>
      <c r="CE414" s="23"/>
      <c r="CF414" s="23"/>
      <c r="CG414" s="23"/>
      <c r="CH414" s="23"/>
      <c r="CI414" s="23"/>
      <c r="CJ414" s="23"/>
      <c r="CK414" s="23"/>
      <c r="CL414" s="23"/>
      <c r="CO414" s="30"/>
    </row>
    <row r="415" spans="27:93" ht="12.75" x14ac:dyDescent="0.2"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  <c r="BX415" s="23"/>
      <c r="BY415" s="23"/>
      <c r="BZ415" s="23"/>
      <c r="CA415" s="23"/>
      <c r="CB415" s="23"/>
      <c r="CC415" s="23"/>
      <c r="CD415" s="23"/>
      <c r="CE415" s="23"/>
      <c r="CF415" s="23"/>
      <c r="CG415" s="23"/>
      <c r="CH415" s="23"/>
      <c r="CI415" s="23"/>
      <c r="CJ415" s="23"/>
      <c r="CK415" s="23"/>
      <c r="CL415" s="23"/>
      <c r="CO415" s="30"/>
    </row>
    <row r="416" spans="27:93" ht="12.75" x14ac:dyDescent="0.2"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  <c r="BX416" s="23"/>
      <c r="BY416" s="23"/>
      <c r="BZ416" s="23"/>
      <c r="CA416" s="23"/>
      <c r="CB416" s="23"/>
      <c r="CC416" s="23"/>
      <c r="CD416" s="23"/>
      <c r="CE416" s="23"/>
      <c r="CF416" s="23"/>
      <c r="CG416" s="23"/>
      <c r="CH416" s="23"/>
      <c r="CI416" s="23"/>
      <c r="CJ416" s="23"/>
      <c r="CK416" s="23"/>
      <c r="CL416" s="23"/>
      <c r="CO416" s="30"/>
    </row>
    <row r="417" spans="27:93" ht="12.75" x14ac:dyDescent="0.2"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3"/>
      <c r="BY417" s="23"/>
      <c r="BZ417" s="23"/>
      <c r="CA417" s="23"/>
      <c r="CB417" s="23"/>
      <c r="CC417" s="23"/>
      <c r="CD417" s="23"/>
      <c r="CE417" s="23"/>
      <c r="CF417" s="23"/>
      <c r="CG417" s="23"/>
      <c r="CH417" s="23"/>
      <c r="CI417" s="23"/>
      <c r="CJ417" s="23"/>
      <c r="CK417" s="23"/>
      <c r="CL417" s="23"/>
      <c r="CO417" s="30"/>
    </row>
    <row r="418" spans="27:93" ht="12.75" x14ac:dyDescent="0.2"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  <c r="BX418" s="23"/>
      <c r="BY418" s="23"/>
      <c r="BZ418" s="23"/>
      <c r="CA418" s="23"/>
      <c r="CB418" s="23"/>
      <c r="CC418" s="23"/>
      <c r="CD418" s="23"/>
      <c r="CE418" s="23"/>
      <c r="CF418" s="23"/>
      <c r="CG418" s="23"/>
      <c r="CH418" s="23"/>
      <c r="CI418" s="23"/>
      <c r="CJ418" s="23"/>
      <c r="CK418" s="23"/>
      <c r="CL418" s="23"/>
      <c r="CO418" s="30"/>
    </row>
    <row r="419" spans="27:93" ht="12.75" x14ac:dyDescent="0.2"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  <c r="BU419" s="23"/>
      <c r="BV419" s="23"/>
      <c r="BW419" s="23"/>
      <c r="BX419" s="23"/>
      <c r="BY419" s="23"/>
      <c r="BZ419" s="23"/>
      <c r="CA419" s="23"/>
      <c r="CB419" s="23"/>
      <c r="CC419" s="23"/>
      <c r="CD419" s="23"/>
      <c r="CE419" s="23"/>
      <c r="CF419" s="23"/>
      <c r="CG419" s="23"/>
      <c r="CH419" s="23"/>
      <c r="CI419" s="23"/>
      <c r="CJ419" s="23"/>
      <c r="CK419" s="23"/>
      <c r="CL419" s="23"/>
      <c r="CO419" s="30"/>
    </row>
    <row r="420" spans="27:93" ht="12.75" x14ac:dyDescent="0.2"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  <c r="BX420" s="23"/>
      <c r="BY420" s="23"/>
      <c r="BZ420" s="23"/>
      <c r="CA420" s="23"/>
      <c r="CB420" s="23"/>
      <c r="CC420" s="23"/>
      <c r="CD420" s="23"/>
      <c r="CE420" s="23"/>
      <c r="CF420" s="23"/>
      <c r="CG420" s="23"/>
      <c r="CH420" s="23"/>
      <c r="CI420" s="23"/>
      <c r="CJ420" s="23"/>
      <c r="CK420" s="23"/>
      <c r="CL420" s="23"/>
      <c r="CO420" s="30"/>
    </row>
    <row r="421" spans="27:93" ht="12.75" x14ac:dyDescent="0.2"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  <c r="BU421" s="23"/>
      <c r="BV421" s="23"/>
      <c r="BW421" s="23"/>
      <c r="BX421" s="23"/>
      <c r="BY421" s="23"/>
      <c r="BZ421" s="23"/>
      <c r="CA421" s="23"/>
      <c r="CB421" s="23"/>
      <c r="CC421" s="23"/>
      <c r="CD421" s="23"/>
      <c r="CE421" s="23"/>
      <c r="CF421" s="23"/>
      <c r="CG421" s="23"/>
      <c r="CH421" s="23"/>
      <c r="CI421" s="23"/>
      <c r="CJ421" s="23"/>
      <c r="CK421" s="23"/>
      <c r="CL421" s="23"/>
      <c r="CO421" s="30"/>
    </row>
    <row r="422" spans="27:93" ht="12.75" x14ac:dyDescent="0.2"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  <c r="BX422" s="23"/>
      <c r="BY422" s="23"/>
      <c r="BZ422" s="23"/>
      <c r="CA422" s="23"/>
      <c r="CB422" s="23"/>
      <c r="CC422" s="23"/>
      <c r="CD422" s="23"/>
      <c r="CE422" s="23"/>
      <c r="CF422" s="23"/>
      <c r="CG422" s="23"/>
      <c r="CH422" s="23"/>
      <c r="CI422" s="23"/>
      <c r="CJ422" s="23"/>
      <c r="CK422" s="23"/>
      <c r="CL422" s="23"/>
      <c r="CO422" s="30"/>
    </row>
    <row r="423" spans="27:93" ht="12.75" x14ac:dyDescent="0.2"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  <c r="BP423" s="23"/>
      <c r="BQ423" s="23"/>
      <c r="BR423" s="23"/>
      <c r="BS423" s="23"/>
      <c r="BT423" s="23"/>
      <c r="BU423" s="23"/>
      <c r="BV423" s="23"/>
      <c r="BW423" s="23"/>
      <c r="BX423" s="23"/>
      <c r="BY423" s="23"/>
      <c r="BZ423" s="23"/>
      <c r="CA423" s="23"/>
      <c r="CB423" s="23"/>
      <c r="CC423" s="23"/>
      <c r="CD423" s="23"/>
      <c r="CE423" s="23"/>
      <c r="CF423" s="23"/>
      <c r="CG423" s="23"/>
      <c r="CH423" s="23"/>
      <c r="CI423" s="23"/>
      <c r="CJ423" s="23"/>
      <c r="CK423" s="23"/>
      <c r="CL423" s="23"/>
      <c r="CO423" s="30"/>
    </row>
    <row r="424" spans="27:93" ht="12.75" x14ac:dyDescent="0.2"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3"/>
      <c r="CA424" s="23"/>
      <c r="CB424" s="23"/>
      <c r="CC424" s="23"/>
      <c r="CD424" s="23"/>
      <c r="CE424" s="23"/>
      <c r="CF424" s="23"/>
      <c r="CG424" s="23"/>
      <c r="CH424" s="23"/>
      <c r="CI424" s="23"/>
      <c r="CJ424" s="23"/>
      <c r="CK424" s="23"/>
      <c r="CL424" s="23"/>
      <c r="CO424" s="30"/>
    </row>
    <row r="425" spans="27:93" ht="12.75" x14ac:dyDescent="0.2"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3"/>
      <c r="CA425" s="23"/>
      <c r="CB425" s="23"/>
      <c r="CC425" s="23"/>
      <c r="CD425" s="23"/>
      <c r="CE425" s="23"/>
      <c r="CF425" s="23"/>
      <c r="CG425" s="23"/>
      <c r="CH425" s="23"/>
      <c r="CI425" s="23"/>
      <c r="CJ425" s="23"/>
      <c r="CK425" s="23"/>
      <c r="CL425" s="23"/>
      <c r="CO425" s="30"/>
    </row>
    <row r="426" spans="27:93" ht="12.75" x14ac:dyDescent="0.2"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  <c r="BX426" s="23"/>
      <c r="BY426" s="23"/>
      <c r="BZ426" s="23"/>
      <c r="CA426" s="23"/>
      <c r="CB426" s="23"/>
      <c r="CC426" s="23"/>
      <c r="CD426" s="23"/>
      <c r="CE426" s="23"/>
      <c r="CF426" s="23"/>
      <c r="CG426" s="23"/>
      <c r="CH426" s="23"/>
      <c r="CI426" s="23"/>
      <c r="CJ426" s="23"/>
      <c r="CK426" s="23"/>
      <c r="CL426" s="23"/>
      <c r="CO426" s="30"/>
    </row>
    <row r="427" spans="27:93" ht="12.75" x14ac:dyDescent="0.2"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/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3"/>
      <c r="CA427" s="23"/>
      <c r="CB427" s="23"/>
      <c r="CC427" s="23"/>
      <c r="CD427" s="23"/>
      <c r="CE427" s="23"/>
      <c r="CF427" s="23"/>
      <c r="CG427" s="23"/>
      <c r="CH427" s="23"/>
      <c r="CI427" s="23"/>
      <c r="CJ427" s="23"/>
      <c r="CK427" s="23"/>
      <c r="CL427" s="23"/>
      <c r="CO427" s="30"/>
    </row>
    <row r="428" spans="27:93" ht="12.75" x14ac:dyDescent="0.2"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  <c r="BX428" s="23"/>
      <c r="BY428" s="23"/>
      <c r="BZ428" s="23"/>
      <c r="CA428" s="23"/>
      <c r="CB428" s="23"/>
      <c r="CC428" s="23"/>
      <c r="CD428" s="23"/>
      <c r="CE428" s="23"/>
      <c r="CF428" s="23"/>
      <c r="CG428" s="23"/>
      <c r="CH428" s="23"/>
      <c r="CI428" s="23"/>
      <c r="CJ428" s="23"/>
      <c r="CK428" s="23"/>
      <c r="CL428" s="23"/>
      <c r="CO428" s="30"/>
    </row>
    <row r="429" spans="27:93" ht="12.75" x14ac:dyDescent="0.2"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  <c r="BP429" s="23"/>
      <c r="BQ429" s="23"/>
      <c r="BR429" s="23"/>
      <c r="BS429" s="23"/>
      <c r="BT429" s="23"/>
      <c r="BU429" s="23"/>
      <c r="BV429" s="23"/>
      <c r="BW429" s="23"/>
      <c r="BX429" s="23"/>
      <c r="BY429" s="23"/>
      <c r="BZ429" s="23"/>
      <c r="CA429" s="23"/>
      <c r="CB429" s="23"/>
      <c r="CC429" s="23"/>
      <c r="CD429" s="23"/>
      <c r="CE429" s="23"/>
      <c r="CF429" s="23"/>
      <c r="CG429" s="23"/>
      <c r="CH429" s="23"/>
      <c r="CI429" s="23"/>
      <c r="CJ429" s="23"/>
      <c r="CK429" s="23"/>
      <c r="CL429" s="23"/>
      <c r="CO429" s="30"/>
    </row>
    <row r="430" spans="27:93" ht="12.75" x14ac:dyDescent="0.2"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  <c r="BX430" s="23"/>
      <c r="BY430" s="23"/>
      <c r="BZ430" s="23"/>
      <c r="CA430" s="23"/>
      <c r="CB430" s="23"/>
      <c r="CC430" s="23"/>
      <c r="CD430" s="23"/>
      <c r="CE430" s="23"/>
      <c r="CF430" s="23"/>
      <c r="CG430" s="23"/>
      <c r="CH430" s="23"/>
      <c r="CI430" s="23"/>
      <c r="CJ430" s="23"/>
      <c r="CK430" s="23"/>
      <c r="CL430" s="23"/>
      <c r="CO430" s="30"/>
    </row>
    <row r="431" spans="27:93" ht="12.75" x14ac:dyDescent="0.2"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3"/>
      <c r="BP431" s="23"/>
      <c r="BQ431" s="23"/>
      <c r="BR431" s="23"/>
      <c r="BS431" s="23"/>
      <c r="BT431" s="23"/>
      <c r="BU431" s="23"/>
      <c r="BV431" s="23"/>
      <c r="BW431" s="23"/>
      <c r="BX431" s="23"/>
      <c r="BY431" s="23"/>
      <c r="BZ431" s="23"/>
      <c r="CA431" s="23"/>
      <c r="CB431" s="23"/>
      <c r="CC431" s="23"/>
      <c r="CD431" s="23"/>
      <c r="CE431" s="23"/>
      <c r="CF431" s="23"/>
      <c r="CG431" s="23"/>
      <c r="CH431" s="23"/>
      <c r="CI431" s="23"/>
      <c r="CJ431" s="23"/>
      <c r="CK431" s="23"/>
      <c r="CL431" s="23"/>
      <c r="CO431" s="30"/>
    </row>
    <row r="432" spans="27:93" ht="12.75" x14ac:dyDescent="0.2"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  <c r="BX432" s="23"/>
      <c r="BY432" s="23"/>
      <c r="BZ432" s="23"/>
      <c r="CA432" s="23"/>
      <c r="CB432" s="23"/>
      <c r="CC432" s="23"/>
      <c r="CD432" s="23"/>
      <c r="CE432" s="23"/>
      <c r="CF432" s="23"/>
      <c r="CG432" s="23"/>
      <c r="CH432" s="23"/>
      <c r="CI432" s="23"/>
      <c r="CJ432" s="23"/>
      <c r="CK432" s="23"/>
      <c r="CL432" s="23"/>
      <c r="CO432" s="30"/>
    </row>
    <row r="433" spans="27:93" ht="12.75" x14ac:dyDescent="0.2"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3"/>
      <c r="BP433" s="23"/>
      <c r="BQ433" s="23"/>
      <c r="BR433" s="23"/>
      <c r="BS433" s="23"/>
      <c r="BT433" s="23"/>
      <c r="BU433" s="23"/>
      <c r="BV433" s="23"/>
      <c r="BW433" s="23"/>
      <c r="BX433" s="23"/>
      <c r="BY433" s="23"/>
      <c r="BZ433" s="23"/>
      <c r="CA433" s="23"/>
      <c r="CB433" s="23"/>
      <c r="CC433" s="23"/>
      <c r="CD433" s="23"/>
      <c r="CE433" s="23"/>
      <c r="CF433" s="23"/>
      <c r="CG433" s="23"/>
      <c r="CH433" s="23"/>
      <c r="CI433" s="23"/>
      <c r="CJ433" s="23"/>
      <c r="CK433" s="23"/>
      <c r="CL433" s="23"/>
      <c r="CO433" s="30"/>
    </row>
    <row r="434" spans="27:93" ht="12.75" x14ac:dyDescent="0.2"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  <c r="BX434" s="23"/>
      <c r="BY434" s="23"/>
      <c r="BZ434" s="23"/>
      <c r="CA434" s="23"/>
      <c r="CB434" s="23"/>
      <c r="CC434" s="23"/>
      <c r="CD434" s="23"/>
      <c r="CE434" s="23"/>
      <c r="CF434" s="23"/>
      <c r="CG434" s="23"/>
      <c r="CH434" s="23"/>
      <c r="CI434" s="23"/>
      <c r="CJ434" s="23"/>
      <c r="CK434" s="23"/>
      <c r="CL434" s="23"/>
      <c r="CO434" s="30"/>
    </row>
    <row r="435" spans="27:93" ht="12.75" x14ac:dyDescent="0.2"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  <c r="BP435" s="23"/>
      <c r="BQ435" s="23"/>
      <c r="BR435" s="23"/>
      <c r="BS435" s="23"/>
      <c r="BT435" s="23"/>
      <c r="BU435" s="23"/>
      <c r="BV435" s="23"/>
      <c r="BW435" s="23"/>
      <c r="BX435" s="23"/>
      <c r="BY435" s="23"/>
      <c r="BZ435" s="23"/>
      <c r="CA435" s="23"/>
      <c r="CB435" s="23"/>
      <c r="CC435" s="23"/>
      <c r="CD435" s="23"/>
      <c r="CE435" s="23"/>
      <c r="CF435" s="23"/>
      <c r="CG435" s="23"/>
      <c r="CH435" s="23"/>
      <c r="CI435" s="23"/>
      <c r="CJ435" s="23"/>
      <c r="CK435" s="23"/>
      <c r="CL435" s="23"/>
      <c r="CO435" s="30"/>
    </row>
    <row r="436" spans="27:93" ht="12.75" x14ac:dyDescent="0.2"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  <c r="BX436" s="23"/>
      <c r="BY436" s="23"/>
      <c r="BZ436" s="23"/>
      <c r="CA436" s="23"/>
      <c r="CB436" s="23"/>
      <c r="CC436" s="23"/>
      <c r="CD436" s="23"/>
      <c r="CE436" s="23"/>
      <c r="CF436" s="23"/>
      <c r="CG436" s="23"/>
      <c r="CH436" s="23"/>
      <c r="CI436" s="23"/>
      <c r="CJ436" s="23"/>
      <c r="CK436" s="23"/>
      <c r="CL436" s="23"/>
      <c r="CO436" s="30"/>
    </row>
    <row r="437" spans="27:93" ht="12.75" x14ac:dyDescent="0.2"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3"/>
      <c r="BP437" s="23"/>
      <c r="BQ437" s="23"/>
      <c r="BR437" s="23"/>
      <c r="BS437" s="23"/>
      <c r="BT437" s="23"/>
      <c r="BU437" s="23"/>
      <c r="BV437" s="23"/>
      <c r="BW437" s="23"/>
      <c r="BX437" s="23"/>
      <c r="BY437" s="23"/>
      <c r="BZ437" s="23"/>
      <c r="CA437" s="23"/>
      <c r="CB437" s="23"/>
      <c r="CC437" s="23"/>
      <c r="CD437" s="23"/>
      <c r="CE437" s="23"/>
      <c r="CF437" s="23"/>
      <c r="CG437" s="23"/>
      <c r="CH437" s="23"/>
      <c r="CI437" s="23"/>
      <c r="CJ437" s="23"/>
      <c r="CK437" s="23"/>
      <c r="CL437" s="23"/>
      <c r="CO437" s="30"/>
    </row>
    <row r="438" spans="27:93" ht="12.75" x14ac:dyDescent="0.2"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  <c r="BX438" s="23"/>
      <c r="BY438" s="23"/>
      <c r="BZ438" s="23"/>
      <c r="CA438" s="23"/>
      <c r="CB438" s="23"/>
      <c r="CC438" s="23"/>
      <c r="CD438" s="23"/>
      <c r="CE438" s="23"/>
      <c r="CF438" s="23"/>
      <c r="CG438" s="23"/>
      <c r="CH438" s="23"/>
      <c r="CI438" s="23"/>
      <c r="CJ438" s="23"/>
      <c r="CK438" s="23"/>
      <c r="CL438" s="23"/>
      <c r="CO438" s="30"/>
    </row>
    <row r="439" spans="27:93" ht="12.75" x14ac:dyDescent="0.2"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3"/>
      <c r="BP439" s="23"/>
      <c r="BQ439" s="23"/>
      <c r="BR439" s="23"/>
      <c r="BS439" s="23"/>
      <c r="BT439" s="23"/>
      <c r="BU439" s="23"/>
      <c r="BV439" s="23"/>
      <c r="BW439" s="23"/>
      <c r="BX439" s="23"/>
      <c r="BY439" s="23"/>
      <c r="BZ439" s="23"/>
      <c r="CA439" s="23"/>
      <c r="CB439" s="23"/>
      <c r="CC439" s="23"/>
      <c r="CD439" s="23"/>
      <c r="CE439" s="23"/>
      <c r="CF439" s="23"/>
      <c r="CG439" s="23"/>
      <c r="CH439" s="23"/>
      <c r="CI439" s="23"/>
      <c r="CJ439" s="23"/>
      <c r="CK439" s="23"/>
      <c r="CL439" s="23"/>
      <c r="CO439" s="30"/>
    </row>
    <row r="440" spans="27:93" ht="12.75" x14ac:dyDescent="0.2"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  <c r="BX440" s="23"/>
      <c r="BY440" s="23"/>
      <c r="BZ440" s="23"/>
      <c r="CA440" s="23"/>
      <c r="CB440" s="23"/>
      <c r="CC440" s="23"/>
      <c r="CD440" s="23"/>
      <c r="CE440" s="23"/>
      <c r="CF440" s="23"/>
      <c r="CG440" s="23"/>
      <c r="CH440" s="23"/>
      <c r="CI440" s="23"/>
      <c r="CJ440" s="23"/>
      <c r="CK440" s="23"/>
      <c r="CL440" s="23"/>
      <c r="CO440" s="30"/>
    </row>
    <row r="441" spans="27:93" ht="12.75" x14ac:dyDescent="0.2"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3"/>
      <c r="BP441" s="23"/>
      <c r="BQ441" s="23"/>
      <c r="BR441" s="23"/>
      <c r="BS441" s="23"/>
      <c r="BT441" s="23"/>
      <c r="BU441" s="23"/>
      <c r="BV441" s="23"/>
      <c r="BW441" s="23"/>
      <c r="BX441" s="23"/>
      <c r="BY441" s="23"/>
      <c r="BZ441" s="23"/>
      <c r="CA441" s="23"/>
      <c r="CB441" s="23"/>
      <c r="CC441" s="23"/>
      <c r="CD441" s="23"/>
      <c r="CE441" s="23"/>
      <c r="CF441" s="23"/>
      <c r="CG441" s="23"/>
      <c r="CH441" s="23"/>
      <c r="CI441" s="23"/>
      <c r="CJ441" s="23"/>
      <c r="CK441" s="23"/>
      <c r="CL441" s="23"/>
      <c r="CO441" s="30"/>
    </row>
    <row r="442" spans="27:93" ht="12.75" x14ac:dyDescent="0.2"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3"/>
      <c r="CA442" s="23"/>
      <c r="CB442" s="23"/>
      <c r="CC442" s="23"/>
      <c r="CD442" s="23"/>
      <c r="CE442" s="23"/>
      <c r="CF442" s="23"/>
      <c r="CG442" s="23"/>
      <c r="CH442" s="23"/>
      <c r="CI442" s="23"/>
      <c r="CJ442" s="23"/>
      <c r="CK442" s="23"/>
      <c r="CL442" s="23"/>
      <c r="CO442" s="30"/>
    </row>
    <row r="443" spans="27:93" ht="12.75" x14ac:dyDescent="0.2"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/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3"/>
      <c r="CA443" s="23"/>
      <c r="CB443" s="23"/>
      <c r="CC443" s="23"/>
      <c r="CD443" s="23"/>
      <c r="CE443" s="23"/>
      <c r="CF443" s="23"/>
      <c r="CG443" s="23"/>
      <c r="CH443" s="23"/>
      <c r="CI443" s="23"/>
      <c r="CJ443" s="23"/>
      <c r="CK443" s="23"/>
      <c r="CL443" s="23"/>
      <c r="CO443" s="30"/>
    </row>
    <row r="444" spans="27:93" ht="12.75" x14ac:dyDescent="0.2"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  <c r="BU444" s="23"/>
      <c r="BV444" s="23"/>
      <c r="BW444" s="23"/>
      <c r="BX444" s="23"/>
      <c r="BY444" s="23"/>
      <c r="BZ444" s="23"/>
      <c r="CA444" s="23"/>
      <c r="CB444" s="23"/>
      <c r="CC444" s="23"/>
      <c r="CD444" s="23"/>
      <c r="CE444" s="23"/>
      <c r="CF444" s="23"/>
      <c r="CG444" s="23"/>
      <c r="CH444" s="23"/>
      <c r="CI444" s="23"/>
      <c r="CJ444" s="23"/>
      <c r="CK444" s="23"/>
      <c r="CL444" s="23"/>
      <c r="CO444" s="30"/>
    </row>
    <row r="445" spans="27:93" ht="12.75" x14ac:dyDescent="0.2"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/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3"/>
      <c r="CA445" s="23"/>
      <c r="CB445" s="23"/>
      <c r="CC445" s="23"/>
      <c r="CD445" s="23"/>
      <c r="CE445" s="23"/>
      <c r="CF445" s="23"/>
      <c r="CG445" s="23"/>
      <c r="CH445" s="23"/>
      <c r="CI445" s="23"/>
      <c r="CJ445" s="23"/>
      <c r="CK445" s="23"/>
      <c r="CL445" s="23"/>
      <c r="CO445" s="30"/>
    </row>
    <row r="446" spans="27:93" ht="12.75" x14ac:dyDescent="0.2"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  <c r="BX446" s="23"/>
      <c r="BY446" s="23"/>
      <c r="BZ446" s="23"/>
      <c r="CA446" s="23"/>
      <c r="CB446" s="23"/>
      <c r="CC446" s="23"/>
      <c r="CD446" s="23"/>
      <c r="CE446" s="23"/>
      <c r="CF446" s="23"/>
      <c r="CG446" s="23"/>
      <c r="CH446" s="23"/>
      <c r="CI446" s="23"/>
      <c r="CJ446" s="23"/>
      <c r="CK446" s="23"/>
      <c r="CL446" s="23"/>
      <c r="CO446" s="30"/>
    </row>
    <row r="447" spans="27:93" ht="12.75" x14ac:dyDescent="0.2"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  <c r="BP447" s="23"/>
      <c r="BQ447" s="23"/>
      <c r="BR447" s="23"/>
      <c r="BS447" s="23"/>
      <c r="BT447" s="23"/>
      <c r="BU447" s="23"/>
      <c r="BV447" s="23"/>
      <c r="BW447" s="23"/>
      <c r="BX447" s="23"/>
      <c r="BY447" s="23"/>
      <c r="BZ447" s="23"/>
      <c r="CA447" s="23"/>
      <c r="CB447" s="23"/>
      <c r="CC447" s="23"/>
      <c r="CD447" s="23"/>
      <c r="CE447" s="23"/>
      <c r="CF447" s="23"/>
      <c r="CG447" s="23"/>
      <c r="CH447" s="23"/>
      <c r="CI447" s="23"/>
      <c r="CJ447" s="23"/>
      <c r="CK447" s="23"/>
      <c r="CL447" s="23"/>
      <c r="CO447" s="30"/>
    </row>
    <row r="448" spans="27:93" ht="12.75" x14ac:dyDescent="0.2"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  <c r="BX448" s="23"/>
      <c r="BY448" s="23"/>
      <c r="BZ448" s="23"/>
      <c r="CA448" s="23"/>
      <c r="CB448" s="23"/>
      <c r="CC448" s="23"/>
      <c r="CD448" s="23"/>
      <c r="CE448" s="23"/>
      <c r="CF448" s="23"/>
      <c r="CG448" s="23"/>
      <c r="CH448" s="23"/>
      <c r="CI448" s="23"/>
      <c r="CJ448" s="23"/>
      <c r="CK448" s="23"/>
      <c r="CL448" s="23"/>
      <c r="CO448" s="30"/>
    </row>
    <row r="449" spans="27:93" ht="12.75" x14ac:dyDescent="0.2"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3"/>
      <c r="BP449" s="23"/>
      <c r="BQ449" s="23"/>
      <c r="BR449" s="23"/>
      <c r="BS449" s="23"/>
      <c r="BT449" s="23"/>
      <c r="BU449" s="23"/>
      <c r="BV449" s="23"/>
      <c r="BW449" s="23"/>
      <c r="BX449" s="23"/>
      <c r="BY449" s="23"/>
      <c r="BZ449" s="23"/>
      <c r="CA449" s="23"/>
      <c r="CB449" s="23"/>
      <c r="CC449" s="23"/>
      <c r="CD449" s="23"/>
      <c r="CE449" s="23"/>
      <c r="CF449" s="23"/>
      <c r="CG449" s="23"/>
      <c r="CH449" s="23"/>
      <c r="CI449" s="23"/>
      <c r="CJ449" s="23"/>
      <c r="CK449" s="23"/>
      <c r="CL449" s="23"/>
      <c r="CO449" s="30"/>
    </row>
    <row r="450" spans="27:93" ht="12.75" x14ac:dyDescent="0.2"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  <c r="BU450" s="23"/>
      <c r="BV450" s="23"/>
      <c r="BW450" s="23"/>
      <c r="BX450" s="23"/>
      <c r="BY450" s="23"/>
      <c r="BZ450" s="23"/>
      <c r="CA450" s="23"/>
      <c r="CB450" s="23"/>
      <c r="CC450" s="23"/>
      <c r="CD450" s="23"/>
      <c r="CE450" s="23"/>
      <c r="CF450" s="23"/>
      <c r="CG450" s="23"/>
      <c r="CH450" s="23"/>
      <c r="CI450" s="23"/>
      <c r="CJ450" s="23"/>
      <c r="CK450" s="23"/>
      <c r="CL450" s="23"/>
      <c r="CO450" s="30"/>
    </row>
    <row r="451" spans="27:93" ht="12.75" x14ac:dyDescent="0.2"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3"/>
      <c r="BP451" s="23"/>
      <c r="BQ451" s="23"/>
      <c r="BR451" s="23"/>
      <c r="BS451" s="23"/>
      <c r="BT451" s="23"/>
      <c r="BU451" s="23"/>
      <c r="BV451" s="23"/>
      <c r="BW451" s="23"/>
      <c r="BX451" s="23"/>
      <c r="BY451" s="23"/>
      <c r="BZ451" s="23"/>
      <c r="CA451" s="23"/>
      <c r="CB451" s="23"/>
      <c r="CC451" s="23"/>
      <c r="CD451" s="23"/>
      <c r="CE451" s="23"/>
      <c r="CF451" s="23"/>
      <c r="CG451" s="23"/>
      <c r="CH451" s="23"/>
      <c r="CI451" s="23"/>
      <c r="CJ451" s="23"/>
      <c r="CK451" s="23"/>
      <c r="CL451" s="23"/>
      <c r="CO451" s="30"/>
    </row>
    <row r="452" spans="27:93" ht="12.75" x14ac:dyDescent="0.2"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23"/>
      <c r="BU452" s="23"/>
      <c r="BV452" s="23"/>
      <c r="BW452" s="23"/>
      <c r="BX452" s="23"/>
      <c r="BY452" s="23"/>
      <c r="BZ452" s="23"/>
      <c r="CA452" s="23"/>
      <c r="CB452" s="23"/>
      <c r="CC452" s="23"/>
      <c r="CD452" s="23"/>
      <c r="CE452" s="23"/>
      <c r="CF452" s="23"/>
      <c r="CG452" s="23"/>
      <c r="CH452" s="23"/>
      <c r="CI452" s="23"/>
      <c r="CJ452" s="23"/>
      <c r="CK452" s="23"/>
      <c r="CL452" s="23"/>
      <c r="CO452" s="30"/>
    </row>
    <row r="453" spans="27:93" ht="12.75" x14ac:dyDescent="0.2"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3"/>
      <c r="BP453" s="23"/>
      <c r="BQ453" s="23"/>
      <c r="BR453" s="23"/>
      <c r="BS453" s="23"/>
      <c r="BT453" s="23"/>
      <c r="BU453" s="23"/>
      <c r="BV453" s="23"/>
      <c r="BW453" s="23"/>
      <c r="BX453" s="23"/>
      <c r="BY453" s="23"/>
      <c r="BZ453" s="23"/>
      <c r="CA453" s="23"/>
      <c r="CB453" s="23"/>
      <c r="CC453" s="23"/>
      <c r="CD453" s="23"/>
      <c r="CE453" s="23"/>
      <c r="CF453" s="23"/>
      <c r="CG453" s="23"/>
      <c r="CH453" s="23"/>
      <c r="CI453" s="23"/>
      <c r="CJ453" s="23"/>
      <c r="CK453" s="23"/>
      <c r="CL453" s="23"/>
      <c r="CO453" s="30"/>
    </row>
    <row r="454" spans="27:93" ht="12.75" x14ac:dyDescent="0.2"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  <c r="BX454" s="23"/>
      <c r="BY454" s="23"/>
      <c r="BZ454" s="23"/>
      <c r="CA454" s="23"/>
      <c r="CB454" s="23"/>
      <c r="CC454" s="23"/>
      <c r="CD454" s="23"/>
      <c r="CE454" s="23"/>
      <c r="CF454" s="23"/>
      <c r="CG454" s="23"/>
      <c r="CH454" s="23"/>
      <c r="CI454" s="23"/>
      <c r="CJ454" s="23"/>
      <c r="CK454" s="23"/>
      <c r="CL454" s="23"/>
      <c r="CO454" s="30"/>
    </row>
    <row r="455" spans="27:93" ht="12.75" x14ac:dyDescent="0.2"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3"/>
      <c r="BP455" s="23"/>
      <c r="BQ455" s="23"/>
      <c r="BR455" s="23"/>
      <c r="BS455" s="23"/>
      <c r="BT455" s="23"/>
      <c r="BU455" s="23"/>
      <c r="BV455" s="23"/>
      <c r="BW455" s="23"/>
      <c r="BX455" s="23"/>
      <c r="BY455" s="23"/>
      <c r="BZ455" s="23"/>
      <c r="CA455" s="23"/>
      <c r="CB455" s="23"/>
      <c r="CC455" s="23"/>
      <c r="CD455" s="23"/>
      <c r="CE455" s="23"/>
      <c r="CF455" s="23"/>
      <c r="CG455" s="23"/>
      <c r="CH455" s="23"/>
      <c r="CI455" s="23"/>
      <c r="CJ455" s="23"/>
      <c r="CK455" s="23"/>
      <c r="CL455" s="23"/>
      <c r="CO455" s="30"/>
    </row>
    <row r="456" spans="27:93" ht="12.75" x14ac:dyDescent="0.2"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23"/>
      <c r="BU456" s="23"/>
      <c r="BV456" s="23"/>
      <c r="BW456" s="23"/>
      <c r="BX456" s="23"/>
      <c r="BY456" s="23"/>
      <c r="BZ456" s="23"/>
      <c r="CA456" s="23"/>
      <c r="CB456" s="23"/>
      <c r="CC456" s="23"/>
      <c r="CD456" s="23"/>
      <c r="CE456" s="23"/>
      <c r="CF456" s="23"/>
      <c r="CG456" s="23"/>
      <c r="CH456" s="23"/>
      <c r="CI456" s="23"/>
      <c r="CJ456" s="23"/>
      <c r="CK456" s="23"/>
      <c r="CL456" s="23"/>
      <c r="CO456" s="30"/>
    </row>
    <row r="457" spans="27:93" ht="12.75" x14ac:dyDescent="0.2"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3"/>
      <c r="BP457" s="23"/>
      <c r="BQ457" s="23"/>
      <c r="BR457" s="23"/>
      <c r="BS457" s="23"/>
      <c r="BT457" s="23"/>
      <c r="BU457" s="23"/>
      <c r="BV457" s="23"/>
      <c r="BW457" s="23"/>
      <c r="BX457" s="23"/>
      <c r="BY457" s="23"/>
      <c r="BZ457" s="23"/>
      <c r="CA457" s="23"/>
      <c r="CB457" s="23"/>
      <c r="CC457" s="23"/>
      <c r="CD457" s="23"/>
      <c r="CE457" s="23"/>
      <c r="CF457" s="23"/>
      <c r="CG457" s="23"/>
      <c r="CH457" s="23"/>
      <c r="CI457" s="23"/>
      <c r="CJ457" s="23"/>
      <c r="CK457" s="23"/>
      <c r="CL457" s="23"/>
      <c r="CO457" s="30"/>
    </row>
    <row r="458" spans="27:93" ht="12.75" x14ac:dyDescent="0.2"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  <c r="BU458" s="23"/>
      <c r="BV458" s="23"/>
      <c r="BW458" s="23"/>
      <c r="BX458" s="23"/>
      <c r="BY458" s="23"/>
      <c r="BZ458" s="23"/>
      <c r="CA458" s="23"/>
      <c r="CB458" s="23"/>
      <c r="CC458" s="23"/>
      <c r="CD458" s="23"/>
      <c r="CE458" s="23"/>
      <c r="CF458" s="23"/>
      <c r="CG458" s="23"/>
      <c r="CH458" s="23"/>
      <c r="CI458" s="23"/>
      <c r="CJ458" s="23"/>
      <c r="CK458" s="23"/>
      <c r="CL458" s="23"/>
      <c r="CO458" s="30"/>
    </row>
    <row r="459" spans="27:93" ht="12.75" x14ac:dyDescent="0.2"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3"/>
      <c r="BP459" s="23"/>
      <c r="BQ459" s="23"/>
      <c r="BR459" s="23"/>
      <c r="BS459" s="23"/>
      <c r="BT459" s="23"/>
      <c r="BU459" s="23"/>
      <c r="BV459" s="23"/>
      <c r="BW459" s="23"/>
      <c r="BX459" s="23"/>
      <c r="BY459" s="23"/>
      <c r="BZ459" s="23"/>
      <c r="CA459" s="23"/>
      <c r="CB459" s="23"/>
      <c r="CC459" s="23"/>
      <c r="CD459" s="23"/>
      <c r="CE459" s="23"/>
      <c r="CF459" s="23"/>
      <c r="CG459" s="23"/>
      <c r="CH459" s="23"/>
      <c r="CI459" s="23"/>
      <c r="CJ459" s="23"/>
      <c r="CK459" s="23"/>
      <c r="CL459" s="23"/>
      <c r="CO459" s="30"/>
    </row>
    <row r="460" spans="27:93" ht="12.75" x14ac:dyDescent="0.2"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  <c r="BX460" s="23"/>
      <c r="BY460" s="23"/>
      <c r="BZ460" s="23"/>
      <c r="CA460" s="23"/>
      <c r="CB460" s="23"/>
      <c r="CC460" s="23"/>
      <c r="CD460" s="23"/>
      <c r="CE460" s="23"/>
      <c r="CF460" s="23"/>
      <c r="CG460" s="23"/>
      <c r="CH460" s="23"/>
      <c r="CI460" s="23"/>
      <c r="CJ460" s="23"/>
      <c r="CK460" s="23"/>
      <c r="CL460" s="23"/>
      <c r="CO460" s="30"/>
    </row>
    <row r="461" spans="27:93" ht="12.75" x14ac:dyDescent="0.2"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  <c r="BP461" s="23"/>
      <c r="BQ461" s="23"/>
      <c r="BR461" s="23"/>
      <c r="BS461" s="23"/>
      <c r="BT461" s="23"/>
      <c r="BU461" s="23"/>
      <c r="BV461" s="23"/>
      <c r="BW461" s="23"/>
      <c r="BX461" s="23"/>
      <c r="BY461" s="23"/>
      <c r="BZ461" s="23"/>
      <c r="CA461" s="23"/>
      <c r="CB461" s="23"/>
      <c r="CC461" s="23"/>
      <c r="CD461" s="23"/>
      <c r="CE461" s="23"/>
      <c r="CF461" s="23"/>
      <c r="CG461" s="23"/>
      <c r="CH461" s="23"/>
      <c r="CI461" s="23"/>
      <c r="CJ461" s="23"/>
      <c r="CK461" s="23"/>
      <c r="CL461" s="23"/>
      <c r="CO461" s="30"/>
    </row>
    <row r="462" spans="27:93" ht="12.75" x14ac:dyDescent="0.2"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  <c r="BX462" s="23"/>
      <c r="BY462" s="23"/>
      <c r="BZ462" s="23"/>
      <c r="CA462" s="23"/>
      <c r="CB462" s="23"/>
      <c r="CC462" s="23"/>
      <c r="CD462" s="23"/>
      <c r="CE462" s="23"/>
      <c r="CF462" s="23"/>
      <c r="CG462" s="23"/>
      <c r="CH462" s="23"/>
      <c r="CI462" s="23"/>
      <c r="CJ462" s="23"/>
      <c r="CK462" s="23"/>
      <c r="CL462" s="23"/>
      <c r="CO462" s="30"/>
    </row>
    <row r="463" spans="27:93" ht="12.75" x14ac:dyDescent="0.2"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  <c r="BP463" s="23"/>
      <c r="BQ463" s="23"/>
      <c r="BR463" s="23"/>
      <c r="BS463" s="23"/>
      <c r="BT463" s="23"/>
      <c r="BU463" s="23"/>
      <c r="BV463" s="23"/>
      <c r="BW463" s="23"/>
      <c r="BX463" s="23"/>
      <c r="BY463" s="23"/>
      <c r="BZ463" s="23"/>
      <c r="CA463" s="23"/>
      <c r="CB463" s="23"/>
      <c r="CC463" s="23"/>
      <c r="CD463" s="23"/>
      <c r="CE463" s="23"/>
      <c r="CF463" s="23"/>
      <c r="CG463" s="23"/>
      <c r="CH463" s="23"/>
      <c r="CI463" s="23"/>
      <c r="CJ463" s="23"/>
      <c r="CK463" s="23"/>
      <c r="CL463" s="23"/>
      <c r="CO463" s="30"/>
    </row>
    <row r="464" spans="27:93" ht="12.75" x14ac:dyDescent="0.2"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3"/>
      <c r="CA464" s="23"/>
      <c r="CB464" s="23"/>
      <c r="CC464" s="23"/>
      <c r="CD464" s="23"/>
      <c r="CE464" s="23"/>
      <c r="CF464" s="23"/>
      <c r="CG464" s="23"/>
      <c r="CH464" s="23"/>
      <c r="CI464" s="23"/>
      <c r="CJ464" s="23"/>
      <c r="CK464" s="23"/>
      <c r="CL464" s="23"/>
      <c r="CO464" s="30"/>
    </row>
    <row r="465" spans="27:93" ht="12.75" x14ac:dyDescent="0.2"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/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3"/>
      <c r="CA465" s="23"/>
      <c r="CB465" s="23"/>
      <c r="CC465" s="23"/>
      <c r="CD465" s="23"/>
      <c r="CE465" s="23"/>
      <c r="CF465" s="23"/>
      <c r="CG465" s="23"/>
      <c r="CH465" s="23"/>
      <c r="CI465" s="23"/>
      <c r="CJ465" s="23"/>
      <c r="CK465" s="23"/>
      <c r="CL465" s="23"/>
      <c r="CO465" s="30"/>
    </row>
    <row r="466" spans="27:93" ht="12.75" x14ac:dyDescent="0.2"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  <c r="BX466" s="23"/>
      <c r="BY466" s="23"/>
      <c r="BZ466" s="23"/>
      <c r="CA466" s="23"/>
      <c r="CB466" s="23"/>
      <c r="CC466" s="23"/>
      <c r="CD466" s="23"/>
      <c r="CE466" s="23"/>
      <c r="CF466" s="23"/>
      <c r="CG466" s="23"/>
      <c r="CH466" s="23"/>
      <c r="CI466" s="23"/>
      <c r="CJ466" s="23"/>
      <c r="CK466" s="23"/>
      <c r="CL466" s="23"/>
      <c r="CO466" s="30"/>
    </row>
    <row r="467" spans="27:93" ht="12.75" x14ac:dyDescent="0.2"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/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3"/>
      <c r="CA467" s="23"/>
      <c r="CB467" s="23"/>
      <c r="CC467" s="23"/>
      <c r="CD467" s="23"/>
      <c r="CE467" s="23"/>
      <c r="CF467" s="23"/>
      <c r="CG467" s="23"/>
      <c r="CH467" s="23"/>
      <c r="CI467" s="23"/>
      <c r="CJ467" s="23"/>
      <c r="CK467" s="23"/>
      <c r="CL467" s="23"/>
      <c r="CO467" s="30"/>
    </row>
    <row r="468" spans="27:93" ht="12.75" x14ac:dyDescent="0.2"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  <c r="BU468" s="23"/>
      <c r="BV468" s="23"/>
      <c r="BW468" s="23"/>
      <c r="BX468" s="23"/>
      <c r="BY468" s="23"/>
      <c r="BZ468" s="23"/>
      <c r="CA468" s="23"/>
      <c r="CB468" s="23"/>
      <c r="CC468" s="23"/>
      <c r="CD468" s="23"/>
      <c r="CE468" s="23"/>
      <c r="CF468" s="23"/>
      <c r="CG468" s="23"/>
      <c r="CH468" s="23"/>
      <c r="CI468" s="23"/>
      <c r="CJ468" s="23"/>
      <c r="CK468" s="23"/>
      <c r="CL468" s="23"/>
      <c r="CO468" s="30"/>
    </row>
    <row r="469" spans="27:93" ht="12.75" x14ac:dyDescent="0.2"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3"/>
      <c r="BP469" s="23"/>
      <c r="BQ469" s="23"/>
      <c r="BR469" s="23"/>
      <c r="BS469" s="23"/>
      <c r="BT469" s="23"/>
      <c r="BU469" s="23"/>
      <c r="BV469" s="23"/>
      <c r="BW469" s="23"/>
      <c r="BX469" s="23"/>
      <c r="BY469" s="23"/>
      <c r="BZ469" s="23"/>
      <c r="CA469" s="23"/>
      <c r="CB469" s="23"/>
      <c r="CC469" s="23"/>
      <c r="CD469" s="23"/>
      <c r="CE469" s="23"/>
      <c r="CF469" s="23"/>
      <c r="CG469" s="23"/>
      <c r="CH469" s="23"/>
      <c r="CI469" s="23"/>
      <c r="CJ469" s="23"/>
      <c r="CK469" s="23"/>
      <c r="CL469" s="23"/>
      <c r="CO469" s="30"/>
    </row>
    <row r="470" spans="27:93" ht="12.75" x14ac:dyDescent="0.2"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  <c r="BU470" s="23"/>
      <c r="BV470" s="23"/>
      <c r="BW470" s="23"/>
      <c r="BX470" s="23"/>
      <c r="BY470" s="23"/>
      <c r="BZ470" s="23"/>
      <c r="CA470" s="23"/>
      <c r="CB470" s="23"/>
      <c r="CC470" s="23"/>
      <c r="CD470" s="23"/>
      <c r="CE470" s="23"/>
      <c r="CF470" s="23"/>
      <c r="CG470" s="23"/>
      <c r="CH470" s="23"/>
      <c r="CI470" s="23"/>
      <c r="CJ470" s="23"/>
      <c r="CK470" s="23"/>
      <c r="CL470" s="23"/>
      <c r="CO470" s="30"/>
    </row>
    <row r="471" spans="27:93" ht="12.75" x14ac:dyDescent="0.2"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3"/>
      <c r="BP471" s="23"/>
      <c r="BQ471" s="23"/>
      <c r="BR471" s="23"/>
      <c r="BS471" s="23"/>
      <c r="BT471" s="23"/>
      <c r="BU471" s="23"/>
      <c r="BV471" s="23"/>
      <c r="BW471" s="23"/>
      <c r="BX471" s="23"/>
      <c r="BY471" s="23"/>
      <c r="BZ471" s="23"/>
      <c r="CA471" s="23"/>
      <c r="CB471" s="23"/>
      <c r="CC471" s="23"/>
      <c r="CD471" s="23"/>
      <c r="CE471" s="23"/>
      <c r="CF471" s="23"/>
      <c r="CG471" s="23"/>
      <c r="CH471" s="23"/>
      <c r="CI471" s="23"/>
      <c r="CJ471" s="23"/>
      <c r="CK471" s="23"/>
      <c r="CL471" s="23"/>
      <c r="CO471" s="30"/>
    </row>
    <row r="472" spans="27:93" ht="12.75" x14ac:dyDescent="0.2"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  <c r="BU472" s="23"/>
      <c r="BV472" s="23"/>
      <c r="BW472" s="23"/>
      <c r="BX472" s="23"/>
      <c r="BY472" s="23"/>
      <c r="BZ472" s="23"/>
      <c r="CA472" s="23"/>
      <c r="CB472" s="23"/>
      <c r="CC472" s="23"/>
      <c r="CD472" s="23"/>
      <c r="CE472" s="23"/>
      <c r="CF472" s="23"/>
      <c r="CG472" s="23"/>
      <c r="CH472" s="23"/>
      <c r="CI472" s="23"/>
      <c r="CJ472" s="23"/>
      <c r="CK472" s="23"/>
      <c r="CL472" s="23"/>
      <c r="CO472" s="30"/>
    </row>
    <row r="473" spans="27:93" ht="12.75" x14ac:dyDescent="0.2"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3"/>
      <c r="BP473" s="23"/>
      <c r="BQ473" s="23"/>
      <c r="BR473" s="23"/>
      <c r="BS473" s="23"/>
      <c r="BT473" s="23"/>
      <c r="BU473" s="23"/>
      <c r="BV473" s="23"/>
      <c r="BW473" s="23"/>
      <c r="BX473" s="23"/>
      <c r="BY473" s="23"/>
      <c r="BZ473" s="23"/>
      <c r="CA473" s="23"/>
      <c r="CB473" s="23"/>
      <c r="CC473" s="23"/>
      <c r="CD473" s="23"/>
      <c r="CE473" s="23"/>
      <c r="CF473" s="23"/>
      <c r="CG473" s="23"/>
      <c r="CH473" s="23"/>
      <c r="CI473" s="23"/>
      <c r="CJ473" s="23"/>
      <c r="CK473" s="23"/>
      <c r="CL473" s="23"/>
      <c r="CO473" s="30"/>
    </row>
    <row r="474" spans="27:93" ht="12.75" x14ac:dyDescent="0.2"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  <c r="BX474" s="23"/>
      <c r="BY474" s="23"/>
      <c r="BZ474" s="23"/>
      <c r="CA474" s="23"/>
      <c r="CB474" s="23"/>
      <c r="CC474" s="23"/>
      <c r="CD474" s="23"/>
      <c r="CE474" s="23"/>
      <c r="CF474" s="23"/>
      <c r="CG474" s="23"/>
      <c r="CH474" s="23"/>
      <c r="CI474" s="23"/>
      <c r="CJ474" s="23"/>
      <c r="CK474" s="23"/>
      <c r="CL474" s="23"/>
      <c r="CO474" s="30"/>
    </row>
    <row r="475" spans="27:93" ht="12.75" x14ac:dyDescent="0.2"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3"/>
      <c r="BP475" s="23"/>
      <c r="BQ475" s="23"/>
      <c r="BR475" s="23"/>
      <c r="BS475" s="23"/>
      <c r="BT475" s="23"/>
      <c r="BU475" s="23"/>
      <c r="BV475" s="23"/>
      <c r="BW475" s="23"/>
      <c r="BX475" s="23"/>
      <c r="BY475" s="23"/>
      <c r="BZ475" s="23"/>
      <c r="CA475" s="23"/>
      <c r="CB475" s="23"/>
      <c r="CC475" s="23"/>
      <c r="CD475" s="23"/>
      <c r="CE475" s="23"/>
      <c r="CF475" s="23"/>
      <c r="CG475" s="23"/>
      <c r="CH475" s="23"/>
      <c r="CI475" s="23"/>
      <c r="CJ475" s="23"/>
      <c r="CK475" s="23"/>
      <c r="CL475" s="23"/>
      <c r="CO475" s="30"/>
    </row>
    <row r="476" spans="27:93" ht="12.75" x14ac:dyDescent="0.2"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  <c r="BU476" s="23"/>
      <c r="BV476" s="23"/>
      <c r="BW476" s="23"/>
      <c r="BX476" s="23"/>
      <c r="BY476" s="23"/>
      <c r="BZ476" s="23"/>
      <c r="CA476" s="23"/>
      <c r="CB476" s="23"/>
      <c r="CC476" s="23"/>
      <c r="CD476" s="23"/>
      <c r="CE476" s="23"/>
      <c r="CF476" s="23"/>
      <c r="CG476" s="23"/>
      <c r="CH476" s="23"/>
      <c r="CI476" s="23"/>
      <c r="CJ476" s="23"/>
      <c r="CK476" s="23"/>
      <c r="CL476" s="23"/>
      <c r="CO476" s="30"/>
    </row>
    <row r="477" spans="27:93" ht="12.75" x14ac:dyDescent="0.2"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3"/>
      <c r="BP477" s="23"/>
      <c r="BQ477" s="23"/>
      <c r="BR477" s="23"/>
      <c r="BS477" s="23"/>
      <c r="BT477" s="23"/>
      <c r="BU477" s="23"/>
      <c r="BV477" s="23"/>
      <c r="BW477" s="23"/>
      <c r="BX477" s="23"/>
      <c r="BY477" s="23"/>
      <c r="BZ477" s="23"/>
      <c r="CA477" s="23"/>
      <c r="CB477" s="23"/>
      <c r="CC477" s="23"/>
      <c r="CD477" s="23"/>
      <c r="CE477" s="23"/>
      <c r="CF477" s="23"/>
      <c r="CG477" s="23"/>
      <c r="CH477" s="23"/>
      <c r="CI477" s="23"/>
      <c r="CJ477" s="23"/>
      <c r="CK477" s="23"/>
      <c r="CL477" s="23"/>
      <c r="CO477" s="30"/>
    </row>
    <row r="478" spans="27:93" ht="12.75" x14ac:dyDescent="0.2"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  <c r="BU478" s="23"/>
      <c r="BV478" s="23"/>
      <c r="BW478" s="23"/>
      <c r="BX478" s="23"/>
      <c r="BY478" s="23"/>
      <c r="BZ478" s="23"/>
      <c r="CA478" s="23"/>
      <c r="CB478" s="23"/>
      <c r="CC478" s="23"/>
      <c r="CD478" s="23"/>
      <c r="CE478" s="23"/>
      <c r="CF478" s="23"/>
      <c r="CG478" s="23"/>
      <c r="CH478" s="23"/>
      <c r="CI478" s="23"/>
      <c r="CJ478" s="23"/>
      <c r="CK478" s="23"/>
      <c r="CL478" s="23"/>
      <c r="CO478" s="30"/>
    </row>
    <row r="479" spans="27:93" ht="12.75" x14ac:dyDescent="0.2"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3"/>
      <c r="BP479" s="23"/>
      <c r="BQ479" s="23"/>
      <c r="BR479" s="23"/>
      <c r="BS479" s="23"/>
      <c r="BT479" s="23"/>
      <c r="BU479" s="23"/>
      <c r="BV479" s="23"/>
      <c r="BW479" s="23"/>
      <c r="BX479" s="23"/>
      <c r="BY479" s="23"/>
      <c r="BZ479" s="23"/>
      <c r="CA479" s="23"/>
      <c r="CB479" s="23"/>
      <c r="CC479" s="23"/>
      <c r="CD479" s="23"/>
      <c r="CE479" s="23"/>
      <c r="CF479" s="23"/>
      <c r="CG479" s="23"/>
      <c r="CH479" s="23"/>
      <c r="CI479" s="23"/>
      <c r="CJ479" s="23"/>
      <c r="CK479" s="23"/>
      <c r="CL479" s="23"/>
      <c r="CO479" s="30"/>
    </row>
    <row r="480" spans="27:93" ht="12.75" x14ac:dyDescent="0.2"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3"/>
      <c r="CA480" s="23"/>
      <c r="CB480" s="23"/>
      <c r="CC480" s="23"/>
      <c r="CD480" s="23"/>
      <c r="CE480" s="23"/>
      <c r="CF480" s="23"/>
      <c r="CG480" s="23"/>
      <c r="CH480" s="23"/>
      <c r="CI480" s="23"/>
      <c r="CJ480" s="23"/>
      <c r="CK480" s="23"/>
      <c r="CL480" s="23"/>
      <c r="CO480" s="30"/>
    </row>
    <row r="481" spans="27:93" ht="12.75" x14ac:dyDescent="0.2"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/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3"/>
      <c r="CA481" s="23"/>
      <c r="CB481" s="23"/>
      <c r="CC481" s="23"/>
      <c r="CD481" s="23"/>
      <c r="CE481" s="23"/>
      <c r="CF481" s="23"/>
      <c r="CG481" s="23"/>
      <c r="CH481" s="23"/>
      <c r="CI481" s="23"/>
      <c r="CJ481" s="23"/>
      <c r="CK481" s="23"/>
      <c r="CL481" s="23"/>
      <c r="CO481" s="30"/>
    </row>
    <row r="482" spans="27:93" ht="12.75" x14ac:dyDescent="0.2"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3"/>
      <c r="BQ482" s="23"/>
      <c r="BR482" s="23"/>
      <c r="BS482" s="23"/>
      <c r="BT482" s="23"/>
      <c r="BU482" s="23"/>
      <c r="BV482" s="23"/>
      <c r="BW482" s="23"/>
      <c r="BX482" s="23"/>
      <c r="BY482" s="23"/>
      <c r="BZ482" s="23"/>
      <c r="CA482" s="23"/>
      <c r="CB482" s="23"/>
      <c r="CC482" s="23"/>
      <c r="CD482" s="23"/>
      <c r="CE482" s="23"/>
      <c r="CF482" s="23"/>
      <c r="CG482" s="23"/>
      <c r="CH482" s="23"/>
      <c r="CI482" s="23"/>
      <c r="CJ482" s="23"/>
      <c r="CK482" s="23"/>
      <c r="CL482" s="23"/>
      <c r="CO482" s="30"/>
    </row>
    <row r="483" spans="27:93" ht="12.75" x14ac:dyDescent="0.2"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/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3"/>
      <c r="CA483" s="23"/>
      <c r="CB483" s="23"/>
      <c r="CC483" s="23"/>
      <c r="CD483" s="23"/>
      <c r="CE483" s="23"/>
      <c r="CF483" s="23"/>
      <c r="CG483" s="23"/>
      <c r="CH483" s="23"/>
      <c r="CI483" s="23"/>
      <c r="CJ483" s="23"/>
      <c r="CK483" s="23"/>
      <c r="CL483" s="23"/>
      <c r="CO483" s="30"/>
    </row>
    <row r="484" spans="27:93" ht="12.75" x14ac:dyDescent="0.2"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3"/>
      <c r="BQ484" s="23"/>
      <c r="BR484" s="23"/>
      <c r="BS484" s="23"/>
      <c r="BT484" s="23"/>
      <c r="BU484" s="23"/>
      <c r="BV484" s="23"/>
      <c r="BW484" s="23"/>
      <c r="BX484" s="23"/>
      <c r="BY484" s="23"/>
      <c r="BZ484" s="23"/>
      <c r="CA484" s="23"/>
      <c r="CB484" s="23"/>
      <c r="CC484" s="23"/>
      <c r="CD484" s="23"/>
      <c r="CE484" s="23"/>
      <c r="CF484" s="23"/>
      <c r="CG484" s="23"/>
      <c r="CH484" s="23"/>
      <c r="CI484" s="23"/>
      <c r="CJ484" s="23"/>
      <c r="CK484" s="23"/>
      <c r="CL484" s="23"/>
      <c r="CO484" s="30"/>
    </row>
    <row r="485" spans="27:93" ht="12.75" x14ac:dyDescent="0.2"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3"/>
      <c r="BN485" s="23"/>
      <c r="BO485" s="23"/>
      <c r="BP485" s="23"/>
      <c r="BQ485" s="23"/>
      <c r="BR485" s="23"/>
      <c r="BS485" s="23"/>
      <c r="BT485" s="23"/>
      <c r="BU485" s="23"/>
      <c r="BV485" s="23"/>
      <c r="BW485" s="23"/>
      <c r="BX485" s="23"/>
      <c r="BY485" s="23"/>
      <c r="BZ485" s="23"/>
      <c r="CA485" s="23"/>
      <c r="CB485" s="23"/>
      <c r="CC485" s="23"/>
      <c r="CD485" s="23"/>
      <c r="CE485" s="23"/>
      <c r="CF485" s="23"/>
      <c r="CG485" s="23"/>
      <c r="CH485" s="23"/>
      <c r="CI485" s="23"/>
      <c r="CJ485" s="23"/>
      <c r="CK485" s="23"/>
      <c r="CL485" s="23"/>
      <c r="CO485" s="30"/>
    </row>
    <row r="486" spans="27:93" ht="12.75" x14ac:dyDescent="0.2"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3"/>
      <c r="BQ486" s="23"/>
      <c r="BR486" s="23"/>
      <c r="BS486" s="23"/>
      <c r="BT486" s="23"/>
      <c r="BU486" s="23"/>
      <c r="BV486" s="23"/>
      <c r="BW486" s="23"/>
      <c r="BX486" s="23"/>
      <c r="BY486" s="23"/>
      <c r="BZ486" s="23"/>
      <c r="CA486" s="23"/>
      <c r="CB486" s="23"/>
      <c r="CC486" s="23"/>
      <c r="CD486" s="23"/>
      <c r="CE486" s="23"/>
      <c r="CF486" s="23"/>
      <c r="CG486" s="23"/>
      <c r="CH486" s="23"/>
      <c r="CI486" s="23"/>
      <c r="CJ486" s="23"/>
      <c r="CK486" s="23"/>
      <c r="CL486" s="23"/>
      <c r="CO486" s="30"/>
    </row>
    <row r="487" spans="27:93" ht="12.75" x14ac:dyDescent="0.2"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  <c r="BP487" s="23"/>
      <c r="BQ487" s="23"/>
      <c r="BR487" s="23"/>
      <c r="BS487" s="23"/>
      <c r="BT487" s="23"/>
      <c r="BU487" s="23"/>
      <c r="BV487" s="23"/>
      <c r="BW487" s="23"/>
      <c r="BX487" s="23"/>
      <c r="BY487" s="23"/>
      <c r="BZ487" s="23"/>
      <c r="CA487" s="23"/>
      <c r="CB487" s="23"/>
      <c r="CC487" s="23"/>
      <c r="CD487" s="23"/>
      <c r="CE487" s="23"/>
      <c r="CF487" s="23"/>
      <c r="CG487" s="23"/>
      <c r="CH487" s="23"/>
      <c r="CI487" s="23"/>
      <c r="CJ487" s="23"/>
      <c r="CK487" s="23"/>
      <c r="CL487" s="23"/>
      <c r="CO487" s="30"/>
    </row>
    <row r="488" spans="27:93" ht="12.75" x14ac:dyDescent="0.2"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  <c r="BX488" s="23"/>
      <c r="BY488" s="23"/>
      <c r="BZ488" s="23"/>
      <c r="CA488" s="23"/>
      <c r="CB488" s="23"/>
      <c r="CC488" s="23"/>
      <c r="CD488" s="23"/>
      <c r="CE488" s="23"/>
      <c r="CF488" s="23"/>
      <c r="CG488" s="23"/>
      <c r="CH488" s="23"/>
      <c r="CI488" s="23"/>
      <c r="CJ488" s="23"/>
      <c r="CK488" s="23"/>
      <c r="CL488" s="23"/>
      <c r="CO488" s="30"/>
    </row>
    <row r="489" spans="27:93" ht="12.75" x14ac:dyDescent="0.2"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  <c r="BP489" s="23"/>
      <c r="BQ489" s="23"/>
      <c r="BR489" s="23"/>
      <c r="BS489" s="23"/>
      <c r="BT489" s="23"/>
      <c r="BU489" s="23"/>
      <c r="BV489" s="23"/>
      <c r="BW489" s="23"/>
      <c r="BX489" s="23"/>
      <c r="BY489" s="23"/>
      <c r="BZ489" s="23"/>
      <c r="CA489" s="23"/>
      <c r="CB489" s="23"/>
      <c r="CC489" s="23"/>
      <c r="CD489" s="23"/>
      <c r="CE489" s="23"/>
      <c r="CF489" s="23"/>
      <c r="CG489" s="23"/>
      <c r="CH489" s="23"/>
      <c r="CI489" s="23"/>
      <c r="CJ489" s="23"/>
      <c r="CK489" s="23"/>
      <c r="CL489" s="23"/>
      <c r="CO489" s="30"/>
    </row>
    <row r="490" spans="27:93" ht="12.75" x14ac:dyDescent="0.2"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23"/>
      <c r="BU490" s="23"/>
      <c r="BV490" s="23"/>
      <c r="BW490" s="23"/>
      <c r="BX490" s="23"/>
      <c r="BY490" s="23"/>
      <c r="BZ490" s="23"/>
      <c r="CA490" s="23"/>
      <c r="CB490" s="23"/>
      <c r="CC490" s="23"/>
      <c r="CD490" s="23"/>
      <c r="CE490" s="23"/>
      <c r="CF490" s="23"/>
      <c r="CG490" s="23"/>
      <c r="CH490" s="23"/>
      <c r="CI490" s="23"/>
      <c r="CJ490" s="23"/>
      <c r="CK490" s="23"/>
      <c r="CL490" s="23"/>
      <c r="CO490" s="30"/>
    </row>
    <row r="491" spans="27:93" ht="12.75" x14ac:dyDescent="0.2"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  <c r="BP491" s="23"/>
      <c r="BQ491" s="23"/>
      <c r="BR491" s="23"/>
      <c r="BS491" s="23"/>
      <c r="BT491" s="23"/>
      <c r="BU491" s="23"/>
      <c r="BV491" s="23"/>
      <c r="BW491" s="23"/>
      <c r="BX491" s="23"/>
      <c r="BY491" s="23"/>
      <c r="BZ491" s="23"/>
      <c r="CA491" s="23"/>
      <c r="CB491" s="23"/>
      <c r="CC491" s="23"/>
      <c r="CD491" s="23"/>
      <c r="CE491" s="23"/>
      <c r="CF491" s="23"/>
      <c r="CG491" s="23"/>
      <c r="CH491" s="23"/>
      <c r="CI491" s="23"/>
      <c r="CJ491" s="23"/>
      <c r="CK491" s="23"/>
      <c r="CL491" s="23"/>
      <c r="CO491" s="30"/>
    </row>
    <row r="492" spans="27:93" ht="12.75" x14ac:dyDescent="0.2"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23"/>
      <c r="BU492" s="23"/>
      <c r="BV492" s="23"/>
      <c r="BW492" s="23"/>
      <c r="BX492" s="23"/>
      <c r="BY492" s="23"/>
      <c r="BZ492" s="23"/>
      <c r="CA492" s="23"/>
      <c r="CB492" s="23"/>
      <c r="CC492" s="23"/>
      <c r="CD492" s="23"/>
      <c r="CE492" s="23"/>
      <c r="CF492" s="23"/>
      <c r="CG492" s="23"/>
      <c r="CH492" s="23"/>
      <c r="CI492" s="23"/>
      <c r="CJ492" s="23"/>
      <c r="CK492" s="23"/>
      <c r="CL492" s="23"/>
      <c r="CO492" s="30"/>
    </row>
    <row r="493" spans="27:93" ht="12.75" x14ac:dyDescent="0.2"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  <c r="BP493" s="23"/>
      <c r="BQ493" s="23"/>
      <c r="BR493" s="23"/>
      <c r="BS493" s="23"/>
      <c r="BT493" s="23"/>
      <c r="BU493" s="23"/>
      <c r="BV493" s="23"/>
      <c r="BW493" s="23"/>
      <c r="BX493" s="23"/>
      <c r="BY493" s="23"/>
      <c r="BZ493" s="23"/>
      <c r="CA493" s="23"/>
      <c r="CB493" s="23"/>
      <c r="CC493" s="23"/>
      <c r="CD493" s="23"/>
      <c r="CE493" s="23"/>
      <c r="CF493" s="23"/>
      <c r="CG493" s="23"/>
      <c r="CH493" s="23"/>
      <c r="CI493" s="23"/>
      <c r="CJ493" s="23"/>
      <c r="CK493" s="23"/>
      <c r="CL493" s="23"/>
      <c r="CO493" s="30"/>
    </row>
    <row r="494" spans="27:93" ht="12.75" x14ac:dyDescent="0.2"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23"/>
      <c r="BU494" s="23"/>
      <c r="BV494" s="23"/>
      <c r="BW494" s="23"/>
      <c r="BX494" s="23"/>
      <c r="BY494" s="23"/>
      <c r="BZ494" s="23"/>
      <c r="CA494" s="23"/>
      <c r="CB494" s="23"/>
      <c r="CC494" s="23"/>
      <c r="CD494" s="23"/>
      <c r="CE494" s="23"/>
      <c r="CF494" s="23"/>
      <c r="CG494" s="23"/>
      <c r="CH494" s="23"/>
      <c r="CI494" s="23"/>
      <c r="CJ494" s="23"/>
      <c r="CK494" s="23"/>
      <c r="CL494" s="23"/>
      <c r="CO494" s="30"/>
    </row>
    <row r="495" spans="27:93" ht="12.75" x14ac:dyDescent="0.2"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  <c r="BP495" s="23"/>
      <c r="BQ495" s="23"/>
      <c r="BR495" s="23"/>
      <c r="BS495" s="23"/>
      <c r="BT495" s="23"/>
      <c r="BU495" s="23"/>
      <c r="BV495" s="23"/>
      <c r="BW495" s="23"/>
      <c r="BX495" s="23"/>
      <c r="BY495" s="23"/>
      <c r="BZ495" s="23"/>
      <c r="CA495" s="23"/>
      <c r="CB495" s="23"/>
      <c r="CC495" s="23"/>
      <c r="CD495" s="23"/>
      <c r="CE495" s="23"/>
      <c r="CF495" s="23"/>
      <c r="CG495" s="23"/>
      <c r="CH495" s="23"/>
      <c r="CI495" s="23"/>
      <c r="CJ495" s="23"/>
      <c r="CK495" s="23"/>
      <c r="CL495" s="23"/>
      <c r="CO495" s="30"/>
    </row>
    <row r="496" spans="27:93" ht="12.75" x14ac:dyDescent="0.2"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23"/>
      <c r="BU496" s="23"/>
      <c r="BV496" s="23"/>
      <c r="BW496" s="23"/>
      <c r="BX496" s="23"/>
      <c r="BY496" s="23"/>
      <c r="BZ496" s="23"/>
      <c r="CA496" s="23"/>
      <c r="CB496" s="23"/>
      <c r="CC496" s="23"/>
      <c r="CD496" s="23"/>
      <c r="CE496" s="23"/>
      <c r="CF496" s="23"/>
      <c r="CG496" s="23"/>
      <c r="CH496" s="23"/>
      <c r="CI496" s="23"/>
      <c r="CJ496" s="23"/>
      <c r="CK496" s="23"/>
      <c r="CL496" s="23"/>
      <c r="CO496" s="30"/>
    </row>
    <row r="497" spans="27:93" ht="12.75" x14ac:dyDescent="0.2"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  <c r="BP497" s="23"/>
      <c r="BQ497" s="23"/>
      <c r="BR497" s="23"/>
      <c r="BS497" s="23"/>
      <c r="BT497" s="23"/>
      <c r="BU497" s="23"/>
      <c r="BV497" s="23"/>
      <c r="BW497" s="23"/>
      <c r="BX497" s="23"/>
      <c r="BY497" s="23"/>
      <c r="BZ497" s="23"/>
      <c r="CA497" s="23"/>
      <c r="CB497" s="23"/>
      <c r="CC497" s="23"/>
      <c r="CD497" s="23"/>
      <c r="CE497" s="23"/>
      <c r="CF497" s="23"/>
      <c r="CG497" s="23"/>
      <c r="CH497" s="23"/>
      <c r="CI497" s="23"/>
      <c r="CJ497" s="23"/>
      <c r="CK497" s="23"/>
      <c r="CL497" s="23"/>
      <c r="CO497" s="30"/>
    </row>
    <row r="498" spans="27:93" ht="12.75" x14ac:dyDescent="0.2"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23"/>
      <c r="BU498" s="23"/>
      <c r="BV498" s="23"/>
      <c r="BW498" s="23"/>
      <c r="BX498" s="23"/>
      <c r="BY498" s="23"/>
      <c r="BZ498" s="23"/>
      <c r="CA498" s="23"/>
      <c r="CB498" s="23"/>
      <c r="CC498" s="23"/>
      <c r="CD498" s="23"/>
      <c r="CE498" s="23"/>
      <c r="CF498" s="23"/>
      <c r="CG498" s="23"/>
      <c r="CH498" s="23"/>
      <c r="CI498" s="23"/>
      <c r="CJ498" s="23"/>
      <c r="CK498" s="23"/>
      <c r="CL498" s="23"/>
      <c r="CO498" s="30"/>
    </row>
    <row r="499" spans="27:93" ht="12.75" x14ac:dyDescent="0.2"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  <c r="BP499" s="23"/>
      <c r="BQ499" s="23"/>
      <c r="BR499" s="23"/>
      <c r="BS499" s="23"/>
      <c r="BT499" s="23"/>
      <c r="BU499" s="23"/>
      <c r="BV499" s="23"/>
      <c r="BW499" s="23"/>
      <c r="BX499" s="23"/>
      <c r="BY499" s="23"/>
      <c r="BZ499" s="23"/>
      <c r="CA499" s="23"/>
      <c r="CB499" s="23"/>
      <c r="CC499" s="23"/>
      <c r="CD499" s="23"/>
      <c r="CE499" s="23"/>
      <c r="CF499" s="23"/>
      <c r="CG499" s="23"/>
      <c r="CH499" s="23"/>
      <c r="CI499" s="23"/>
      <c r="CJ499" s="23"/>
      <c r="CK499" s="23"/>
      <c r="CL499" s="23"/>
      <c r="CO499" s="30"/>
    </row>
    <row r="500" spans="27:93" ht="12.75" x14ac:dyDescent="0.2"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3"/>
      <c r="BQ500" s="23"/>
      <c r="BR500" s="23"/>
      <c r="BS500" s="23"/>
      <c r="BT500" s="23"/>
      <c r="BU500" s="23"/>
      <c r="BV500" s="23"/>
      <c r="BW500" s="23"/>
      <c r="BX500" s="23"/>
      <c r="BY500" s="23"/>
      <c r="BZ500" s="23"/>
      <c r="CA500" s="23"/>
      <c r="CB500" s="23"/>
      <c r="CC500" s="23"/>
      <c r="CD500" s="23"/>
      <c r="CE500" s="23"/>
      <c r="CF500" s="23"/>
      <c r="CG500" s="23"/>
      <c r="CH500" s="23"/>
      <c r="CI500" s="23"/>
      <c r="CJ500" s="23"/>
      <c r="CK500" s="23"/>
      <c r="CL500" s="23"/>
      <c r="CO500" s="30"/>
    </row>
    <row r="501" spans="27:93" ht="12.75" x14ac:dyDescent="0.2"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23"/>
      <c r="BP501" s="23"/>
      <c r="BQ501" s="23"/>
      <c r="BR501" s="23"/>
      <c r="BS501" s="23"/>
      <c r="BT501" s="23"/>
      <c r="BU501" s="23"/>
      <c r="BV501" s="23"/>
      <c r="BW501" s="23"/>
      <c r="BX501" s="23"/>
      <c r="BY501" s="23"/>
      <c r="BZ501" s="23"/>
      <c r="CA501" s="23"/>
      <c r="CB501" s="23"/>
      <c r="CC501" s="23"/>
      <c r="CD501" s="23"/>
      <c r="CE501" s="23"/>
      <c r="CF501" s="23"/>
      <c r="CG501" s="23"/>
      <c r="CH501" s="23"/>
      <c r="CI501" s="23"/>
      <c r="CJ501" s="23"/>
      <c r="CK501" s="23"/>
      <c r="CL501" s="23"/>
      <c r="CO501" s="30"/>
    </row>
    <row r="502" spans="27:93" ht="12.75" x14ac:dyDescent="0.2"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3"/>
      <c r="BP502" s="23"/>
      <c r="BQ502" s="23"/>
      <c r="BR502" s="23"/>
      <c r="BS502" s="23"/>
      <c r="BT502" s="23"/>
      <c r="BU502" s="23"/>
      <c r="BV502" s="23"/>
      <c r="BW502" s="23"/>
      <c r="BX502" s="23"/>
      <c r="BY502" s="23"/>
      <c r="BZ502" s="23"/>
      <c r="CA502" s="23"/>
      <c r="CB502" s="23"/>
      <c r="CC502" s="23"/>
      <c r="CD502" s="23"/>
      <c r="CE502" s="23"/>
      <c r="CF502" s="23"/>
      <c r="CG502" s="23"/>
      <c r="CH502" s="23"/>
      <c r="CI502" s="23"/>
      <c r="CJ502" s="23"/>
      <c r="CK502" s="23"/>
      <c r="CL502" s="23"/>
      <c r="CO502" s="30"/>
    </row>
    <row r="503" spans="27:93" ht="12.75" x14ac:dyDescent="0.2"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3"/>
      <c r="BP503" s="23"/>
      <c r="BQ503" s="23"/>
      <c r="BR503" s="23"/>
      <c r="BS503" s="23"/>
      <c r="BT503" s="23"/>
      <c r="BU503" s="23"/>
      <c r="BV503" s="23"/>
      <c r="BW503" s="23"/>
      <c r="BX503" s="23"/>
      <c r="BY503" s="23"/>
      <c r="BZ503" s="23"/>
      <c r="CA503" s="23"/>
      <c r="CB503" s="23"/>
      <c r="CC503" s="23"/>
      <c r="CD503" s="23"/>
      <c r="CE503" s="23"/>
      <c r="CF503" s="23"/>
      <c r="CG503" s="23"/>
      <c r="CH503" s="23"/>
      <c r="CI503" s="23"/>
      <c r="CJ503" s="23"/>
      <c r="CK503" s="23"/>
      <c r="CL503" s="23"/>
      <c r="CO503" s="30"/>
    </row>
    <row r="504" spans="27:93" ht="12.75" x14ac:dyDescent="0.2"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/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3"/>
      <c r="CA504" s="23"/>
      <c r="CB504" s="23"/>
      <c r="CC504" s="23"/>
      <c r="CD504" s="23"/>
      <c r="CE504" s="23"/>
      <c r="CF504" s="23"/>
      <c r="CG504" s="23"/>
      <c r="CH504" s="23"/>
      <c r="CI504" s="23"/>
      <c r="CJ504" s="23"/>
      <c r="CK504" s="23"/>
      <c r="CL504" s="23"/>
      <c r="CO504" s="30"/>
    </row>
    <row r="505" spans="27:93" ht="12.75" x14ac:dyDescent="0.2"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/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3"/>
      <c r="CA505" s="23"/>
      <c r="CB505" s="23"/>
      <c r="CC505" s="23"/>
      <c r="CD505" s="23"/>
      <c r="CE505" s="23"/>
      <c r="CF505" s="23"/>
      <c r="CG505" s="23"/>
      <c r="CH505" s="23"/>
      <c r="CI505" s="23"/>
      <c r="CJ505" s="23"/>
      <c r="CK505" s="23"/>
      <c r="CL505" s="23"/>
      <c r="CO505" s="30"/>
    </row>
    <row r="506" spans="27:93" ht="12.75" x14ac:dyDescent="0.2"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3"/>
      <c r="BP506" s="23"/>
      <c r="BQ506" s="23"/>
      <c r="BR506" s="23"/>
      <c r="BS506" s="23"/>
      <c r="BT506" s="23"/>
      <c r="BU506" s="23"/>
      <c r="BV506" s="23"/>
      <c r="BW506" s="23"/>
      <c r="BX506" s="23"/>
      <c r="BY506" s="23"/>
      <c r="BZ506" s="23"/>
      <c r="CA506" s="23"/>
      <c r="CB506" s="23"/>
      <c r="CC506" s="23"/>
      <c r="CD506" s="23"/>
      <c r="CE506" s="23"/>
      <c r="CF506" s="23"/>
      <c r="CG506" s="23"/>
      <c r="CH506" s="23"/>
      <c r="CI506" s="23"/>
      <c r="CJ506" s="23"/>
      <c r="CK506" s="23"/>
      <c r="CL506" s="23"/>
      <c r="CO506" s="30"/>
    </row>
    <row r="507" spans="27:93" ht="12.75" x14ac:dyDescent="0.2"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/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3"/>
      <c r="CA507" s="23"/>
      <c r="CB507" s="23"/>
      <c r="CC507" s="23"/>
      <c r="CD507" s="23"/>
      <c r="CE507" s="23"/>
      <c r="CF507" s="23"/>
      <c r="CG507" s="23"/>
      <c r="CH507" s="23"/>
      <c r="CI507" s="23"/>
      <c r="CJ507" s="23"/>
      <c r="CK507" s="23"/>
      <c r="CL507" s="23"/>
      <c r="CO507" s="30"/>
    </row>
    <row r="508" spans="27:93" ht="12.75" x14ac:dyDescent="0.2"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  <c r="BM508" s="23"/>
      <c r="BN508" s="23"/>
      <c r="BO508" s="23"/>
      <c r="BP508" s="23"/>
      <c r="BQ508" s="23"/>
      <c r="BR508" s="23"/>
      <c r="BS508" s="23"/>
      <c r="BT508" s="23"/>
      <c r="BU508" s="23"/>
      <c r="BV508" s="23"/>
      <c r="BW508" s="23"/>
      <c r="BX508" s="23"/>
      <c r="BY508" s="23"/>
      <c r="BZ508" s="23"/>
      <c r="CA508" s="23"/>
      <c r="CB508" s="23"/>
      <c r="CC508" s="23"/>
      <c r="CD508" s="23"/>
      <c r="CE508" s="23"/>
      <c r="CF508" s="23"/>
      <c r="CG508" s="23"/>
      <c r="CH508" s="23"/>
      <c r="CI508" s="23"/>
      <c r="CJ508" s="23"/>
      <c r="CK508" s="23"/>
      <c r="CL508" s="23"/>
      <c r="CO508" s="30"/>
    </row>
    <row r="509" spans="27:93" ht="12.75" x14ac:dyDescent="0.2"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  <c r="BM509" s="23"/>
      <c r="BN509" s="23"/>
      <c r="BO509" s="23"/>
      <c r="BP509" s="23"/>
      <c r="BQ509" s="23"/>
      <c r="BR509" s="23"/>
      <c r="BS509" s="23"/>
      <c r="BT509" s="23"/>
      <c r="BU509" s="23"/>
      <c r="BV509" s="23"/>
      <c r="BW509" s="23"/>
      <c r="BX509" s="23"/>
      <c r="BY509" s="23"/>
      <c r="BZ509" s="23"/>
      <c r="CA509" s="23"/>
      <c r="CB509" s="23"/>
      <c r="CC509" s="23"/>
      <c r="CD509" s="23"/>
      <c r="CE509" s="23"/>
      <c r="CF509" s="23"/>
      <c r="CG509" s="23"/>
      <c r="CH509" s="23"/>
      <c r="CI509" s="23"/>
      <c r="CJ509" s="23"/>
      <c r="CK509" s="23"/>
      <c r="CL509" s="23"/>
      <c r="CO509" s="30"/>
    </row>
    <row r="510" spans="27:93" ht="12.75" x14ac:dyDescent="0.2"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  <c r="BM510" s="23"/>
      <c r="BN510" s="23"/>
      <c r="BO510" s="23"/>
      <c r="BP510" s="23"/>
      <c r="BQ510" s="23"/>
      <c r="BR510" s="23"/>
      <c r="BS510" s="23"/>
      <c r="BT510" s="23"/>
      <c r="BU510" s="23"/>
      <c r="BV510" s="23"/>
      <c r="BW510" s="23"/>
      <c r="BX510" s="23"/>
      <c r="BY510" s="23"/>
      <c r="BZ510" s="23"/>
      <c r="CA510" s="23"/>
      <c r="CB510" s="23"/>
      <c r="CC510" s="23"/>
      <c r="CD510" s="23"/>
      <c r="CE510" s="23"/>
      <c r="CF510" s="23"/>
      <c r="CG510" s="23"/>
      <c r="CH510" s="23"/>
      <c r="CI510" s="23"/>
      <c r="CJ510" s="23"/>
      <c r="CK510" s="23"/>
      <c r="CL510" s="23"/>
      <c r="CO510" s="30"/>
    </row>
    <row r="511" spans="27:93" ht="12.75" x14ac:dyDescent="0.2"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3"/>
      <c r="BP511" s="23"/>
      <c r="BQ511" s="23"/>
      <c r="BR511" s="23"/>
      <c r="BS511" s="23"/>
      <c r="BT511" s="23"/>
      <c r="BU511" s="23"/>
      <c r="BV511" s="23"/>
      <c r="BW511" s="23"/>
      <c r="BX511" s="23"/>
      <c r="BY511" s="23"/>
      <c r="BZ511" s="23"/>
      <c r="CA511" s="23"/>
      <c r="CB511" s="23"/>
      <c r="CC511" s="23"/>
      <c r="CD511" s="23"/>
      <c r="CE511" s="23"/>
      <c r="CF511" s="23"/>
      <c r="CG511" s="23"/>
      <c r="CH511" s="23"/>
      <c r="CI511" s="23"/>
      <c r="CJ511" s="23"/>
      <c r="CK511" s="23"/>
      <c r="CL511" s="23"/>
      <c r="CO511" s="30"/>
    </row>
    <row r="512" spans="27:93" ht="12.75" x14ac:dyDescent="0.2"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  <c r="BM512" s="23"/>
      <c r="BN512" s="23"/>
      <c r="BO512" s="23"/>
      <c r="BP512" s="23"/>
      <c r="BQ512" s="23"/>
      <c r="BR512" s="23"/>
      <c r="BS512" s="23"/>
      <c r="BT512" s="23"/>
      <c r="BU512" s="23"/>
      <c r="BV512" s="23"/>
      <c r="BW512" s="23"/>
      <c r="BX512" s="23"/>
      <c r="BY512" s="23"/>
      <c r="BZ512" s="23"/>
      <c r="CA512" s="23"/>
      <c r="CB512" s="23"/>
      <c r="CC512" s="23"/>
      <c r="CD512" s="23"/>
      <c r="CE512" s="23"/>
      <c r="CF512" s="23"/>
      <c r="CG512" s="23"/>
      <c r="CH512" s="23"/>
      <c r="CI512" s="23"/>
      <c r="CJ512" s="23"/>
      <c r="CK512" s="23"/>
      <c r="CL512" s="23"/>
      <c r="CO512" s="30"/>
    </row>
    <row r="513" spans="27:93" ht="12.75" x14ac:dyDescent="0.2"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  <c r="BM513" s="23"/>
      <c r="BN513" s="23"/>
      <c r="BO513" s="23"/>
      <c r="BP513" s="23"/>
      <c r="BQ513" s="23"/>
      <c r="BR513" s="23"/>
      <c r="BS513" s="23"/>
      <c r="BT513" s="23"/>
      <c r="BU513" s="23"/>
      <c r="BV513" s="23"/>
      <c r="BW513" s="23"/>
      <c r="BX513" s="23"/>
      <c r="BY513" s="23"/>
      <c r="BZ513" s="23"/>
      <c r="CA513" s="23"/>
      <c r="CB513" s="23"/>
      <c r="CC513" s="23"/>
      <c r="CD513" s="23"/>
      <c r="CE513" s="23"/>
      <c r="CF513" s="23"/>
      <c r="CG513" s="23"/>
      <c r="CH513" s="23"/>
      <c r="CI513" s="23"/>
      <c r="CJ513" s="23"/>
      <c r="CK513" s="23"/>
      <c r="CL513" s="23"/>
      <c r="CO513" s="30"/>
    </row>
    <row r="514" spans="27:93" ht="12.75" x14ac:dyDescent="0.2"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  <c r="BM514" s="23"/>
      <c r="BN514" s="23"/>
      <c r="BO514" s="23"/>
      <c r="BP514" s="23"/>
      <c r="BQ514" s="23"/>
      <c r="BR514" s="23"/>
      <c r="BS514" s="23"/>
      <c r="BT514" s="23"/>
      <c r="BU514" s="23"/>
      <c r="BV514" s="23"/>
      <c r="BW514" s="23"/>
      <c r="BX514" s="23"/>
      <c r="BY514" s="23"/>
      <c r="BZ514" s="23"/>
      <c r="CA514" s="23"/>
      <c r="CB514" s="23"/>
      <c r="CC514" s="23"/>
      <c r="CD514" s="23"/>
      <c r="CE514" s="23"/>
      <c r="CF514" s="23"/>
      <c r="CG514" s="23"/>
      <c r="CH514" s="23"/>
      <c r="CI514" s="23"/>
      <c r="CJ514" s="23"/>
      <c r="CK514" s="23"/>
      <c r="CL514" s="23"/>
      <c r="CO514" s="30"/>
    </row>
    <row r="515" spans="27:93" ht="12.75" x14ac:dyDescent="0.2"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  <c r="BP515" s="23"/>
      <c r="BQ515" s="23"/>
      <c r="BR515" s="23"/>
      <c r="BS515" s="23"/>
      <c r="BT515" s="23"/>
      <c r="BU515" s="23"/>
      <c r="BV515" s="23"/>
      <c r="BW515" s="23"/>
      <c r="BX515" s="23"/>
      <c r="BY515" s="23"/>
      <c r="BZ515" s="23"/>
      <c r="CA515" s="23"/>
      <c r="CB515" s="23"/>
      <c r="CC515" s="23"/>
      <c r="CD515" s="23"/>
      <c r="CE515" s="23"/>
      <c r="CF515" s="23"/>
      <c r="CG515" s="23"/>
      <c r="CH515" s="23"/>
      <c r="CI515" s="23"/>
      <c r="CJ515" s="23"/>
      <c r="CK515" s="23"/>
      <c r="CL515" s="23"/>
      <c r="CO515" s="30"/>
    </row>
    <row r="516" spans="27:93" ht="12.75" x14ac:dyDescent="0.2"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  <c r="BM516" s="23"/>
      <c r="BN516" s="23"/>
      <c r="BO516" s="23"/>
      <c r="BP516" s="23"/>
      <c r="BQ516" s="23"/>
      <c r="BR516" s="23"/>
      <c r="BS516" s="23"/>
      <c r="BT516" s="23"/>
      <c r="BU516" s="23"/>
      <c r="BV516" s="23"/>
      <c r="BW516" s="23"/>
      <c r="BX516" s="23"/>
      <c r="BY516" s="23"/>
      <c r="BZ516" s="23"/>
      <c r="CA516" s="23"/>
      <c r="CB516" s="23"/>
      <c r="CC516" s="23"/>
      <c r="CD516" s="23"/>
      <c r="CE516" s="23"/>
      <c r="CF516" s="23"/>
      <c r="CG516" s="23"/>
      <c r="CH516" s="23"/>
      <c r="CI516" s="23"/>
      <c r="CJ516" s="23"/>
      <c r="CK516" s="23"/>
      <c r="CL516" s="23"/>
      <c r="CO516" s="30"/>
    </row>
    <row r="517" spans="27:93" ht="12.75" x14ac:dyDescent="0.2"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3"/>
      <c r="BP517" s="23"/>
      <c r="BQ517" s="23"/>
      <c r="BR517" s="23"/>
      <c r="BS517" s="23"/>
      <c r="BT517" s="23"/>
      <c r="BU517" s="23"/>
      <c r="BV517" s="23"/>
      <c r="BW517" s="23"/>
      <c r="BX517" s="23"/>
      <c r="BY517" s="23"/>
      <c r="BZ517" s="23"/>
      <c r="CA517" s="23"/>
      <c r="CB517" s="23"/>
      <c r="CC517" s="23"/>
      <c r="CD517" s="23"/>
      <c r="CE517" s="23"/>
      <c r="CF517" s="23"/>
      <c r="CG517" s="23"/>
      <c r="CH517" s="23"/>
      <c r="CI517" s="23"/>
      <c r="CJ517" s="23"/>
      <c r="CK517" s="23"/>
      <c r="CL517" s="23"/>
      <c r="CO517" s="30"/>
    </row>
    <row r="518" spans="27:93" ht="12.75" x14ac:dyDescent="0.2"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/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3"/>
      <c r="CA518" s="23"/>
      <c r="CB518" s="23"/>
      <c r="CC518" s="23"/>
      <c r="CD518" s="23"/>
      <c r="CE518" s="23"/>
      <c r="CF518" s="23"/>
      <c r="CG518" s="23"/>
      <c r="CH518" s="23"/>
      <c r="CI518" s="23"/>
      <c r="CJ518" s="23"/>
      <c r="CK518" s="23"/>
      <c r="CL518" s="23"/>
      <c r="CO518" s="30"/>
    </row>
    <row r="519" spans="27:93" ht="12.75" x14ac:dyDescent="0.2"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/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3"/>
      <c r="CA519" s="23"/>
      <c r="CB519" s="23"/>
      <c r="CC519" s="23"/>
      <c r="CD519" s="23"/>
      <c r="CE519" s="23"/>
      <c r="CF519" s="23"/>
      <c r="CG519" s="23"/>
      <c r="CH519" s="23"/>
      <c r="CI519" s="23"/>
      <c r="CJ519" s="23"/>
      <c r="CK519" s="23"/>
      <c r="CL519" s="23"/>
      <c r="CO519" s="30"/>
    </row>
    <row r="520" spans="27:93" ht="12.75" x14ac:dyDescent="0.2"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  <c r="BM520" s="23"/>
      <c r="BN520" s="23"/>
      <c r="BO520" s="23"/>
      <c r="BP520" s="23"/>
      <c r="BQ520" s="23"/>
      <c r="BR520" s="23"/>
      <c r="BS520" s="23"/>
      <c r="BT520" s="23"/>
      <c r="BU520" s="23"/>
      <c r="BV520" s="23"/>
      <c r="BW520" s="23"/>
      <c r="BX520" s="23"/>
      <c r="BY520" s="23"/>
      <c r="BZ520" s="23"/>
      <c r="CA520" s="23"/>
      <c r="CB520" s="23"/>
      <c r="CC520" s="23"/>
      <c r="CD520" s="23"/>
      <c r="CE520" s="23"/>
      <c r="CF520" s="23"/>
      <c r="CG520" s="23"/>
      <c r="CH520" s="23"/>
      <c r="CI520" s="23"/>
      <c r="CJ520" s="23"/>
      <c r="CK520" s="23"/>
      <c r="CL520" s="23"/>
      <c r="CO520" s="30"/>
    </row>
    <row r="521" spans="27:93" ht="12.75" x14ac:dyDescent="0.2"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/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3"/>
      <c r="CA521" s="23"/>
      <c r="CB521" s="23"/>
      <c r="CC521" s="23"/>
      <c r="CD521" s="23"/>
      <c r="CE521" s="23"/>
      <c r="CF521" s="23"/>
      <c r="CG521" s="23"/>
      <c r="CH521" s="23"/>
      <c r="CI521" s="23"/>
      <c r="CJ521" s="23"/>
      <c r="CK521" s="23"/>
      <c r="CL521" s="23"/>
      <c r="CO521" s="30"/>
    </row>
    <row r="522" spans="27:93" ht="12.75" x14ac:dyDescent="0.2"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  <c r="BM522" s="23"/>
      <c r="BN522" s="23"/>
      <c r="BO522" s="23"/>
      <c r="BP522" s="23"/>
      <c r="BQ522" s="23"/>
      <c r="BR522" s="23"/>
      <c r="BS522" s="23"/>
      <c r="BT522" s="23"/>
      <c r="BU522" s="23"/>
      <c r="BV522" s="23"/>
      <c r="BW522" s="23"/>
      <c r="BX522" s="23"/>
      <c r="BY522" s="23"/>
      <c r="BZ522" s="23"/>
      <c r="CA522" s="23"/>
      <c r="CB522" s="23"/>
      <c r="CC522" s="23"/>
      <c r="CD522" s="23"/>
      <c r="CE522" s="23"/>
      <c r="CF522" s="23"/>
      <c r="CG522" s="23"/>
      <c r="CH522" s="23"/>
      <c r="CI522" s="23"/>
      <c r="CJ522" s="23"/>
      <c r="CK522" s="23"/>
      <c r="CL522" s="23"/>
      <c r="CO522" s="30"/>
    </row>
    <row r="523" spans="27:93" ht="12.75" x14ac:dyDescent="0.2"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23"/>
      <c r="BL523" s="23"/>
      <c r="BM523" s="23"/>
      <c r="BN523" s="23"/>
      <c r="BO523" s="23"/>
      <c r="BP523" s="23"/>
      <c r="BQ523" s="23"/>
      <c r="BR523" s="23"/>
      <c r="BS523" s="23"/>
      <c r="BT523" s="23"/>
      <c r="BU523" s="23"/>
      <c r="BV523" s="23"/>
      <c r="BW523" s="23"/>
      <c r="BX523" s="23"/>
      <c r="BY523" s="23"/>
      <c r="BZ523" s="23"/>
      <c r="CA523" s="23"/>
      <c r="CB523" s="23"/>
      <c r="CC523" s="23"/>
      <c r="CD523" s="23"/>
      <c r="CE523" s="23"/>
      <c r="CF523" s="23"/>
      <c r="CG523" s="23"/>
      <c r="CH523" s="23"/>
      <c r="CI523" s="23"/>
      <c r="CJ523" s="23"/>
      <c r="CK523" s="23"/>
      <c r="CL523" s="23"/>
      <c r="CO523" s="30"/>
    </row>
    <row r="524" spans="27:93" ht="12.75" x14ac:dyDescent="0.2"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3"/>
      <c r="BP524" s="23"/>
      <c r="BQ524" s="23"/>
      <c r="BR524" s="23"/>
      <c r="BS524" s="23"/>
      <c r="BT524" s="23"/>
      <c r="BU524" s="23"/>
      <c r="BV524" s="23"/>
      <c r="BW524" s="23"/>
      <c r="BX524" s="23"/>
      <c r="BY524" s="23"/>
      <c r="BZ524" s="23"/>
      <c r="CA524" s="23"/>
      <c r="CB524" s="23"/>
      <c r="CC524" s="23"/>
      <c r="CD524" s="23"/>
      <c r="CE524" s="23"/>
      <c r="CF524" s="23"/>
      <c r="CG524" s="23"/>
      <c r="CH524" s="23"/>
      <c r="CI524" s="23"/>
      <c r="CJ524" s="23"/>
      <c r="CK524" s="23"/>
      <c r="CL524" s="23"/>
      <c r="CO524" s="30"/>
    </row>
    <row r="525" spans="27:93" ht="12.75" x14ac:dyDescent="0.2"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  <c r="BJ525" s="23"/>
      <c r="BK525" s="23"/>
      <c r="BL525" s="23"/>
      <c r="BM525" s="23"/>
      <c r="BN525" s="23"/>
      <c r="BO525" s="23"/>
      <c r="BP525" s="23"/>
      <c r="BQ525" s="23"/>
      <c r="BR525" s="23"/>
      <c r="BS525" s="23"/>
      <c r="BT525" s="23"/>
      <c r="BU525" s="23"/>
      <c r="BV525" s="23"/>
      <c r="BW525" s="23"/>
      <c r="BX525" s="23"/>
      <c r="BY525" s="23"/>
      <c r="BZ525" s="23"/>
      <c r="CA525" s="23"/>
      <c r="CB525" s="23"/>
      <c r="CC525" s="23"/>
      <c r="CD525" s="23"/>
      <c r="CE525" s="23"/>
      <c r="CF525" s="23"/>
      <c r="CG525" s="23"/>
      <c r="CH525" s="23"/>
      <c r="CI525" s="23"/>
      <c r="CJ525" s="23"/>
      <c r="CK525" s="23"/>
      <c r="CL525" s="23"/>
      <c r="CO525" s="30"/>
    </row>
    <row r="526" spans="27:93" ht="12.75" x14ac:dyDescent="0.2"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23"/>
      <c r="BP526" s="23"/>
      <c r="BQ526" s="23"/>
      <c r="BR526" s="23"/>
      <c r="BS526" s="23"/>
      <c r="BT526" s="23"/>
      <c r="BU526" s="23"/>
      <c r="BV526" s="23"/>
      <c r="BW526" s="23"/>
      <c r="BX526" s="23"/>
      <c r="BY526" s="23"/>
      <c r="BZ526" s="23"/>
      <c r="CA526" s="23"/>
      <c r="CB526" s="23"/>
      <c r="CC526" s="23"/>
      <c r="CD526" s="23"/>
      <c r="CE526" s="23"/>
      <c r="CF526" s="23"/>
      <c r="CG526" s="23"/>
      <c r="CH526" s="23"/>
      <c r="CI526" s="23"/>
      <c r="CJ526" s="23"/>
      <c r="CK526" s="23"/>
      <c r="CL526" s="23"/>
      <c r="CO526" s="30"/>
    </row>
    <row r="527" spans="27:93" ht="12.75" x14ac:dyDescent="0.2"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  <c r="BM527" s="23"/>
      <c r="BN527" s="23"/>
      <c r="BO527" s="23"/>
      <c r="BP527" s="23"/>
      <c r="BQ527" s="23"/>
      <c r="BR527" s="23"/>
      <c r="BS527" s="23"/>
      <c r="BT527" s="23"/>
      <c r="BU527" s="23"/>
      <c r="BV527" s="23"/>
      <c r="BW527" s="23"/>
      <c r="BX527" s="23"/>
      <c r="BY527" s="23"/>
      <c r="BZ527" s="23"/>
      <c r="CA527" s="23"/>
      <c r="CB527" s="23"/>
      <c r="CC527" s="23"/>
      <c r="CD527" s="23"/>
      <c r="CE527" s="23"/>
      <c r="CF527" s="23"/>
      <c r="CG527" s="23"/>
      <c r="CH527" s="23"/>
      <c r="CI527" s="23"/>
      <c r="CJ527" s="23"/>
      <c r="CK527" s="23"/>
      <c r="CL527" s="23"/>
      <c r="CO527" s="30"/>
    </row>
    <row r="528" spans="27:93" ht="12.75" x14ac:dyDescent="0.2"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  <c r="BM528" s="23"/>
      <c r="BN528" s="23"/>
      <c r="BO528" s="23"/>
      <c r="BP528" s="23"/>
      <c r="BQ528" s="23"/>
      <c r="BR528" s="23"/>
      <c r="BS528" s="23"/>
      <c r="BT528" s="23"/>
      <c r="BU528" s="23"/>
      <c r="BV528" s="23"/>
      <c r="BW528" s="23"/>
      <c r="BX528" s="23"/>
      <c r="BY528" s="23"/>
      <c r="BZ528" s="23"/>
      <c r="CA528" s="23"/>
      <c r="CB528" s="23"/>
      <c r="CC528" s="23"/>
      <c r="CD528" s="23"/>
      <c r="CE528" s="23"/>
      <c r="CF528" s="23"/>
      <c r="CG528" s="23"/>
      <c r="CH528" s="23"/>
      <c r="CI528" s="23"/>
      <c r="CJ528" s="23"/>
      <c r="CK528" s="23"/>
      <c r="CL528" s="23"/>
      <c r="CO528" s="30"/>
    </row>
    <row r="529" spans="27:93" ht="12.75" x14ac:dyDescent="0.2"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  <c r="BM529" s="23"/>
      <c r="BN529" s="23"/>
      <c r="BO529" s="23"/>
      <c r="BP529" s="23"/>
      <c r="BQ529" s="23"/>
      <c r="BR529" s="23"/>
      <c r="BS529" s="23"/>
      <c r="BT529" s="23"/>
      <c r="BU529" s="23"/>
      <c r="BV529" s="23"/>
      <c r="BW529" s="23"/>
      <c r="BX529" s="23"/>
      <c r="BY529" s="23"/>
      <c r="BZ529" s="23"/>
      <c r="CA529" s="23"/>
      <c r="CB529" s="23"/>
      <c r="CC529" s="23"/>
      <c r="CD529" s="23"/>
      <c r="CE529" s="23"/>
      <c r="CF529" s="23"/>
      <c r="CG529" s="23"/>
      <c r="CH529" s="23"/>
      <c r="CI529" s="23"/>
      <c r="CJ529" s="23"/>
      <c r="CK529" s="23"/>
      <c r="CL529" s="23"/>
      <c r="CO529" s="30"/>
    </row>
    <row r="530" spans="27:93" ht="12.75" x14ac:dyDescent="0.2"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  <c r="BM530" s="23"/>
      <c r="BN530" s="23"/>
      <c r="BO530" s="23"/>
      <c r="BP530" s="23"/>
      <c r="BQ530" s="23"/>
      <c r="BR530" s="23"/>
      <c r="BS530" s="23"/>
      <c r="BT530" s="23"/>
      <c r="BU530" s="23"/>
      <c r="BV530" s="23"/>
      <c r="BW530" s="23"/>
      <c r="BX530" s="23"/>
      <c r="BY530" s="23"/>
      <c r="BZ530" s="23"/>
      <c r="CA530" s="23"/>
      <c r="CB530" s="23"/>
      <c r="CC530" s="23"/>
      <c r="CD530" s="23"/>
      <c r="CE530" s="23"/>
      <c r="CF530" s="23"/>
      <c r="CG530" s="23"/>
      <c r="CH530" s="23"/>
      <c r="CI530" s="23"/>
      <c r="CJ530" s="23"/>
      <c r="CK530" s="23"/>
      <c r="CL530" s="23"/>
      <c r="CO530" s="30"/>
    </row>
    <row r="531" spans="27:93" ht="12.75" x14ac:dyDescent="0.2"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  <c r="BM531" s="23"/>
      <c r="BN531" s="23"/>
      <c r="BO531" s="23"/>
      <c r="BP531" s="23"/>
      <c r="BQ531" s="23"/>
      <c r="BR531" s="23"/>
      <c r="BS531" s="23"/>
      <c r="BT531" s="23"/>
      <c r="BU531" s="23"/>
      <c r="BV531" s="23"/>
      <c r="BW531" s="23"/>
      <c r="BX531" s="23"/>
      <c r="BY531" s="23"/>
      <c r="BZ531" s="23"/>
      <c r="CA531" s="23"/>
      <c r="CB531" s="23"/>
      <c r="CC531" s="23"/>
      <c r="CD531" s="23"/>
      <c r="CE531" s="23"/>
      <c r="CF531" s="23"/>
      <c r="CG531" s="23"/>
      <c r="CH531" s="23"/>
      <c r="CI531" s="23"/>
      <c r="CJ531" s="23"/>
      <c r="CK531" s="23"/>
      <c r="CL531" s="23"/>
      <c r="CO531" s="30"/>
    </row>
    <row r="532" spans="27:93" ht="12.75" x14ac:dyDescent="0.2"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  <c r="BM532" s="23"/>
      <c r="BN532" s="23"/>
      <c r="BO532" s="23"/>
      <c r="BP532" s="23"/>
      <c r="BQ532" s="23"/>
      <c r="BR532" s="23"/>
      <c r="BS532" s="23"/>
      <c r="BT532" s="23"/>
      <c r="BU532" s="23"/>
      <c r="BV532" s="23"/>
      <c r="BW532" s="23"/>
      <c r="BX532" s="23"/>
      <c r="BY532" s="23"/>
      <c r="BZ532" s="23"/>
      <c r="CA532" s="23"/>
      <c r="CB532" s="23"/>
      <c r="CC532" s="23"/>
      <c r="CD532" s="23"/>
      <c r="CE532" s="23"/>
      <c r="CF532" s="23"/>
      <c r="CG532" s="23"/>
      <c r="CH532" s="23"/>
      <c r="CI532" s="23"/>
      <c r="CJ532" s="23"/>
      <c r="CK532" s="23"/>
      <c r="CL532" s="23"/>
      <c r="CO532" s="30"/>
    </row>
    <row r="533" spans="27:93" ht="12.75" x14ac:dyDescent="0.2"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  <c r="BM533" s="23"/>
      <c r="BN533" s="23"/>
      <c r="BO533" s="23"/>
      <c r="BP533" s="23"/>
      <c r="BQ533" s="23"/>
      <c r="BR533" s="23"/>
      <c r="BS533" s="23"/>
      <c r="BT533" s="23"/>
      <c r="BU533" s="23"/>
      <c r="BV533" s="23"/>
      <c r="BW533" s="23"/>
      <c r="BX533" s="23"/>
      <c r="BY533" s="23"/>
      <c r="BZ533" s="23"/>
      <c r="CA533" s="23"/>
      <c r="CB533" s="23"/>
      <c r="CC533" s="23"/>
      <c r="CD533" s="23"/>
      <c r="CE533" s="23"/>
      <c r="CF533" s="23"/>
      <c r="CG533" s="23"/>
      <c r="CH533" s="23"/>
      <c r="CI533" s="23"/>
      <c r="CJ533" s="23"/>
      <c r="CK533" s="23"/>
      <c r="CL533" s="23"/>
      <c r="CO533" s="30"/>
    </row>
    <row r="534" spans="27:93" ht="12.75" x14ac:dyDescent="0.2"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23"/>
      <c r="BJ534" s="23"/>
      <c r="BK534" s="23"/>
      <c r="BL534" s="23"/>
      <c r="BM534" s="23"/>
      <c r="BN534" s="23"/>
      <c r="BO534" s="23"/>
      <c r="BP534" s="23"/>
      <c r="BQ534" s="23"/>
      <c r="BR534" s="23"/>
      <c r="BS534" s="23"/>
      <c r="BT534" s="23"/>
      <c r="BU534" s="23"/>
      <c r="BV534" s="23"/>
      <c r="BW534" s="23"/>
      <c r="BX534" s="23"/>
      <c r="BY534" s="23"/>
      <c r="BZ534" s="23"/>
      <c r="CA534" s="23"/>
      <c r="CB534" s="23"/>
      <c r="CC534" s="23"/>
      <c r="CD534" s="23"/>
      <c r="CE534" s="23"/>
      <c r="CF534" s="23"/>
      <c r="CG534" s="23"/>
      <c r="CH534" s="23"/>
      <c r="CI534" s="23"/>
      <c r="CJ534" s="23"/>
      <c r="CK534" s="23"/>
      <c r="CL534" s="23"/>
      <c r="CO534" s="30"/>
    </row>
    <row r="535" spans="27:93" ht="12.75" x14ac:dyDescent="0.2"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23"/>
      <c r="BJ535" s="23"/>
      <c r="BK535" s="23"/>
      <c r="BL535" s="23"/>
      <c r="BM535" s="23"/>
      <c r="BN535" s="23"/>
      <c r="BO535" s="23"/>
      <c r="BP535" s="23"/>
      <c r="BQ535" s="23"/>
      <c r="BR535" s="23"/>
      <c r="BS535" s="23"/>
      <c r="BT535" s="23"/>
      <c r="BU535" s="23"/>
      <c r="BV535" s="23"/>
      <c r="BW535" s="23"/>
      <c r="BX535" s="23"/>
      <c r="BY535" s="23"/>
      <c r="BZ535" s="23"/>
      <c r="CA535" s="23"/>
      <c r="CB535" s="23"/>
      <c r="CC535" s="23"/>
      <c r="CD535" s="23"/>
      <c r="CE535" s="23"/>
      <c r="CF535" s="23"/>
      <c r="CG535" s="23"/>
      <c r="CH535" s="23"/>
      <c r="CI535" s="23"/>
      <c r="CJ535" s="23"/>
      <c r="CK535" s="23"/>
      <c r="CL535" s="23"/>
      <c r="CO535" s="30"/>
    </row>
    <row r="536" spans="27:93" ht="12.75" x14ac:dyDescent="0.2"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23"/>
      <c r="BL536" s="23"/>
      <c r="BM536" s="23"/>
      <c r="BN536" s="23"/>
      <c r="BO536" s="23"/>
      <c r="BP536" s="23"/>
      <c r="BQ536" s="23"/>
      <c r="BR536" s="23"/>
      <c r="BS536" s="23"/>
      <c r="BT536" s="23"/>
      <c r="BU536" s="23"/>
      <c r="BV536" s="23"/>
      <c r="BW536" s="23"/>
      <c r="BX536" s="23"/>
      <c r="BY536" s="23"/>
      <c r="BZ536" s="23"/>
      <c r="CA536" s="23"/>
      <c r="CB536" s="23"/>
      <c r="CC536" s="23"/>
      <c r="CD536" s="23"/>
      <c r="CE536" s="23"/>
      <c r="CF536" s="23"/>
      <c r="CG536" s="23"/>
      <c r="CH536" s="23"/>
      <c r="CI536" s="23"/>
      <c r="CJ536" s="23"/>
      <c r="CK536" s="23"/>
      <c r="CL536" s="23"/>
      <c r="CO536" s="30"/>
    </row>
    <row r="537" spans="27:93" ht="12.75" x14ac:dyDescent="0.2"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  <c r="BH537" s="23"/>
      <c r="BI537" s="23"/>
      <c r="BJ537" s="23"/>
      <c r="BK537" s="23"/>
      <c r="BL537" s="23"/>
      <c r="BM537" s="23"/>
      <c r="BN537" s="23"/>
      <c r="BO537" s="23"/>
      <c r="BP537" s="23"/>
      <c r="BQ537" s="23"/>
      <c r="BR537" s="23"/>
      <c r="BS537" s="23"/>
      <c r="BT537" s="23"/>
      <c r="BU537" s="23"/>
      <c r="BV537" s="23"/>
      <c r="BW537" s="23"/>
      <c r="BX537" s="23"/>
      <c r="BY537" s="23"/>
      <c r="BZ537" s="23"/>
      <c r="CA537" s="23"/>
      <c r="CB537" s="23"/>
      <c r="CC537" s="23"/>
      <c r="CD537" s="23"/>
      <c r="CE537" s="23"/>
      <c r="CF537" s="23"/>
      <c r="CG537" s="23"/>
      <c r="CH537" s="23"/>
      <c r="CI537" s="23"/>
      <c r="CJ537" s="23"/>
      <c r="CK537" s="23"/>
      <c r="CL537" s="23"/>
      <c r="CO537" s="30"/>
    </row>
    <row r="538" spans="27:93" ht="12.75" x14ac:dyDescent="0.2"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3"/>
      <c r="BP538" s="23"/>
      <c r="BQ538" s="23"/>
      <c r="BR538" s="23"/>
      <c r="BS538" s="23"/>
      <c r="BT538" s="23"/>
      <c r="BU538" s="23"/>
      <c r="BV538" s="23"/>
      <c r="BW538" s="23"/>
      <c r="BX538" s="23"/>
      <c r="BY538" s="23"/>
      <c r="BZ538" s="23"/>
      <c r="CA538" s="23"/>
      <c r="CB538" s="23"/>
      <c r="CC538" s="23"/>
      <c r="CD538" s="23"/>
      <c r="CE538" s="23"/>
      <c r="CF538" s="23"/>
      <c r="CG538" s="23"/>
      <c r="CH538" s="23"/>
      <c r="CI538" s="23"/>
      <c r="CJ538" s="23"/>
      <c r="CK538" s="23"/>
      <c r="CL538" s="23"/>
      <c r="CO538" s="30"/>
    </row>
    <row r="539" spans="27:93" ht="12.75" x14ac:dyDescent="0.2"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23"/>
      <c r="BL539" s="23"/>
      <c r="BM539" s="23"/>
      <c r="BN539" s="23"/>
      <c r="BO539" s="23"/>
      <c r="BP539" s="23"/>
      <c r="BQ539" s="23"/>
      <c r="BR539" s="23"/>
      <c r="BS539" s="23"/>
      <c r="BT539" s="23"/>
      <c r="BU539" s="23"/>
      <c r="BV539" s="23"/>
      <c r="BW539" s="23"/>
      <c r="BX539" s="23"/>
      <c r="BY539" s="23"/>
      <c r="BZ539" s="23"/>
      <c r="CA539" s="23"/>
      <c r="CB539" s="23"/>
      <c r="CC539" s="23"/>
      <c r="CD539" s="23"/>
      <c r="CE539" s="23"/>
      <c r="CF539" s="23"/>
      <c r="CG539" s="23"/>
      <c r="CH539" s="23"/>
      <c r="CI539" s="23"/>
      <c r="CJ539" s="23"/>
      <c r="CK539" s="23"/>
      <c r="CL539" s="23"/>
      <c r="CO539" s="30"/>
    </row>
    <row r="540" spans="27:93" ht="12.75" x14ac:dyDescent="0.2"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23"/>
      <c r="BL540" s="23"/>
      <c r="BM540" s="23"/>
      <c r="BN540" s="23"/>
      <c r="BO540" s="23"/>
      <c r="BP540" s="23"/>
      <c r="BQ540" s="23"/>
      <c r="BR540" s="23"/>
      <c r="BS540" s="23"/>
      <c r="BT540" s="23"/>
      <c r="BU540" s="23"/>
      <c r="BV540" s="23"/>
      <c r="BW540" s="23"/>
      <c r="BX540" s="23"/>
      <c r="BY540" s="23"/>
      <c r="BZ540" s="23"/>
      <c r="CA540" s="23"/>
      <c r="CB540" s="23"/>
      <c r="CC540" s="23"/>
      <c r="CD540" s="23"/>
      <c r="CE540" s="23"/>
      <c r="CF540" s="23"/>
      <c r="CG540" s="23"/>
      <c r="CH540" s="23"/>
      <c r="CI540" s="23"/>
      <c r="CJ540" s="23"/>
      <c r="CK540" s="23"/>
      <c r="CL540" s="23"/>
      <c r="CO540" s="30"/>
    </row>
    <row r="541" spans="27:93" ht="12.75" x14ac:dyDescent="0.2"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  <c r="BM541" s="23"/>
      <c r="BN541" s="23"/>
      <c r="BO541" s="23"/>
      <c r="BP541" s="23"/>
      <c r="BQ541" s="23"/>
      <c r="BR541" s="23"/>
      <c r="BS541" s="23"/>
      <c r="BT541" s="23"/>
      <c r="BU541" s="23"/>
      <c r="BV541" s="23"/>
      <c r="BW541" s="23"/>
      <c r="BX541" s="23"/>
      <c r="BY541" s="23"/>
      <c r="BZ541" s="23"/>
      <c r="CA541" s="23"/>
      <c r="CB541" s="23"/>
      <c r="CC541" s="23"/>
      <c r="CD541" s="23"/>
      <c r="CE541" s="23"/>
      <c r="CF541" s="23"/>
      <c r="CG541" s="23"/>
      <c r="CH541" s="23"/>
      <c r="CI541" s="23"/>
      <c r="CJ541" s="23"/>
      <c r="CK541" s="23"/>
      <c r="CL541" s="23"/>
      <c r="CO541" s="30"/>
    </row>
    <row r="542" spans="27:93" ht="12.75" x14ac:dyDescent="0.2"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  <c r="BM542" s="23"/>
      <c r="BN542" s="23"/>
      <c r="BO542" s="23"/>
      <c r="BP542" s="23"/>
      <c r="BQ542" s="23"/>
      <c r="BR542" s="23"/>
      <c r="BS542" s="23"/>
      <c r="BT542" s="23"/>
      <c r="BU542" s="23"/>
      <c r="BV542" s="23"/>
      <c r="BW542" s="23"/>
      <c r="BX542" s="23"/>
      <c r="BY542" s="23"/>
      <c r="BZ542" s="23"/>
      <c r="CA542" s="23"/>
      <c r="CB542" s="23"/>
      <c r="CC542" s="23"/>
      <c r="CD542" s="23"/>
      <c r="CE542" s="23"/>
      <c r="CF542" s="23"/>
      <c r="CG542" s="23"/>
      <c r="CH542" s="23"/>
      <c r="CI542" s="23"/>
      <c r="CJ542" s="23"/>
      <c r="CK542" s="23"/>
      <c r="CL542" s="23"/>
      <c r="CO542" s="30"/>
    </row>
    <row r="543" spans="27:93" ht="12.75" x14ac:dyDescent="0.2"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23"/>
      <c r="BL543" s="23"/>
      <c r="BM543" s="23"/>
      <c r="BN543" s="23"/>
      <c r="BO543" s="23"/>
      <c r="BP543" s="23"/>
      <c r="BQ543" s="23"/>
      <c r="BR543" s="23"/>
      <c r="BS543" s="23"/>
      <c r="BT543" s="23"/>
      <c r="BU543" s="23"/>
      <c r="BV543" s="23"/>
      <c r="BW543" s="23"/>
      <c r="BX543" s="23"/>
      <c r="BY543" s="23"/>
      <c r="BZ543" s="23"/>
      <c r="CA543" s="23"/>
      <c r="CB543" s="23"/>
      <c r="CC543" s="23"/>
      <c r="CD543" s="23"/>
      <c r="CE543" s="23"/>
      <c r="CF543" s="23"/>
      <c r="CG543" s="23"/>
      <c r="CH543" s="23"/>
      <c r="CI543" s="23"/>
      <c r="CJ543" s="23"/>
      <c r="CK543" s="23"/>
      <c r="CL543" s="23"/>
      <c r="CO543" s="30"/>
    </row>
    <row r="544" spans="27:93" ht="12.75" x14ac:dyDescent="0.2"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/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3"/>
      <c r="CA544" s="23"/>
      <c r="CB544" s="23"/>
      <c r="CC544" s="23"/>
      <c r="CD544" s="23"/>
      <c r="CE544" s="23"/>
      <c r="CF544" s="23"/>
      <c r="CG544" s="23"/>
      <c r="CH544" s="23"/>
      <c r="CI544" s="23"/>
      <c r="CJ544" s="23"/>
      <c r="CK544" s="23"/>
      <c r="CL544" s="23"/>
      <c r="CO544" s="30"/>
    </row>
    <row r="545" spans="27:93" ht="12.75" x14ac:dyDescent="0.2"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/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3"/>
      <c r="CA545" s="23"/>
      <c r="CB545" s="23"/>
      <c r="CC545" s="23"/>
      <c r="CD545" s="23"/>
      <c r="CE545" s="23"/>
      <c r="CF545" s="23"/>
      <c r="CG545" s="23"/>
      <c r="CH545" s="23"/>
      <c r="CI545" s="23"/>
      <c r="CJ545" s="23"/>
      <c r="CK545" s="23"/>
      <c r="CL545" s="23"/>
      <c r="CO545" s="30"/>
    </row>
    <row r="546" spans="27:93" ht="12.75" x14ac:dyDescent="0.2"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  <c r="BD546" s="23"/>
      <c r="BE546" s="23"/>
      <c r="BF546" s="23"/>
      <c r="BG546" s="23"/>
      <c r="BH546" s="23"/>
      <c r="BI546" s="23"/>
      <c r="BJ546" s="23"/>
      <c r="BK546" s="23"/>
      <c r="BL546" s="23"/>
      <c r="BM546" s="23"/>
      <c r="BN546" s="23"/>
      <c r="BO546" s="23"/>
      <c r="BP546" s="23"/>
      <c r="BQ546" s="23"/>
      <c r="BR546" s="23"/>
      <c r="BS546" s="23"/>
      <c r="BT546" s="23"/>
      <c r="BU546" s="23"/>
      <c r="BV546" s="23"/>
      <c r="BW546" s="23"/>
      <c r="BX546" s="23"/>
      <c r="BY546" s="23"/>
      <c r="BZ546" s="23"/>
      <c r="CA546" s="23"/>
      <c r="CB546" s="23"/>
      <c r="CC546" s="23"/>
      <c r="CD546" s="23"/>
      <c r="CE546" s="23"/>
      <c r="CF546" s="23"/>
      <c r="CG546" s="23"/>
      <c r="CH546" s="23"/>
      <c r="CI546" s="23"/>
      <c r="CJ546" s="23"/>
      <c r="CK546" s="23"/>
      <c r="CL546" s="23"/>
      <c r="CO546" s="30"/>
    </row>
    <row r="547" spans="27:93" ht="12.75" x14ac:dyDescent="0.2"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/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3"/>
      <c r="CA547" s="23"/>
      <c r="CB547" s="23"/>
      <c r="CC547" s="23"/>
      <c r="CD547" s="23"/>
      <c r="CE547" s="23"/>
      <c r="CF547" s="23"/>
      <c r="CG547" s="23"/>
      <c r="CH547" s="23"/>
      <c r="CI547" s="23"/>
      <c r="CJ547" s="23"/>
      <c r="CK547" s="23"/>
      <c r="CL547" s="23"/>
      <c r="CO547" s="30"/>
    </row>
    <row r="548" spans="27:93" ht="12.75" x14ac:dyDescent="0.2"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23"/>
      <c r="BL548" s="23"/>
      <c r="BM548" s="23"/>
      <c r="BN548" s="23"/>
      <c r="BO548" s="23"/>
      <c r="BP548" s="23"/>
      <c r="BQ548" s="23"/>
      <c r="BR548" s="23"/>
      <c r="BS548" s="23"/>
      <c r="BT548" s="23"/>
      <c r="BU548" s="23"/>
      <c r="BV548" s="23"/>
      <c r="BW548" s="23"/>
      <c r="BX548" s="23"/>
      <c r="BY548" s="23"/>
      <c r="BZ548" s="23"/>
      <c r="CA548" s="23"/>
      <c r="CB548" s="23"/>
      <c r="CC548" s="23"/>
      <c r="CD548" s="23"/>
      <c r="CE548" s="23"/>
      <c r="CF548" s="23"/>
      <c r="CG548" s="23"/>
      <c r="CH548" s="23"/>
      <c r="CI548" s="23"/>
      <c r="CJ548" s="23"/>
      <c r="CK548" s="23"/>
      <c r="CL548" s="23"/>
      <c r="CO548" s="30"/>
    </row>
    <row r="549" spans="27:93" ht="12.75" x14ac:dyDescent="0.2"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  <c r="BH549" s="23"/>
      <c r="BI549" s="23"/>
      <c r="BJ549" s="23"/>
      <c r="BK549" s="23"/>
      <c r="BL549" s="23"/>
      <c r="BM549" s="23"/>
      <c r="BN549" s="23"/>
      <c r="BO549" s="23"/>
      <c r="BP549" s="23"/>
      <c r="BQ549" s="23"/>
      <c r="BR549" s="23"/>
      <c r="BS549" s="23"/>
      <c r="BT549" s="23"/>
      <c r="BU549" s="23"/>
      <c r="BV549" s="23"/>
      <c r="BW549" s="23"/>
      <c r="BX549" s="23"/>
      <c r="BY549" s="23"/>
      <c r="BZ549" s="23"/>
      <c r="CA549" s="23"/>
      <c r="CB549" s="23"/>
      <c r="CC549" s="23"/>
      <c r="CD549" s="23"/>
      <c r="CE549" s="23"/>
      <c r="CF549" s="23"/>
      <c r="CG549" s="23"/>
      <c r="CH549" s="23"/>
      <c r="CI549" s="23"/>
      <c r="CJ549" s="23"/>
      <c r="CK549" s="23"/>
      <c r="CL549" s="23"/>
      <c r="CO549" s="30"/>
    </row>
    <row r="550" spans="27:93" ht="12.75" x14ac:dyDescent="0.2"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3"/>
      <c r="BI550" s="23"/>
      <c r="BJ550" s="23"/>
      <c r="BK550" s="23"/>
      <c r="BL550" s="23"/>
      <c r="BM550" s="23"/>
      <c r="BN550" s="23"/>
      <c r="BO550" s="23"/>
      <c r="BP550" s="23"/>
      <c r="BQ550" s="23"/>
      <c r="BR550" s="23"/>
      <c r="BS550" s="23"/>
      <c r="BT550" s="23"/>
      <c r="BU550" s="23"/>
      <c r="BV550" s="23"/>
      <c r="BW550" s="23"/>
      <c r="BX550" s="23"/>
      <c r="BY550" s="23"/>
      <c r="BZ550" s="23"/>
      <c r="CA550" s="23"/>
      <c r="CB550" s="23"/>
      <c r="CC550" s="23"/>
      <c r="CD550" s="23"/>
      <c r="CE550" s="23"/>
      <c r="CF550" s="23"/>
      <c r="CG550" s="23"/>
      <c r="CH550" s="23"/>
      <c r="CI550" s="23"/>
      <c r="CJ550" s="23"/>
      <c r="CK550" s="23"/>
      <c r="CL550" s="23"/>
      <c r="CO550" s="30"/>
    </row>
    <row r="551" spans="27:93" ht="12.75" x14ac:dyDescent="0.2"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3"/>
      <c r="BI551" s="23"/>
      <c r="BJ551" s="23"/>
      <c r="BK551" s="23"/>
      <c r="BL551" s="23"/>
      <c r="BM551" s="23"/>
      <c r="BN551" s="23"/>
      <c r="BO551" s="23"/>
      <c r="BP551" s="23"/>
      <c r="BQ551" s="23"/>
      <c r="BR551" s="23"/>
      <c r="BS551" s="23"/>
      <c r="BT551" s="23"/>
      <c r="BU551" s="23"/>
      <c r="BV551" s="23"/>
      <c r="BW551" s="23"/>
      <c r="BX551" s="23"/>
      <c r="BY551" s="23"/>
      <c r="BZ551" s="23"/>
      <c r="CA551" s="23"/>
      <c r="CB551" s="23"/>
      <c r="CC551" s="23"/>
      <c r="CD551" s="23"/>
      <c r="CE551" s="23"/>
      <c r="CF551" s="23"/>
      <c r="CG551" s="23"/>
      <c r="CH551" s="23"/>
      <c r="CI551" s="23"/>
      <c r="CJ551" s="23"/>
      <c r="CK551" s="23"/>
      <c r="CL551" s="23"/>
      <c r="CO551" s="30"/>
    </row>
    <row r="552" spans="27:93" ht="12.75" x14ac:dyDescent="0.2"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23"/>
      <c r="BL552" s="23"/>
      <c r="BM552" s="23"/>
      <c r="BN552" s="23"/>
      <c r="BO552" s="23"/>
      <c r="BP552" s="23"/>
      <c r="BQ552" s="23"/>
      <c r="BR552" s="23"/>
      <c r="BS552" s="23"/>
      <c r="BT552" s="23"/>
      <c r="BU552" s="23"/>
      <c r="BV552" s="23"/>
      <c r="BW552" s="23"/>
      <c r="BX552" s="23"/>
      <c r="BY552" s="23"/>
      <c r="BZ552" s="23"/>
      <c r="CA552" s="23"/>
      <c r="CB552" s="23"/>
      <c r="CC552" s="23"/>
      <c r="CD552" s="23"/>
      <c r="CE552" s="23"/>
      <c r="CF552" s="23"/>
      <c r="CG552" s="23"/>
      <c r="CH552" s="23"/>
      <c r="CI552" s="23"/>
      <c r="CJ552" s="23"/>
      <c r="CK552" s="23"/>
      <c r="CL552" s="23"/>
      <c r="CO552" s="30"/>
    </row>
    <row r="553" spans="27:93" ht="12.75" x14ac:dyDescent="0.2"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  <c r="BH553" s="23"/>
      <c r="BI553" s="23"/>
      <c r="BJ553" s="23"/>
      <c r="BK553" s="23"/>
      <c r="BL553" s="23"/>
      <c r="BM553" s="23"/>
      <c r="BN553" s="23"/>
      <c r="BO553" s="23"/>
      <c r="BP553" s="23"/>
      <c r="BQ553" s="23"/>
      <c r="BR553" s="23"/>
      <c r="BS553" s="23"/>
      <c r="BT553" s="23"/>
      <c r="BU553" s="23"/>
      <c r="BV553" s="23"/>
      <c r="BW553" s="23"/>
      <c r="BX553" s="23"/>
      <c r="BY553" s="23"/>
      <c r="BZ553" s="23"/>
      <c r="CA553" s="23"/>
      <c r="CB553" s="23"/>
      <c r="CC553" s="23"/>
      <c r="CD553" s="23"/>
      <c r="CE553" s="23"/>
      <c r="CF553" s="23"/>
      <c r="CG553" s="23"/>
      <c r="CH553" s="23"/>
      <c r="CI553" s="23"/>
      <c r="CJ553" s="23"/>
      <c r="CK553" s="23"/>
      <c r="CL553" s="23"/>
      <c r="CO553" s="30"/>
    </row>
    <row r="554" spans="27:93" ht="12.75" x14ac:dyDescent="0.2"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  <c r="BH554" s="23"/>
      <c r="BI554" s="23"/>
      <c r="BJ554" s="23"/>
      <c r="BK554" s="23"/>
      <c r="BL554" s="23"/>
      <c r="BM554" s="23"/>
      <c r="BN554" s="23"/>
      <c r="BO554" s="23"/>
      <c r="BP554" s="23"/>
      <c r="BQ554" s="23"/>
      <c r="BR554" s="23"/>
      <c r="BS554" s="23"/>
      <c r="BT554" s="23"/>
      <c r="BU554" s="23"/>
      <c r="BV554" s="23"/>
      <c r="BW554" s="23"/>
      <c r="BX554" s="23"/>
      <c r="BY554" s="23"/>
      <c r="BZ554" s="23"/>
      <c r="CA554" s="23"/>
      <c r="CB554" s="23"/>
      <c r="CC554" s="23"/>
      <c r="CD554" s="23"/>
      <c r="CE554" s="23"/>
      <c r="CF554" s="23"/>
      <c r="CG554" s="23"/>
      <c r="CH554" s="23"/>
      <c r="CI554" s="23"/>
      <c r="CJ554" s="23"/>
      <c r="CK554" s="23"/>
      <c r="CL554" s="23"/>
      <c r="CO554" s="30"/>
    </row>
    <row r="555" spans="27:93" ht="12.75" x14ac:dyDescent="0.2"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  <c r="BF555" s="23"/>
      <c r="BG555" s="23"/>
      <c r="BH555" s="23"/>
      <c r="BI555" s="23"/>
      <c r="BJ555" s="23"/>
      <c r="BK555" s="23"/>
      <c r="BL555" s="23"/>
      <c r="BM555" s="23"/>
      <c r="BN555" s="23"/>
      <c r="BO555" s="23"/>
      <c r="BP555" s="23"/>
      <c r="BQ555" s="23"/>
      <c r="BR555" s="23"/>
      <c r="BS555" s="23"/>
      <c r="BT555" s="23"/>
      <c r="BU555" s="23"/>
      <c r="BV555" s="23"/>
      <c r="BW555" s="23"/>
      <c r="BX555" s="23"/>
      <c r="BY555" s="23"/>
      <c r="BZ555" s="23"/>
      <c r="CA555" s="23"/>
      <c r="CB555" s="23"/>
      <c r="CC555" s="23"/>
      <c r="CD555" s="23"/>
      <c r="CE555" s="23"/>
      <c r="CF555" s="23"/>
      <c r="CG555" s="23"/>
      <c r="CH555" s="23"/>
      <c r="CI555" s="23"/>
      <c r="CJ555" s="23"/>
      <c r="CK555" s="23"/>
      <c r="CL555" s="23"/>
      <c r="CO555" s="30"/>
    </row>
    <row r="556" spans="27:93" ht="12.75" x14ac:dyDescent="0.2"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/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3"/>
      <c r="CA556" s="23"/>
      <c r="CB556" s="23"/>
      <c r="CC556" s="23"/>
      <c r="CD556" s="23"/>
      <c r="CE556" s="23"/>
      <c r="CF556" s="23"/>
      <c r="CG556" s="23"/>
      <c r="CH556" s="23"/>
      <c r="CI556" s="23"/>
      <c r="CJ556" s="23"/>
      <c r="CK556" s="23"/>
      <c r="CL556" s="23"/>
      <c r="CO556" s="30"/>
    </row>
    <row r="557" spans="27:93" ht="12.75" x14ac:dyDescent="0.2"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/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3"/>
      <c r="CA557" s="23"/>
      <c r="CB557" s="23"/>
      <c r="CC557" s="23"/>
      <c r="CD557" s="23"/>
      <c r="CE557" s="23"/>
      <c r="CF557" s="23"/>
      <c r="CG557" s="23"/>
      <c r="CH557" s="23"/>
      <c r="CI557" s="23"/>
      <c r="CJ557" s="23"/>
      <c r="CK557" s="23"/>
      <c r="CL557" s="23"/>
      <c r="CO557" s="30"/>
    </row>
    <row r="558" spans="27:93" ht="12.75" x14ac:dyDescent="0.2"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  <c r="BH558" s="23"/>
      <c r="BI558" s="23"/>
      <c r="BJ558" s="23"/>
      <c r="BK558" s="23"/>
      <c r="BL558" s="23"/>
      <c r="BM558" s="23"/>
      <c r="BN558" s="23"/>
      <c r="BO558" s="23"/>
      <c r="BP558" s="23"/>
      <c r="BQ558" s="23"/>
      <c r="BR558" s="23"/>
      <c r="BS558" s="23"/>
      <c r="BT558" s="23"/>
      <c r="BU558" s="23"/>
      <c r="BV558" s="23"/>
      <c r="BW558" s="23"/>
      <c r="BX558" s="23"/>
      <c r="BY558" s="23"/>
      <c r="BZ558" s="23"/>
      <c r="CA558" s="23"/>
      <c r="CB558" s="23"/>
      <c r="CC558" s="23"/>
      <c r="CD558" s="23"/>
      <c r="CE558" s="23"/>
      <c r="CF558" s="23"/>
      <c r="CG558" s="23"/>
      <c r="CH558" s="23"/>
      <c r="CI558" s="23"/>
      <c r="CJ558" s="23"/>
      <c r="CK558" s="23"/>
      <c r="CL558" s="23"/>
      <c r="CO558" s="30"/>
    </row>
    <row r="559" spans="27:93" ht="12.75" x14ac:dyDescent="0.2"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/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3"/>
      <c r="CA559" s="23"/>
      <c r="CB559" s="23"/>
      <c r="CC559" s="23"/>
      <c r="CD559" s="23"/>
      <c r="CE559" s="23"/>
      <c r="CF559" s="23"/>
      <c r="CG559" s="23"/>
      <c r="CH559" s="23"/>
      <c r="CI559" s="23"/>
      <c r="CJ559" s="23"/>
      <c r="CK559" s="23"/>
      <c r="CL559" s="23"/>
      <c r="CO559" s="30"/>
    </row>
    <row r="560" spans="27:93" ht="12.75" x14ac:dyDescent="0.2"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  <c r="BD560" s="23"/>
      <c r="BE560" s="23"/>
      <c r="BF560" s="23"/>
      <c r="BG560" s="23"/>
      <c r="BH560" s="23"/>
      <c r="BI560" s="23"/>
      <c r="BJ560" s="23"/>
      <c r="BK560" s="23"/>
      <c r="BL560" s="23"/>
      <c r="BM560" s="23"/>
      <c r="BN560" s="23"/>
      <c r="BO560" s="23"/>
      <c r="BP560" s="23"/>
      <c r="BQ560" s="23"/>
      <c r="BR560" s="23"/>
      <c r="BS560" s="23"/>
      <c r="BT560" s="23"/>
      <c r="BU560" s="23"/>
      <c r="BV560" s="23"/>
      <c r="BW560" s="23"/>
      <c r="BX560" s="23"/>
      <c r="BY560" s="23"/>
      <c r="BZ560" s="23"/>
      <c r="CA560" s="23"/>
      <c r="CB560" s="23"/>
      <c r="CC560" s="23"/>
      <c r="CD560" s="23"/>
      <c r="CE560" s="23"/>
      <c r="CF560" s="23"/>
      <c r="CG560" s="23"/>
      <c r="CH560" s="23"/>
      <c r="CI560" s="23"/>
      <c r="CJ560" s="23"/>
      <c r="CK560" s="23"/>
      <c r="CL560" s="23"/>
      <c r="CO560" s="30"/>
    </row>
    <row r="561" spans="27:93" ht="12.75" x14ac:dyDescent="0.2"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  <c r="BF561" s="23"/>
      <c r="BG561" s="23"/>
      <c r="BH561" s="23"/>
      <c r="BI561" s="23"/>
      <c r="BJ561" s="23"/>
      <c r="BK561" s="23"/>
      <c r="BL561" s="23"/>
      <c r="BM561" s="23"/>
      <c r="BN561" s="23"/>
      <c r="BO561" s="23"/>
      <c r="BP561" s="23"/>
      <c r="BQ561" s="23"/>
      <c r="BR561" s="23"/>
      <c r="BS561" s="23"/>
      <c r="BT561" s="23"/>
      <c r="BU561" s="23"/>
      <c r="BV561" s="23"/>
      <c r="BW561" s="23"/>
      <c r="BX561" s="23"/>
      <c r="BY561" s="23"/>
      <c r="BZ561" s="23"/>
      <c r="CA561" s="23"/>
      <c r="CB561" s="23"/>
      <c r="CC561" s="23"/>
      <c r="CD561" s="23"/>
      <c r="CE561" s="23"/>
      <c r="CF561" s="23"/>
      <c r="CG561" s="23"/>
      <c r="CH561" s="23"/>
      <c r="CI561" s="23"/>
      <c r="CJ561" s="23"/>
      <c r="CK561" s="23"/>
      <c r="CL561" s="23"/>
      <c r="CO561" s="30"/>
    </row>
    <row r="562" spans="27:93" ht="12.75" x14ac:dyDescent="0.2"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  <c r="BH562" s="23"/>
      <c r="BI562" s="23"/>
      <c r="BJ562" s="23"/>
      <c r="BK562" s="23"/>
      <c r="BL562" s="23"/>
      <c r="BM562" s="23"/>
      <c r="BN562" s="23"/>
      <c r="BO562" s="23"/>
      <c r="BP562" s="23"/>
      <c r="BQ562" s="23"/>
      <c r="BR562" s="23"/>
      <c r="BS562" s="23"/>
      <c r="BT562" s="23"/>
      <c r="BU562" s="23"/>
      <c r="BV562" s="23"/>
      <c r="BW562" s="23"/>
      <c r="BX562" s="23"/>
      <c r="BY562" s="23"/>
      <c r="BZ562" s="23"/>
      <c r="CA562" s="23"/>
      <c r="CB562" s="23"/>
      <c r="CC562" s="23"/>
      <c r="CD562" s="23"/>
      <c r="CE562" s="23"/>
      <c r="CF562" s="23"/>
      <c r="CG562" s="23"/>
      <c r="CH562" s="23"/>
      <c r="CI562" s="23"/>
      <c r="CJ562" s="23"/>
      <c r="CK562" s="23"/>
      <c r="CL562" s="23"/>
      <c r="CO562" s="30"/>
    </row>
    <row r="563" spans="27:93" ht="12.75" x14ac:dyDescent="0.2"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  <c r="BF563" s="23"/>
      <c r="BG563" s="23"/>
      <c r="BH563" s="23"/>
      <c r="BI563" s="23"/>
      <c r="BJ563" s="23"/>
      <c r="BK563" s="23"/>
      <c r="BL563" s="23"/>
      <c r="BM563" s="23"/>
      <c r="BN563" s="23"/>
      <c r="BO563" s="23"/>
      <c r="BP563" s="23"/>
      <c r="BQ563" s="23"/>
      <c r="BR563" s="23"/>
      <c r="BS563" s="23"/>
      <c r="BT563" s="23"/>
      <c r="BU563" s="23"/>
      <c r="BV563" s="23"/>
      <c r="BW563" s="23"/>
      <c r="BX563" s="23"/>
      <c r="BY563" s="23"/>
      <c r="BZ563" s="23"/>
      <c r="CA563" s="23"/>
      <c r="CB563" s="23"/>
      <c r="CC563" s="23"/>
      <c r="CD563" s="23"/>
      <c r="CE563" s="23"/>
      <c r="CF563" s="23"/>
      <c r="CG563" s="23"/>
      <c r="CH563" s="23"/>
      <c r="CI563" s="23"/>
      <c r="CJ563" s="23"/>
      <c r="CK563" s="23"/>
      <c r="CL563" s="23"/>
      <c r="CO563" s="30"/>
    </row>
    <row r="564" spans="27:93" ht="12.75" x14ac:dyDescent="0.2"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  <c r="BH564" s="23"/>
      <c r="BI564" s="23"/>
      <c r="BJ564" s="23"/>
      <c r="BK564" s="23"/>
      <c r="BL564" s="23"/>
      <c r="BM564" s="23"/>
      <c r="BN564" s="23"/>
      <c r="BO564" s="23"/>
      <c r="BP564" s="23"/>
      <c r="BQ564" s="23"/>
      <c r="BR564" s="23"/>
      <c r="BS564" s="23"/>
      <c r="BT564" s="23"/>
      <c r="BU564" s="23"/>
      <c r="BV564" s="23"/>
      <c r="BW564" s="23"/>
      <c r="BX564" s="23"/>
      <c r="BY564" s="23"/>
      <c r="BZ564" s="23"/>
      <c r="CA564" s="23"/>
      <c r="CB564" s="23"/>
      <c r="CC564" s="23"/>
      <c r="CD564" s="23"/>
      <c r="CE564" s="23"/>
      <c r="CF564" s="23"/>
      <c r="CG564" s="23"/>
      <c r="CH564" s="23"/>
      <c r="CI564" s="23"/>
      <c r="CJ564" s="23"/>
      <c r="CK564" s="23"/>
      <c r="CL564" s="23"/>
      <c r="CO564" s="30"/>
    </row>
    <row r="565" spans="27:93" ht="12.75" x14ac:dyDescent="0.2"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  <c r="BH565" s="23"/>
      <c r="BI565" s="23"/>
      <c r="BJ565" s="23"/>
      <c r="BK565" s="23"/>
      <c r="BL565" s="23"/>
      <c r="BM565" s="23"/>
      <c r="BN565" s="23"/>
      <c r="BO565" s="23"/>
      <c r="BP565" s="23"/>
      <c r="BQ565" s="23"/>
      <c r="BR565" s="23"/>
      <c r="BS565" s="23"/>
      <c r="BT565" s="23"/>
      <c r="BU565" s="23"/>
      <c r="BV565" s="23"/>
      <c r="BW565" s="23"/>
      <c r="BX565" s="23"/>
      <c r="BY565" s="23"/>
      <c r="BZ565" s="23"/>
      <c r="CA565" s="23"/>
      <c r="CB565" s="23"/>
      <c r="CC565" s="23"/>
      <c r="CD565" s="23"/>
      <c r="CE565" s="23"/>
      <c r="CF565" s="23"/>
      <c r="CG565" s="23"/>
      <c r="CH565" s="23"/>
      <c r="CI565" s="23"/>
      <c r="CJ565" s="23"/>
      <c r="CK565" s="23"/>
      <c r="CL565" s="23"/>
      <c r="CO565" s="30"/>
    </row>
    <row r="566" spans="27:93" ht="12.75" x14ac:dyDescent="0.2"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  <c r="BH566" s="23"/>
      <c r="BI566" s="23"/>
      <c r="BJ566" s="23"/>
      <c r="BK566" s="23"/>
      <c r="BL566" s="23"/>
      <c r="BM566" s="23"/>
      <c r="BN566" s="23"/>
      <c r="BO566" s="23"/>
      <c r="BP566" s="23"/>
      <c r="BQ566" s="23"/>
      <c r="BR566" s="23"/>
      <c r="BS566" s="23"/>
      <c r="BT566" s="23"/>
      <c r="BU566" s="23"/>
      <c r="BV566" s="23"/>
      <c r="BW566" s="23"/>
      <c r="BX566" s="23"/>
      <c r="BY566" s="23"/>
      <c r="BZ566" s="23"/>
      <c r="CA566" s="23"/>
      <c r="CB566" s="23"/>
      <c r="CC566" s="23"/>
      <c r="CD566" s="23"/>
      <c r="CE566" s="23"/>
      <c r="CF566" s="23"/>
      <c r="CG566" s="23"/>
      <c r="CH566" s="23"/>
      <c r="CI566" s="23"/>
      <c r="CJ566" s="23"/>
      <c r="CK566" s="23"/>
      <c r="CL566" s="23"/>
      <c r="CO566" s="30"/>
    </row>
    <row r="567" spans="27:93" ht="12.75" x14ac:dyDescent="0.2"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3"/>
      <c r="BG567" s="23"/>
      <c r="BH567" s="23"/>
      <c r="BI567" s="23"/>
      <c r="BJ567" s="23"/>
      <c r="BK567" s="23"/>
      <c r="BL567" s="23"/>
      <c r="BM567" s="23"/>
      <c r="BN567" s="23"/>
      <c r="BO567" s="23"/>
      <c r="BP567" s="23"/>
      <c r="BQ567" s="23"/>
      <c r="BR567" s="23"/>
      <c r="BS567" s="23"/>
      <c r="BT567" s="23"/>
      <c r="BU567" s="23"/>
      <c r="BV567" s="23"/>
      <c r="BW567" s="23"/>
      <c r="BX567" s="23"/>
      <c r="BY567" s="23"/>
      <c r="BZ567" s="23"/>
      <c r="CA567" s="23"/>
      <c r="CB567" s="23"/>
      <c r="CC567" s="23"/>
      <c r="CD567" s="23"/>
      <c r="CE567" s="23"/>
      <c r="CF567" s="23"/>
      <c r="CG567" s="23"/>
      <c r="CH567" s="23"/>
      <c r="CI567" s="23"/>
      <c r="CJ567" s="23"/>
      <c r="CK567" s="23"/>
      <c r="CL567" s="23"/>
      <c r="CO567" s="30"/>
    </row>
    <row r="568" spans="27:93" ht="12.75" x14ac:dyDescent="0.2"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  <c r="BH568" s="23"/>
      <c r="BI568" s="23"/>
      <c r="BJ568" s="23"/>
      <c r="BK568" s="23"/>
      <c r="BL568" s="23"/>
      <c r="BM568" s="23"/>
      <c r="BN568" s="23"/>
      <c r="BO568" s="23"/>
      <c r="BP568" s="23"/>
      <c r="BQ568" s="23"/>
      <c r="BR568" s="23"/>
      <c r="BS568" s="23"/>
      <c r="BT568" s="23"/>
      <c r="BU568" s="23"/>
      <c r="BV568" s="23"/>
      <c r="BW568" s="23"/>
      <c r="BX568" s="23"/>
      <c r="BY568" s="23"/>
      <c r="BZ568" s="23"/>
      <c r="CA568" s="23"/>
      <c r="CB568" s="23"/>
      <c r="CC568" s="23"/>
      <c r="CD568" s="23"/>
      <c r="CE568" s="23"/>
      <c r="CF568" s="23"/>
      <c r="CG568" s="23"/>
      <c r="CH568" s="23"/>
      <c r="CI568" s="23"/>
      <c r="CJ568" s="23"/>
      <c r="CK568" s="23"/>
      <c r="CL568" s="23"/>
      <c r="CO568" s="30"/>
    </row>
    <row r="569" spans="27:93" ht="12.75" x14ac:dyDescent="0.2"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  <c r="BF569" s="23"/>
      <c r="BG569" s="23"/>
      <c r="BH569" s="23"/>
      <c r="BI569" s="23"/>
      <c r="BJ569" s="23"/>
      <c r="BK569" s="23"/>
      <c r="BL569" s="23"/>
      <c r="BM569" s="23"/>
      <c r="BN569" s="23"/>
      <c r="BO569" s="23"/>
      <c r="BP569" s="23"/>
      <c r="BQ569" s="23"/>
      <c r="BR569" s="23"/>
      <c r="BS569" s="23"/>
      <c r="BT569" s="23"/>
      <c r="BU569" s="23"/>
      <c r="BV569" s="23"/>
      <c r="BW569" s="23"/>
      <c r="BX569" s="23"/>
      <c r="BY569" s="23"/>
      <c r="BZ569" s="23"/>
      <c r="CA569" s="23"/>
      <c r="CB569" s="23"/>
      <c r="CC569" s="23"/>
      <c r="CD569" s="23"/>
      <c r="CE569" s="23"/>
      <c r="CF569" s="23"/>
      <c r="CG569" s="23"/>
      <c r="CH569" s="23"/>
      <c r="CI569" s="23"/>
      <c r="CJ569" s="23"/>
      <c r="CK569" s="23"/>
      <c r="CL569" s="23"/>
      <c r="CO569" s="30"/>
    </row>
    <row r="570" spans="27:93" ht="12.75" x14ac:dyDescent="0.2"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  <c r="BD570" s="23"/>
      <c r="BE570" s="23"/>
      <c r="BF570" s="23"/>
      <c r="BG570" s="23"/>
      <c r="BH570" s="23"/>
      <c r="BI570" s="23"/>
      <c r="BJ570" s="23"/>
      <c r="BK570" s="23"/>
      <c r="BL570" s="23"/>
      <c r="BM570" s="23"/>
      <c r="BN570" s="23"/>
      <c r="BO570" s="23"/>
      <c r="BP570" s="23"/>
      <c r="BQ570" s="23"/>
      <c r="BR570" s="23"/>
      <c r="BS570" s="23"/>
      <c r="BT570" s="23"/>
      <c r="BU570" s="23"/>
      <c r="BV570" s="23"/>
      <c r="BW570" s="23"/>
      <c r="BX570" s="23"/>
      <c r="BY570" s="23"/>
      <c r="BZ570" s="23"/>
      <c r="CA570" s="23"/>
      <c r="CB570" s="23"/>
      <c r="CC570" s="23"/>
      <c r="CD570" s="23"/>
      <c r="CE570" s="23"/>
      <c r="CF570" s="23"/>
      <c r="CG570" s="23"/>
      <c r="CH570" s="23"/>
      <c r="CI570" s="23"/>
      <c r="CJ570" s="23"/>
      <c r="CK570" s="23"/>
      <c r="CL570" s="23"/>
      <c r="CO570" s="30"/>
    </row>
    <row r="571" spans="27:93" ht="12.75" x14ac:dyDescent="0.2"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  <c r="BH571" s="23"/>
      <c r="BI571" s="23"/>
      <c r="BJ571" s="23"/>
      <c r="BK571" s="23"/>
      <c r="BL571" s="23"/>
      <c r="BM571" s="23"/>
      <c r="BN571" s="23"/>
      <c r="BO571" s="23"/>
      <c r="BP571" s="23"/>
      <c r="BQ571" s="23"/>
      <c r="BR571" s="23"/>
      <c r="BS571" s="23"/>
      <c r="BT571" s="23"/>
      <c r="BU571" s="23"/>
      <c r="BV571" s="23"/>
      <c r="BW571" s="23"/>
      <c r="BX571" s="23"/>
      <c r="BY571" s="23"/>
      <c r="BZ571" s="23"/>
      <c r="CA571" s="23"/>
      <c r="CB571" s="23"/>
      <c r="CC571" s="23"/>
      <c r="CD571" s="23"/>
      <c r="CE571" s="23"/>
      <c r="CF571" s="23"/>
      <c r="CG571" s="23"/>
      <c r="CH571" s="23"/>
      <c r="CI571" s="23"/>
      <c r="CJ571" s="23"/>
      <c r="CK571" s="23"/>
      <c r="CL571" s="23"/>
      <c r="CO571" s="30"/>
    </row>
    <row r="572" spans="27:93" ht="12.75" x14ac:dyDescent="0.2"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  <c r="BH572" s="23"/>
      <c r="BI572" s="23"/>
      <c r="BJ572" s="23"/>
      <c r="BK572" s="23"/>
      <c r="BL572" s="23"/>
      <c r="BM572" s="23"/>
      <c r="BN572" s="23"/>
      <c r="BO572" s="23"/>
      <c r="BP572" s="23"/>
      <c r="BQ572" s="23"/>
      <c r="BR572" s="23"/>
      <c r="BS572" s="23"/>
      <c r="BT572" s="23"/>
      <c r="BU572" s="23"/>
      <c r="BV572" s="23"/>
      <c r="BW572" s="23"/>
      <c r="BX572" s="23"/>
      <c r="BY572" s="23"/>
      <c r="BZ572" s="23"/>
      <c r="CA572" s="23"/>
      <c r="CB572" s="23"/>
      <c r="CC572" s="23"/>
      <c r="CD572" s="23"/>
      <c r="CE572" s="23"/>
      <c r="CF572" s="23"/>
      <c r="CG572" s="23"/>
      <c r="CH572" s="23"/>
      <c r="CI572" s="23"/>
      <c r="CJ572" s="23"/>
      <c r="CK572" s="23"/>
      <c r="CL572" s="23"/>
      <c r="CO572" s="30"/>
    </row>
    <row r="573" spans="27:93" ht="12.75" x14ac:dyDescent="0.2"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  <c r="BL573" s="23"/>
      <c r="BM573" s="23"/>
      <c r="BN573" s="23"/>
      <c r="BO573" s="23"/>
      <c r="BP573" s="23"/>
      <c r="BQ573" s="23"/>
      <c r="BR573" s="23"/>
      <c r="BS573" s="23"/>
      <c r="BT573" s="23"/>
      <c r="BU573" s="23"/>
      <c r="BV573" s="23"/>
      <c r="BW573" s="23"/>
      <c r="BX573" s="23"/>
      <c r="BY573" s="23"/>
      <c r="BZ573" s="23"/>
      <c r="CA573" s="23"/>
      <c r="CB573" s="23"/>
      <c r="CC573" s="23"/>
      <c r="CD573" s="23"/>
      <c r="CE573" s="23"/>
      <c r="CF573" s="23"/>
      <c r="CG573" s="23"/>
      <c r="CH573" s="23"/>
      <c r="CI573" s="23"/>
      <c r="CJ573" s="23"/>
      <c r="CK573" s="23"/>
      <c r="CL573" s="23"/>
      <c r="CO573" s="30"/>
    </row>
    <row r="574" spans="27:93" ht="12.75" x14ac:dyDescent="0.2"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  <c r="BD574" s="23"/>
      <c r="BE574" s="23"/>
      <c r="BF574" s="23"/>
      <c r="BG574" s="23"/>
      <c r="BH574" s="23"/>
      <c r="BI574" s="23"/>
      <c r="BJ574" s="23"/>
      <c r="BK574" s="23"/>
      <c r="BL574" s="23"/>
      <c r="BM574" s="23"/>
      <c r="BN574" s="23"/>
      <c r="BO574" s="23"/>
      <c r="BP574" s="23"/>
      <c r="BQ574" s="23"/>
      <c r="BR574" s="23"/>
      <c r="BS574" s="23"/>
      <c r="BT574" s="23"/>
      <c r="BU574" s="23"/>
      <c r="BV574" s="23"/>
      <c r="BW574" s="23"/>
      <c r="BX574" s="23"/>
      <c r="BY574" s="23"/>
      <c r="BZ574" s="23"/>
      <c r="CA574" s="23"/>
      <c r="CB574" s="23"/>
      <c r="CC574" s="23"/>
      <c r="CD574" s="23"/>
      <c r="CE574" s="23"/>
      <c r="CF574" s="23"/>
      <c r="CG574" s="23"/>
      <c r="CH574" s="23"/>
      <c r="CI574" s="23"/>
      <c r="CJ574" s="23"/>
      <c r="CK574" s="23"/>
      <c r="CL574" s="23"/>
      <c r="CO574" s="30"/>
    </row>
    <row r="575" spans="27:93" ht="12.75" x14ac:dyDescent="0.2"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  <c r="BF575" s="23"/>
      <c r="BG575" s="23"/>
      <c r="BH575" s="23"/>
      <c r="BI575" s="23"/>
      <c r="BJ575" s="23"/>
      <c r="BK575" s="23"/>
      <c r="BL575" s="23"/>
      <c r="BM575" s="23"/>
      <c r="BN575" s="23"/>
      <c r="BO575" s="23"/>
      <c r="BP575" s="23"/>
      <c r="BQ575" s="23"/>
      <c r="BR575" s="23"/>
      <c r="BS575" s="23"/>
      <c r="BT575" s="23"/>
      <c r="BU575" s="23"/>
      <c r="BV575" s="23"/>
      <c r="BW575" s="23"/>
      <c r="BX575" s="23"/>
      <c r="BY575" s="23"/>
      <c r="BZ575" s="23"/>
      <c r="CA575" s="23"/>
      <c r="CB575" s="23"/>
      <c r="CC575" s="23"/>
      <c r="CD575" s="23"/>
      <c r="CE575" s="23"/>
      <c r="CF575" s="23"/>
      <c r="CG575" s="23"/>
      <c r="CH575" s="23"/>
      <c r="CI575" s="23"/>
      <c r="CJ575" s="23"/>
      <c r="CK575" s="23"/>
      <c r="CL575" s="23"/>
      <c r="CO575" s="30"/>
    </row>
    <row r="576" spans="27:93" ht="12.75" x14ac:dyDescent="0.2"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  <c r="BD576" s="23"/>
      <c r="BE576" s="23"/>
      <c r="BF576" s="23"/>
      <c r="BG576" s="23"/>
      <c r="BH576" s="23"/>
      <c r="BI576" s="23"/>
      <c r="BJ576" s="23"/>
      <c r="BK576" s="23"/>
      <c r="BL576" s="23"/>
      <c r="BM576" s="23"/>
      <c r="BN576" s="23"/>
      <c r="BO576" s="23"/>
      <c r="BP576" s="23"/>
      <c r="BQ576" s="23"/>
      <c r="BR576" s="23"/>
      <c r="BS576" s="23"/>
      <c r="BT576" s="23"/>
      <c r="BU576" s="23"/>
      <c r="BV576" s="23"/>
      <c r="BW576" s="23"/>
      <c r="BX576" s="23"/>
      <c r="BY576" s="23"/>
      <c r="BZ576" s="23"/>
      <c r="CA576" s="23"/>
      <c r="CB576" s="23"/>
      <c r="CC576" s="23"/>
      <c r="CD576" s="23"/>
      <c r="CE576" s="23"/>
      <c r="CF576" s="23"/>
      <c r="CG576" s="23"/>
      <c r="CH576" s="23"/>
      <c r="CI576" s="23"/>
      <c r="CJ576" s="23"/>
      <c r="CK576" s="23"/>
      <c r="CL576" s="23"/>
      <c r="CO576" s="30"/>
    </row>
    <row r="577" spans="27:93" ht="12.75" x14ac:dyDescent="0.2"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  <c r="BF577" s="23"/>
      <c r="BG577" s="23"/>
      <c r="BH577" s="23"/>
      <c r="BI577" s="23"/>
      <c r="BJ577" s="23"/>
      <c r="BK577" s="23"/>
      <c r="BL577" s="23"/>
      <c r="BM577" s="23"/>
      <c r="BN577" s="23"/>
      <c r="BO577" s="23"/>
      <c r="BP577" s="23"/>
      <c r="BQ577" s="23"/>
      <c r="BR577" s="23"/>
      <c r="BS577" s="23"/>
      <c r="BT577" s="23"/>
      <c r="BU577" s="23"/>
      <c r="BV577" s="23"/>
      <c r="BW577" s="23"/>
      <c r="BX577" s="23"/>
      <c r="BY577" s="23"/>
      <c r="BZ577" s="23"/>
      <c r="CA577" s="23"/>
      <c r="CB577" s="23"/>
      <c r="CC577" s="23"/>
      <c r="CD577" s="23"/>
      <c r="CE577" s="23"/>
      <c r="CF577" s="23"/>
      <c r="CG577" s="23"/>
      <c r="CH577" s="23"/>
      <c r="CI577" s="23"/>
      <c r="CJ577" s="23"/>
      <c r="CK577" s="23"/>
      <c r="CL577" s="23"/>
      <c r="CO577" s="30"/>
    </row>
    <row r="578" spans="27:93" ht="12.75" x14ac:dyDescent="0.2"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  <c r="BF578" s="23"/>
      <c r="BG578" s="23"/>
      <c r="BH578" s="23"/>
      <c r="BI578" s="23"/>
      <c r="BJ578" s="23"/>
      <c r="BK578" s="23"/>
      <c r="BL578" s="23"/>
      <c r="BM578" s="23"/>
      <c r="BN578" s="23"/>
      <c r="BO578" s="23"/>
      <c r="BP578" s="23"/>
      <c r="BQ578" s="23"/>
      <c r="BR578" s="23"/>
      <c r="BS578" s="23"/>
      <c r="BT578" s="23"/>
      <c r="BU578" s="23"/>
      <c r="BV578" s="23"/>
      <c r="BW578" s="23"/>
      <c r="BX578" s="23"/>
      <c r="BY578" s="23"/>
      <c r="BZ578" s="23"/>
      <c r="CA578" s="23"/>
      <c r="CB578" s="23"/>
      <c r="CC578" s="23"/>
      <c r="CD578" s="23"/>
      <c r="CE578" s="23"/>
      <c r="CF578" s="23"/>
      <c r="CG578" s="23"/>
      <c r="CH578" s="23"/>
      <c r="CI578" s="23"/>
      <c r="CJ578" s="23"/>
      <c r="CK578" s="23"/>
      <c r="CL578" s="23"/>
      <c r="CO578" s="30"/>
    </row>
    <row r="579" spans="27:93" ht="12.75" x14ac:dyDescent="0.2"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  <c r="BH579" s="23"/>
      <c r="BI579" s="23"/>
      <c r="BJ579" s="23"/>
      <c r="BK579" s="23"/>
      <c r="BL579" s="23"/>
      <c r="BM579" s="23"/>
      <c r="BN579" s="23"/>
      <c r="BO579" s="23"/>
      <c r="BP579" s="23"/>
      <c r="BQ579" s="23"/>
      <c r="BR579" s="23"/>
      <c r="BS579" s="23"/>
      <c r="BT579" s="23"/>
      <c r="BU579" s="23"/>
      <c r="BV579" s="23"/>
      <c r="BW579" s="23"/>
      <c r="BX579" s="23"/>
      <c r="BY579" s="23"/>
      <c r="BZ579" s="23"/>
      <c r="CA579" s="23"/>
      <c r="CB579" s="23"/>
      <c r="CC579" s="23"/>
      <c r="CD579" s="23"/>
      <c r="CE579" s="23"/>
      <c r="CF579" s="23"/>
      <c r="CG579" s="23"/>
      <c r="CH579" s="23"/>
      <c r="CI579" s="23"/>
      <c r="CJ579" s="23"/>
      <c r="CK579" s="23"/>
      <c r="CL579" s="23"/>
      <c r="CO579" s="30"/>
    </row>
    <row r="580" spans="27:93" ht="12.75" x14ac:dyDescent="0.2"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  <c r="BH580" s="23"/>
      <c r="BI580" s="23"/>
      <c r="BJ580" s="23"/>
      <c r="BK580" s="23"/>
      <c r="BL580" s="23"/>
      <c r="BM580" s="23"/>
      <c r="BN580" s="23"/>
      <c r="BO580" s="23"/>
      <c r="BP580" s="23"/>
      <c r="BQ580" s="23"/>
      <c r="BR580" s="23"/>
      <c r="BS580" s="23"/>
      <c r="BT580" s="23"/>
      <c r="BU580" s="23"/>
      <c r="BV580" s="23"/>
      <c r="BW580" s="23"/>
      <c r="BX580" s="23"/>
      <c r="BY580" s="23"/>
      <c r="BZ580" s="23"/>
      <c r="CA580" s="23"/>
      <c r="CB580" s="23"/>
      <c r="CC580" s="23"/>
      <c r="CD580" s="23"/>
      <c r="CE580" s="23"/>
      <c r="CF580" s="23"/>
      <c r="CG580" s="23"/>
      <c r="CH580" s="23"/>
      <c r="CI580" s="23"/>
      <c r="CJ580" s="23"/>
      <c r="CK580" s="23"/>
      <c r="CL580" s="23"/>
      <c r="CO580" s="30"/>
    </row>
    <row r="581" spans="27:93" ht="12.75" x14ac:dyDescent="0.2"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  <c r="BH581" s="23"/>
      <c r="BI581" s="23"/>
      <c r="BJ581" s="23"/>
      <c r="BK581" s="23"/>
      <c r="BL581" s="23"/>
      <c r="BM581" s="23"/>
      <c r="BN581" s="23"/>
      <c r="BO581" s="23"/>
      <c r="BP581" s="23"/>
      <c r="BQ581" s="23"/>
      <c r="BR581" s="23"/>
      <c r="BS581" s="23"/>
      <c r="BT581" s="23"/>
      <c r="BU581" s="23"/>
      <c r="BV581" s="23"/>
      <c r="BW581" s="23"/>
      <c r="BX581" s="23"/>
      <c r="BY581" s="23"/>
      <c r="BZ581" s="23"/>
      <c r="CA581" s="23"/>
      <c r="CB581" s="23"/>
      <c r="CC581" s="23"/>
      <c r="CD581" s="23"/>
      <c r="CE581" s="23"/>
      <c r="CF581" s="23"/>
      <c r="CG581" s="23"/>
      <c r="CH581" s="23"/>
      <c r="CI581" s="23"/>
      <c r="CJ581" s="23"/>
      <c r="CK581" s="23"/>
      <c r="CL581" s="23"/>
      <c r="CO581" s="30"/>
    </row>
    <row r="582" spans="27:93" ht="12.75" x14ac:dyDescent="0.2"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  <c r="BD582" s="23"/>
      <c r="BE582" s="23"/>
      <c r="BF582" s="23"/>
      <c r="BG582" s="23"/>
      <c r="BH582" s="23"/>
      <c r="BI582" s="23"/>
      <c r="BJ582" s="23"/>
      <c r="BK582" s="23"/>
      <c r="BL582" s="23"/>
      <c r="BM582" s="23"/>
      <c r="BN582" s="23"/>
      <c r="BO582" s="23"/>
      <c r="BP582" s="23"/>
      <c r="BQ582" s="23"/>
      <c r="BR582" s="23"/>
      <c r="BS582" s="23"/>
      <c r="BT582" s="23"/>
      <c r="BU582" s="23"/>
      <c r="BV582" s="23"/>
      <c r="BW582" s="23"/>
      <c r="BX582" s="23"/>
      <c r="BY582" s="23"/>
      <c r="BZ582" s="23"/>
      <c r="CA582" s="23"/>
      <c r="CB582" s="23"/>
      <c r="CC582" s="23"/>
      <c r="CD582" s="23"/>
      <c r="CE582" s="23"/>
      <c r="CF582" s="23"/>
      <c r="CG582" s="23"/>
      <c r="CH582" s="23"/>
      <c r="CI582" s="23"/>
      <c r="CJ582" s="23"/>
      <c r="CK582" s="23"/>
      <c r="CL582" s="23"/>
      <c r="CO582" s="30"/>
    </row>
    <row r="583" spans="27:93" ht="12.75" x14ac:dyDescent="0.2"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  <c r="BD583" s="23"/>
      <c r="BE583" s="23"/>
      <c r="BF583" s="23"/>
      <c r="BG583" s="23"/>
      <c r="BH583" s="23"/>
      <c r="BI583" s="23"/>
      <c r="BJ583" s="23"/>
      <c r="BK583" s="23"/>
      <c r="BL583" s="23"/>
      <c r="BM583" s="23"/>
      <c r="BN583" s="23"/>
      <c r="BO583" s="23"/>
      <c r="BP583" s="23"/>
      <c r="BQ583" s="23"/>
      <c r="BR583" s="23"/>
      <c r="BS583" s="23"/>
      <c r="BT583" s="23"/>
      <c r="BU583" s="23"/>
      <c r="BV583" s="23"/>
      <c r="BW583" s="23"/>
      <c r="BX583" s="23"/>
      <c r="BY583" s="23"/>
      <c r="BZ583" s="23"/>
      <c r="CA583" s="23"/>
      <c r="CB583" s="23"/>
      <c r="CC583" s="23"/>
      <c r="CD583" s="23"/>
      <c r="CE583" s="23"/>
      <c r="CF583" s="23"/>
      <c r="CG583" s="23"/>
      <c r="CH583" s="23"/>
      <c r="CI583" s="23"/>
      <c r="CJ583" s="23"/>
      <c r="CK583" s="23"/>
      <c r="CL583" s="23"/>
      <c r="CO583" s="30"/>
    </row>
    <row r="584" spans="27:93" ht="12.75" x14ac:dyDescent="0.2"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/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3"/>
      <c r="CA584" s="23"/>
      <c r="CB584" s="23"/>
      <c r="CC584" s="23"/>
      <c r="CD584" s="23"/>
      <c r="CE584" s="23"/>
      <c r="CF584" s="23"/>
      <c r="CG584" s="23"/>
      <c r="CH584" s="23"/>
      <c r="CI584" s="23"/>
      <c r="CJ584" s="23"/>
      <c r="CK584" s="23"/>
      <c r="CL584" s="23"/>
      <c r="CO584" s="30"/>
    </row>
    <row r="585" spans="27:93" ht="12.75" x14ac:dyDescent="0.2"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/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3"/>
      <c r="CA585" s="23"/>
      <c r="CB585" s="23"/>
      <c r="CC585" s="23"/>
      <c r="CD585" s="23"/>
      <c r="CE585" s="23"/>
      <c r="CF585" s="23"/>
      <c r="CG585" s="23"/>
      <c r="CH585" s="23"/>
      <c r="CI585" s="23"/>
      <c r="CJ585" s="23"/>
      <c r="CK585" s="23"/>
      <c r="CL585" s="23"/>
      <c r="CO585" s="30"/>
    </row>
    <row r="586" spans="27:93" ht="12.75" x14ac:dyDescent="0.2"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  <c r="BD586" s="23"/>
      <c r="BE586" s="23"/>
      <c r="BF586" s="23"/>
      <c r="BG586" s="23"/>
      <c r="BH586" s="23"/>
      <c r="BI586" s="23"/>
      <c r="BJ586" s="23"/>
      <c r="BK586" s="23"/>
      <c r="BL586" s="23"/>
      <c r="BM586" s="23"/>
      <c r="BN586" s="23"/>
      <c r="BO586" s="23"/>
      <c r="BP586" s="23"/>
      <c r="BQ586" s="23"/>
      <c r="BR586" s="23"/>
      <c r="BS586" s="23"/>
      <c r="BT586" s="23"/>
      <c r="BU586" s="23"/>
      <c r="BV586" s="23"/>
      <c r="BW586" s="23"/>
      <c r="BX586" s="23"/>
      <c r="BY586" s="23"/>
      <c r="BZ586" s="23"/>
      <c r="CA586" s="23"/>
      <c r="CB586" s="23"/>
      <c r="CC586" s="23"/>
      <c r="CD586" s="23"/>
      <c r="CE586" s="23"/>
      <c r="CF586" s="23"/>
      <c r="CG586" s="23"/>
      <c r="CH586" s="23"/>
      <c r="CI586" s="23"/>
      <c r="CJ586" s="23"/>
      <c r="CK586" s="23"/>
      <c r="CL586" s="23"/>
      <c r="CO586" s="30"/>
    </row>
    <row r="587" spans="27:93" ht="12.75" x14ac:dyDescent="0.2"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/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3"/>
      <c r="CA587" s="23"/>
      <c r="CB587" s="23"/>
      <c r="CC587" s="23"/>
      <c r="CD587" s="23"/>
      <c r="CE587" s="23"/>
      <c r="CF587" s="23"/>
      <c r="CG587" s="23"/>
      <c r="CH587" s="23"/>
      <c r="CI587" s="23"/>
      <c r="CJ587" s="23"/>
      <c r="CK587" s="23"/>
      <c r="CL587" s="23"/>
      <c r="CO587" s="30"/>
    </row>
    <row r="588" spans="27:93" ht="12.75" x14ac:dyDescent="0.2"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  <c r="BJ588" s="23"/>
      <c r="BK588" s="23"/>
      <c r="BL588" s="23"/>
      <c r="BM588" s="23"/>
      <c r="BN588" s="23"/>
      <c r="BO588" s="23"/>
      <c r="BP588" s="23"/>
      <c r="BQ588" s="23"/>
      <c r="BR588" s="23"/>
      <c r="BS588" s="23"/>
      <c r="BT588" s="23"/>
      <c r="BU588" s="23"/>
      <c r="BV588" s="23"/>
      <c r="BW588" s="23"/>
      <c r="BX588" s="23"/>
      <c r="BY588" s="23"/>
      <c r="BZ588" s="23"/>
      <c r="CA588" s="23"/>
      <c r="CB588" s="23"/>
      <c r="CC588" s="23"/>
      <c r="CD588" s="23"/>
      <c r="CE588" s="23"/>
      <c r="CF588" s="23"/>
      <c r="CG588" s="23"/>
      <c r="CH588" s="23"/>
      <c r="CI588" s="23"/>
      <c r="CJ588" s="23"/>
      <c r="CK588" s="23"/>
      <c r="CL588" s="23"/>
      <c r="CO588" s="30"/>
    </row>
    <row r="589" spans="27:93" ht="12.75" x14ac:dyDescent="0.2"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  <c r="BH589" s="23"/>
      <c r="BI589" s="23"/>
      <c r="BJ589" s="23"/>
      <c r="BK589" s="23"/>
      <c r="BL589" s="23"/>
      <c r="BM589" s="23"/>
      <c r="BN589" s="23"/>
      <c r="BO589" s="23"/>
      <c r="BP589" s="23"/>
      <c r="BQ589" s="23"/>
      <c r="BR589" s="23"/>
      <c r="BS589" s="23"/>
      <c r="BT589" s="23"/>
      <c r="BU589" s="23"/>
      <c r="BV589" s="23"/>
      <c r="BW589" s="23"/>
      <c r="BX589" s="23"/>
      <c r="BY589" s="23"/>
      <c r="BZ589" s="23"/>
      <c r="CA589" s="23"/>
      <c r="CB589" s="23"/>
      <c r="CC589" s="23"/>
      <c r="CD589" s="23"/>
      <c r="CE589" s="23"/>
      <c r="CF589" s="23"/>
      <c r="CG589" s="23"/>
      <c r="CH589" s="23"/>
      <c r="CI589" s="23"/>
      <c r="CJ589" s="23"/>
      <c r="CK589" s="23"/>
      <c r="CL589" s="23"/>
      <c r="CO589" s="30"/>
    </row>
    <row r="590" spans="27:93" ht="12.75" x14ac:dyDescent="0.2"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  <c r="BH590" s="23"/>
      <c r="BI590" s="23"/>
      <c r="BJ590" s="23"/>
      <c r="BK590" s="23"/>
      <c r="BL590" s="23"/>
      <c r="BM590" s="23"/>
      <c r="BN590" s="23"/>
      <c r="BO590" s="23"/>
      <c r="BP590" s="23"/>
      <c r="BQ590" s="23"/>
      <c r="BR590" s="23"/>
      <c r="BS590" s="23"/>
      <c r="BT590" s="23"/>
      <c r="BU590" s="23"/>
      <c r="BV590" s="23"/>
      <c r="BW590" s="23"/>
      <c r="BX590" s="23"/>
      <c r="BY590" s="23"/>
      <c r="BZ590" s="23"/>
      <c r="CA590" s="23"/>
      <c r="CB590" s="23"/>
      <c r="CC590" s="23"/>
      <c r="CD590" s="23"/>
      <c r="CE590" s="23"/>
      <c r="CF590" s="23"/>
      <c r="CG590" s="23"/>
      <c r="CH590" s="23"/>
      <c r="CI590" s="23"/>
      <c r="CJ590" s="23"/>
      <c r="CK590" s="23"/>
      <c r="CL590" s="23"/>
      <c r="CO590" s="30"/>
    </row>
    <row r="591" spans="27:93" ht="12.75" x14ac:dyDescent="0.2"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  <c r="BF591" s="23"/>
      <c r="BG591" s="23"/>
      <c r="BH591" s="23"/>
      <c r="BI591" s="23"/>
      <c r="BJ591" s="23"/>
      <c r="BK591" s="23"/>
      <c r="BL591" s="23"/>
      <c r="BM591" s="23"/>
      <c r="BN591" s="23"/>
      <c r="BO591" s="23"/>
      <c r="BP591" s="23"/>
      <c r="BQ591" s="23"/>
      <c r="BR591" s="23"/>
      <c r="BS591" s="23"/>
      <c r="BT591" s="23"/>
      <c r="BU591" s="23"/>
      <c r="BV591" s="23"/>
      <c r="BW591" s="23"/>
      <c r="BX591" s="23"/>
      <c r="BY591" s="23"/>
      <c r="BZ591" s="23"/>
      <c r="CA591" s="23"/>
      <c r="CB591" s="23"/>
      <c r="CC591" s="23"/>
      <c r="CD591" s="23"/>
      <c r="CE591" s="23"/>
      <c r="CF591" s="23"/>
      <c r="CG591" s="23"/>
      <c r="CH591" s="23"/>
      <c r="CI591" s="23"/>
      <c r="CJ591" s="23"/>
      <c r="CK591" s="23"/>
      <c r="CL591" s="23"/>
      <c r="CO591" s="30"/>
    </row>
    <row r="592" spans="27:93" ht="12.75" x14ac:dyDescent="0.2"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  <c r="BD592" s="23"/>
      <c r="BE592" s="23"/>
      <c r="BF592" s="23"/>
      <c r="BG592" s="23"/>
      <c r="BH592" s="23"/>
      <c r="BI592" s="23"/>
      <c r="BJ592" s="23"/>
      <c r="BK592" s="23"/>
      <c r="BL592" s="23"/>
      <c r="BM592" s="23"/>
      <c r="BN592" s="23"/>
      <c r="BO592" s="23"/>
      <c r="BP592" s="23"/>
      <c r="BQ592" s="23"/>
      <c r="BR592" s="23"/>
      <c r="BS592" s="23"/>
      <c r="BT592" s="23"/>
      <c r="BU592" s="23"/>
      <c r="BV592" s="23"/>
      <c r="BW592" s="23"/>
      <c r="BX592" s="23"/>
      <c r="BY592" s="23"/>
      <c r="BZ592" s="23"/>
      <c r="CA592" s="23"/>
      <c r="CB592" s="23"/>
      <c r="CC592" s="23"/>
      <c r="CD592" s="23"/>
      <c r="CE592" s="23"/>
      <c r="CF592" s="23"/>
      <c r="CG592" s="23"/>
      <c r="CH592" s="23"/>
      <c r="CI592" s="23"/>
      <c r="CJ592" s="23"/>
      <c r="CK592" s="23"/>
      <c r="CL592" s="23"/>
      <c r="CO592" s="30"/>
    </row>
    <row r="593" spans="27:93" ht="12.75" x14ac:dyDescent="0.2"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  <c r="BF593" s="23"/>
      <c r="BG593" s="23"/>
      <c r="BH593" s="23"/>
      <c r="BI593" s="23"/>
      <c r="BJ593" s="23"/>
      <c r="BK593" s="23"/>
      <c r="BL593" s="23"/>
      <c r="BM593" s="23"/>
      <c r="BN593" s="23"/>
      <c r="BO593" s="23"/>
      <c r="BP593" s="23"/>
      <c r="BQ593" s="23"/>
      <c r="BR593" s="23"/>
      <c r="BS593" s="23"/>
      <c r="BT593" s="23"/>
      <c r="BU593" s="23"/>
      <c r="BV593" s="23"/>
      <c r="BW593" s="23"/>
      <c r="BX593" s="23"/>
      <c r="BY593" s="23"/>
      <c r="BZ593" s="23"/>
      <c r="CA593" s="23"/>
      <c r="CB593" s="23"/>
      <c r="CC593" s="23"/>
      <c r="CD593" s="23"/>
      <c r="CE593" s="23"/>
      <c r="CF593" s="23"/>
      <c r="CG593" s="23"/>
      <c r="CH593" s="23"/>
      <c r="CI593" s="23"/>
      <c r="CJ593" s="23"/>
      <c r="CK593" s="23"/>
      <c r="CL593" s="23"/>
      <c r="CO593" s="30"/>
    </row>
    <row r="594" spans="27:93" ht="12.75" x14ac:dyDescent="0.2"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/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3"/>
      <c r="CA594" s="23"/>
      <c r="CB594" s="23"/>
      <c r="CC594" s="23"/>
      <c r="CD594" s="23"/>
      <c r="CE594" s="23"/>
      <c r="CF594" s="23"/>
      <c r="CG594" s="23"/>
      <c r="CH594" s="23"/>
      <c r="CI594" s="23"/>
      <c r="CJ594" s="23"/>
      <c r="CK594" s="23"/>
      <c r="CL594" s="23"/>
      <c r="CO594" s="30"/>
    </row>
    <row r="595" spans="27:93" ht="12.75" x14ac:dyDescent="0.2"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/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3"/>
      <c r="CA595" s="23"/>
      <c r="CB595" s="23"/>
      <c r="CC595" s="23"/>
      <c r="CD595" s="23"/>
      <c r="CE595" s="23"/>
      <c r="CF595" s="23"/>
      <c r="CG595" s="23"/>
      <c r="CH595" s="23"/>
      <c r="CI595" s="23"/>
      <c r="CJ595" s="23"/>
      <c r="CK595" s="23"/>
      <c r="CL595" s="23"/>
      <c r="CO595" s="30"/>
    </row>
    <row r="596" spans="27:93" ht="12.75" x14ac:dyDescent="0.2"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  <c r="BD596" s="23"/>
      <c r="BE596" s="23"/>
      <c r="BF596" s="23"/>
      <c r="BG596" s="23"/>
      <c r="BH596" s="23"/>
      <c r="BI596" s="23"/>
      <c r="BJ596" s="23"/>
      <c r="BK596" s="23"/>
      <c r="BL596" s="23"/>
      <c r="BM596" s="23"/>
      <c r="BN596" s="23"/>
      <c r="BO596" s="23"/>
      <c r="BP596" s="23"/>
      <c r="BQ596" s="23"/>
      <c r="BR596" s="23"/>
      <c r="BS596" s="23"/>
      <c r="BT596" s="23"/>
      <c r="BU596" s="23"/>
      <c r="BV596" s="23"/>
      <c r="BW596" s="23"/>
      <c r="BX596" s="23"/>
      <c r="BY596" s="23"/>
      <c r="BZ596" s="23"/>
      <c r="CA596" s="23"/>
      <c r="CB596" s="23"/>
      <c r="CC596" s="23"/>
      <c r="CD596" s="23"/>
      <c r="CE596" s="23"/>
      <c r="CF596" s="23"/>
      <c r="CG596" s="23"/>
      <c r="CH596" s="23"/>
      <c r="CI596" s="23"/>
      <c r="CJ596" s="23"/>
      <c r="CK596" s="23"/>
      <c r="CL596" s="23"/>
      <c r="CO596" s="30"/>
    </row>
    <row r="597" spans="27:93" ht="12.75" x14ac:dyDescent="0.2"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/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3"/>
      <c r="CA597" s="23"/>
      <c r="CB597" s="23"/>
      <c r="CC597" s="23"/>
      <c r="CD597" s="23"/>
      <c r="CE597" s="23"/>
      <c r="CF597" s="23"/>
      <c r="CG597" s="23"/>
      <c r="CH597" s="23"/>
      <c r="CI597" s="23"/>
      <c r="CJ597" s="23"/>
      <c r="CK597" s="23"/>
      <c r="CL597" s="23"/>
      <c r="CO597" s="30"/>
    </row>
    <row r="598" spans="27:93" ht="12.75" x14ac:dyDescent="0.2"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  <c r="BD598" s="23"/>
      <c r="BE598" s="23"/>
      <c r="BF598" s="23"/>
      <c r="BG598" s="23"/>
      <c r="BH598" s="23"/>
      <c r="BI598" s="23"/>
      <c r="BJ598" s="23"/>
      <c r="BK598" s="23"/>
      <c r="BL598" s="23"/>
      <c r="BM598" s="23"/>
      <c r="BN598" s="23"/>
      <c r="BO598" s="23"/>
      <c r="BP598" s="23"/>
      <c r="BQ598" s="23"/>
      <c r="BR598" s="23"/>
      <c r="BS598" s="23"/>
      <c r="BT598" s="23"/>
      <c r="BU598" s="23"/>
      <c r="BV598" s="23"/>
      <c r="BW598" s="23"/>
      <c r="BX598" s="23"/>
      <c r="BY598" s="23"/>
      <c r="BZ598" s="23"/>
      <c r="CA598" s="23"/>
      <c r="CB598" s="23"/>
      <c r="CC598" s="23"/>
      <c r="CD598" s="23"/>
      <c r="CE598" s="23"/>
      <c r="CF598" s="23"/>
      <c r="CG598" s="23"/>
      <c r="CH598" s="23"/>
      <c r="CI598" s="23"/>
      <c r="CJ598" s="23"/>
      <c r="CK598" s="23"/>
      <c r="CL598" s="23"/>
      <c r="CO598" s="30"/>
    </row>
    <row r="599" spans="27:93" ht="12.75" x14ac:dyDescent="0.2"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  <c r="BF599" s="23"/>
      <c r="BG599" s="23"/>
      <c r="BH599" s="23"/>
      <c r="BI599" s="23"/>
      <c r="BJ599" s="23"/>
      <c r="BK599" s="23"/>
      <c r="BL599" s="23"/>
      <c r="BM599" s="23"/>
      <c r="BN599" s="23"/>
      <c r="BO599" s="23"/>
      <c r="BP599" s="23"/>
      <c r="BQ599" s="23"/>
      <c r="BR599" s="23"/>
      <c r="BS599" s="23"/>
      <c r="BT599" s="23"/>
      <c r="BU599" s="23"/>
      <c r="BV599" s="23"/>
      <c r="BW599" s="23"/>
      <c r="BX599" s="23"/>
      <c r="BY599" s="23"/>
      <c r="BZ599" s="23"/>
      <c r="CA599" s="23"/>
      <c r="CB599" s="23"/>
      <c r="CC599" s="23"/>
      <c r="CD599" s="23"/>
      <c r="CE599" s="23"/>
      <c r="CF599" s="23"/>
      <c r="CG599" s="23"/>
      <c r="CH599" s="23"/>
      <c r="CI599" s="23"/>
      <c r="CJ599" s="23"/>
      <c r="CK599" s="23"/>
      <c r="CL599" s="23"/>
      <c r="CO599" s="30"/>
    </row>
    <row r="600" spans="27:93" ht="12.75" x14ac:dyDescent="0.2"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  <c r="BH600" s="23"/>
      <c r="BI600" s="23"/>
      <c r="BJ600" s="23"/>
      <c r="BK600" s="23"/>
      <c r="BL600" s="23"/>
      <c r="BM600" s="23"/>
      <c r="BN600" s="23"/>
      <c r="BO600" s="23"/>
      <c r="BP600" s="23"/>
      <c r="BQ600" s="23"/>
      <c r="BR600" s="23"/>
      <c r="BS600" s="23"/>
      <c r="BT600" s="23"/>
      <c r="BU600" s="23"/>
      <c r="BV600" s="23"/>
      <c r="BW600" s="23"/>
      <c r="BX600" s="23"/>
      <c r="BY600" s="23"/>
      <c r="BZ600" s="23"/>
      <c r="CA600" s="23"/>
      <c r="CB600" s="23"/>
      <c r="CC600" s="23"/>
      <c r="CD600" s="23"/>
      <c r="CE600" s="23"/>
      <c r="CF600" s="23"/>
      <c r="CG600" s="23"/>
      <c r="CH600" s="23"/>
      <c r="CI600" s="23"/>
      <c r="CJ600" s="23"/>
      <c r="CK600" s="23"/>
      <c r="CL600" s="23"/>
      <c r="CO600" s="30"/>
    </row>
    <row r="601" spans="27:93" ht="12.75" x14ac:dyDescent="0.2"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  <c r="BF601" s="23"/>
      <c r="BG601" s="23"/>
      <c r="BH601" s="23"/>
      <c r="BI601" s="23"/>
      <c r="BJ601" s="23"/>
      <c r="BK601" s="23"/>
      <c r="BL601" s="23"/>
      <c r="BM601" s="23"/>
      <c r="BN601" s="23"/>
      <c r="BO601" s="23"/>
      <c r="BP601" s="23"/>
      <c r="BQ601" s="23"/>
      <c r="BR601" s="23"/>
      <c r="BS601" s="23"/>
      <c r="BT601" s="23"/>
      <c r="BU601" s="23"/>
      <c r="BV601" s="23"/>
      <c r="BW601" s="23"/>
      <c r="BX601" s="23"/>
      <c r="BY601" s="23"/>
      <c r="BZ601" s="23"/>
      <c r="CA601" s="23"/>
      <c r="CB601" s="23"/>
      <c r="CC601" s="23"/>
      <c r="CD601" s="23"/>
      <c r="CE601" s="23"/>
      <c r="CF601" s="23"/>
      <c r="CG601" s="23"/>
      <c r="CH601" s="23"/>
      <c r="CI601" s="23"/>
      <c r="CJ601" s="23"/>
      <c r="CK601" s="23"/>
      <c r="CL601" s="23"/>
      <c r="CO601" s="30"/>
    </row>
    <row r="602" spans="27:93" ht="12.75" x14ac:dyDescent="0.2"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  <c r="BD602" s="23"/>
      <c r="BE602" s="23"/>
      <c r="BF602" s="23"/>
      <c r="BG602" s="23"/>
      <c r="BH602" s="23"/>
      <c r="BI602" s="23"/>
      <c r="BJ602" s="23"/>
      <c r="BK602" s="23"/>
      <c r="BL602" s="23"/>
      <c r="BM602" s="23"/>
      <c r="BN602" s="23"/>
      <c r="BO602" s="23"/>
      <c r="BP602" s="23"/>
      <c r="BQ602" s="23"/>
      <c r="BR602" s="23"/>
      <c r="BS602" s="23"/>
      <c r="BT602" s="23"/>
      <c r="BU602" s="23"/>
      <c r="BV602" s="23"/>
      <c r="BW602" s="23"/>
      <c r="BX602" s="23"/>
      <c r="BY602" s="23"/>
      <c r="BZ602" s="23"/>
      <c r="CA602" s="23"/>
      <c r="CB602" s="23"/>
      <c r="CC602" s="23"/>
      <c r="CD602" s="23"/>
      <c r="CE602" s="23"/>
      <c r="CF602" s="23"/>
      <c r="CG602" s="23"/>
      <c r="CH602" s="23"/>
      <c r="CI602" s="23"/>
      <c r="CJ602" s="23"/>
      <c r="CK602" s="23"/>
      <c r="CL602" s="23"/>
      <c r="CO602" s="30"/>
    </row>
    <row r="603" spans="27:93" ht="12.75" x14ac:dyDescent="0.2"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23"/>
      <c r="BM603" s="23"/>
      <c r="BN603" s="23"/>
      <c r="BO603" s="23"/>
      <c r="BP603" s="23"/>
      <c r="BQ603" s="23"/>
      <c r="BR603" s="23"/>
      <c r="BS603" s="23"/>
      <c r="BT603" s="23"/>
      <c r="BU603" s="23"/>
      <c r="BV603" s="23"/>
      <c r="BW603" s="23"/>
      <c r="BX603" s="23"/>
      <c r="BY603" s="23"/>
      <c r="BZ603" s="23"/>
      <c r="CA603" s="23"/>
      <c r="CB603" s="23"/>
      <c r="CC603" s="23"/>
      <c r="CD603" s="23"/>
      <c r="CE603" s="23"/>
      <c r="CF603" s="23"/>
      <c r="CG603" s="23"/>
      <c r="CH603" s="23"/>
      <c r="CI603" s="23"/>
      <c r="CJ603" s="23"/>
      <c r="CK603" s="23"/>
      <c r="CL603" s="23"/>
      <c r="CO603" s="30"/>
    </row>
    <row r="604" spans="27:93" ht="12.75" x14ac:dyDescent="0.2"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  <c r="BF604" s="23"/>
      <c r="BG604" s="23"/>
      <c r="BH604" s="23"/>
      <c r="BI604" s="23"/>
      <c r="BJ604" s="23"/>
      <c r="BK604" s="23"/>
      <c r="BL604" s="23"/>
      <c r="BM604" s="23"/>
      <c r="BN604" s="23"/>
      <c r="BO604" s="23"/>
      <c r="BP604" s="23"/>
      <c r="BQ604" s="23"/>
      <c r="BR604" s="23"/>
      <c r="BS604" s="23"/>
      <c r="BT604" s="23"/>
      <c r="BU604" s="23"/>
      <c r="BV604" s="23"/>
      <c r="BW604" s="23"/>
      <c r="BX604" s="23"/>
      <c r="BY604" s="23"/>
      <c r="BZ604" s="23"/>
      <c r="CA604" s="23"/>
      <c r="CB604" s="23"/>
      <c r="CC604" s="23"/>
      <c r="CD604" s="23"/>
      <c r="CE604" s="23"/>
      <c r="CF604" s="23"/>
      <c r="CG604" s="23"/>
      <c r="CH604" s="23"/>
      <c r="CI604" s="23"/>
      <c r="CJ604" s="23"/>
      <c r="CK604" s="23"/>
      <c r="CL604" s="23"/>
      <c r="CO604" s="30"/>
    </row>
    <row r="605" spans="27:93" ht="12.75" x14ac:dyDescent="0.2"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  <c r="BF605" s="23"/>
      <c r="BG605" s="23"/>
      <c r="BH605" s="23"/>
      <c r="BI605" s="23"/>
      <c r="BJ605" s="23"/>
      <c r="BK605" s="23"/>
      <c r="BL605" s="23"/>
      <c r="BM605" s="23"/>
      <c r="BN605" s="23"/>
      <c r="BO605" s="23"/>
      <c r="BP605" s="23"/>
      <c r="BQ605" s="23"/>
      <c r="BR605" s="23"/>
      <c r="BS605" s="23"/>
      <c r="BT605" s="23"/>
      <c r="BU605" s="23"/>
      <c r="BV605" s="23"/>
      <c r="BW605" s="23"/>
      <c r="BX605" s="23"/>
      <c r="BY605" s="23"/>
      <c r="BZ605" s="23"/>
      <c r="CA605" s="23"/>
      <c r="CB605" s="23"/>
      <c r="CC605" s="23"/>
      <c r="CD605" s="23"/>
      <c r="CE605" s="23"/>
      <c r="CF605" s="23"/>
      <c r="CG605" s="23"/>
      <c r="CH605" s="23"/>
      <c r="CI605" s="23"/>
      <c r="CJ605" s="23"/>
      <c r="CK605" s="23"/>
      <c r="CL605" s="23"/>
      <c r="CO605" s="30"/>
    </row>
    <row r="606" spans="27:93" ht="12.75" x14ac:dyDescent="0.2"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  <c r="BH606" s="23"/>
      <c r="BI606" s="23"/>
      <c r="BJ606" s="23"/>
      <c r="BK606" s="23"/>
      <c r="BL606" s="23"/>
      <c r="BM606" s="23"/>
      <c r="BN606" s="23"/>
      <c r="BO606" s="23"/>
      <c r="BP606" s="23"/>
      <c r="BQ606" s="23"/>
      <c r="BR606" s="23"/>
      <c r="BS606" s="23"/>
      <c r="BT606" s="23"/>
      <c r="BU606" s="23"/>
      <c r="BV606" s="23"/>
      <c r="BW606" s="23"/>
      <c r="BX606" s="23"/>
      <c r="BY606" s="23"/>
      <c r="BZ606" s="23"/>
      <c r="CA606" s="23"/>
      <c r="CB606" s="23"/>
      <c r="CC606" s="23"/>
      <c r="CD606" s="23"/>
      <c r="CE606" s="23"/>
      <c r="CF606" s="23"/>
      <c r="CG606" s="23"/>
      <c r="CH606" s="23"/>
      <c r="CI606" s="23"/>
      <c r="CJ606" s="23"/>
      <c r="CK606" s="23"/>
      <c r="CL606" s="23"/>
      <c r="CO606" s="30"/>
    </row>
    <row r="607" spans="27:93" ht="12.75" x14ac:dyDescent="0.2"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  <c r="BF607" s="23"/>
      <c r="BG607" s="23"/>
      <c r="BH607" s="23"/>
      <c r="BI607" s="23"/>
      <c r="BJ607" s="23"/>
      <c r="BK607" s="23"/>
      <c r="BL607" s="23"/>
      <c r="BM607" s="23"/>
      <c r="BN607" s="23"/>
      <c r="BO607" s="23"/>
      <c r="BP607" s="23"/>
      <c r="BQ607" s="23"/>
      <c r="BR607" s="23"/>
      <c r="BS607" s="23"/>
      <c r="BT607" s="23"/>
      <c r="BU607" s="23"/>
      <c r="BV607" s="23"/>
      <c r="BW607" s="23"/>
      <c r="BX607" s="23"/>
      <c r="BY607" s="23"/>
      <c r="BZ607" s="23"/>
      <c r="CA607" s="23"/>
      <c r="CB607" s="23"/>
      <c r="CC607" s="23"/>
      <c r="CD607" s="23"/>
      <c r="CE607" s="23"/>
      <c r="CF607" s="23"/>
      <c r="CG607" s="23"/>
      <c r="CH607" s="23"/>
      <c r="CI607" s="23"/>
      <c r="CJ607" s="23"/>
      <c r="CK607" s="23"/>
      <c r="CL607" s="23"/>
      <c r="CO607" s="30"/>
    </row>
    <row r="608" spans="27:93" ht="12.75" x14ac:dyDescent="0.2"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  <c r="BD608" s="23"/>
      <c r="BE608" s="23"/>
      <c r="BF608" s="23"/>
      <c r="BG608" s="23"/>
      <c r="BH608" s="23"/>
      <c r="BI608" s="23"/>
      <c r="BJ608" s="23"/>
      <c r="BK608" s="23"/>
      <c r="BL608" s="23"/>
      <c r="BM608" s="23"/>
      <c r="BN608" s="23"/>
      <c r="BO608" s="23"/>
      <c r="BP608" s="23"/>
      <c r="BQ608" s="23"/>
      <c r="BR608" s="23"/>
      <c r="BS608" s="23"/>
      <c r="BT608" s="23"/>
      <c r="BU608" s="23"/>
      <c r="BV608" s="23"/>
      <c r="BW608" s="23"/>
      <c r="BX608" s="23"/>
      <c r="BY608" s="23"/>
      <c r="BZ608" s="23"/>
      <c r="CA608" s="23"/>
      <c r="CB608" s="23"/>
      <c r="CC608" s="23"/>
      <c r="CD608" s="23"/>
      <c r="CE608" s="23"/>
      <c r="CF608" s="23"/>
      <c r="CG608" s="23"/>
      <c r="CH608" s="23"/>
      <c r="CI608" s="23"/>
      <c r="CJ608" s="23"/>
      <c r="CK608" s="23"/>
      <c r="CL608" s="23"/>
      <c r="CO608" s="30"/>
    </row>
    <row r="609" spans="27:93" ht="12.75" x14ac:dyDescent="0.2"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  <c r="BF609" s="23"/>
      <c r="BG609" s="23"/>
      <c r="BH609" s="23"/>
      <c r="BI609" s="23"/>
      <c r="BJ609" s="23"/>
      <c r="BK609" s="23"/>
      <c r="BL609" s="23"/>
      <c r="BM609" s="23"/>
      <c r="BN609" s="23"/>
      <c r="BO609" s="23"/>
      <c r="BP609" s="23"/>
      <c r="BQ609" s="23"/>
      <c r="BR609" s="23"/>
      <c r="BS609" s="23"/>
      <c r="BT609" s="23"/>
      <c r="BU609" s="23"/>
      <c r="BV609" s="23"/>
      <c r="BW609" s="23"/>
      <c r="BX609" s="23"/>
      <c r="BY609" s="23"/>
      <c r="BZ609" s="23"/>
      <c r="CA609" s="23"/>
      <c r="CB609" s="23"/>
      <c r="CC609" s="23"/>
      <c r="CD609" s="23"/>
      <c r="CE609" s="23"/>
      <c r="CF609" s="23"/>
      <c r="CG609" s="23"/>
      <c r="CH609" s="23"/>
      <c r="CI609" s="23"/>
      <c r="CJ609" s="23"/>
      <c r="CK609" s="23"/>
      <c r="CL609" s="23"/>
      <c r="CO609" s="30"/>
    </row>
    <row r="610" spans="27:93" ht="12.75" x14ac:dyDescent="0.2"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  <c r="BD610" s="23"/>
      <c r="BE610" s="23"/>
      <c r="BF610" s="23"/>
      <c r="BG610" s="23"/>
      <c r="BH610" s="23"/>
      <c r="BI610" s="23"/>
      <c r="BJ610" s="23"/>
      <c r="BK610" s="23"/>
      <c r="BL610" s="23"/>
      <c r="BM610" s="23"/>
      <c r="BN610" s="23"/>
      <c r="BO610" s="23"/>
      <c r="BP610" s="23"/>
      <c r="BQ610" s="23"/>
      <c r="BR610" s="23"/>
      <c r="BS610" s="23"/>
      <c r="BT610" s="23"/>
      <c r="BU610" s="23"/>
      <c r="BV610" s="23"/>
      <c r="BW610" s="23"/>
      <c r="BX610" s="23"/>
      <c r="BY610" s="23"/>
      <c r="BZ610" s="23"/>
      <c r="CA610" s="23"/>
      <c r="CB610" s="23"/>
      <c r="CC610" s="23"/>
      <c r="CD610" s="23"/>
      <c r="CE610" s="23"/>
      <c r="CF610" s="23"/>
      <c r="CG610" s="23"/>
      <c r="CH610" s="23"/>
      <c r="CI610" s="23"/>
      <c r="CJ610" s="23"/>
      <c r="CK610" s="23"/>
      <c r="CL610" s="23"/>
      <c r="CO610" s="30"/>
    </row>
    <row r="611" spans="27:93" ht="12.75" x14ac:dyDescent="0.2"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  <c r="BF611" s="23"/>
      <c r="BG611" s="23"/>
      <c r="BH611" s="23"/>
      <c r="BI611" s="23"/>
      <c r="BJ611" s="23"/>
      <c r="BK611" s="23"/>
      <c r="BL611" s="23"/>
      <c r="BM611" s="23"/>
      <c r="BN611" s="23"/>
      <c r="BO611" s="23"/>
      <c r="BP611" s="23"/>
      <c r="BQ611" s="23"/>
      <c r="BR611" s="23"/>
      <c r="BS611" s="23"/>
      <c r="BT611" s="23"/>
      <c r="BU611" s="23"/>
      <c r="BV611" s="23"/>
      <c r="BW611" s="23"/>
      <c r="BX611" s="23"/>
      <c r="BY611" s="23"/>
      <c r="BZ611" s="23"/>
      <c r="CA611" s="23"/>
      <c r="CB611" s="23"/>
      <c r="CC611" s="23"/>
      <c r="CD611" s="23"/>
      <c r="CE611" s="23"/>
      <c r="CF611" s="23"/>
      <c r="CG611" s="23"/>
      <c r="CH611" s="23"/>
      <c r="CI611" s="23"/>
      <c r="CJ611" s="23"/>
      <c r="CK611" s="23"/>
      <c r="CL611" s="23"/>
      <c r="CO611" s="30"/>
    </row>
    <row r="612" spans="27:93" ht="12.75" x14ac:dyDescent="0.2"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  <c r="BF612" s="23"/>
      <c r="BG612" s="23"/>
      <c r="BH612" s="23"/>
      <c r="BI612" s="23"/>
      <c r="BJ612" s="23"/>
      <c r="BK612" s="23"/>
      <c r="BL612" s="23"/>
      <c r="BM612" s="23"/>
      <c r="BN612" s="23"/>
      <c r="BO612" s="23"/>
      <c r="BP612" s="23"/>
      <c r="BQ612" s="23"/>
      <c r="BR612" s="23"/>
      <c r="BS612" s="23"/>
      <c r="BT612" s="23"/>
      <c r="BU612" s="23"/>
      <c r="BV612" s="23"/>
      <c r="BW612" s="23"/>
      <c r="BX612" s="23"/>
      <c r="BY612" s="23"/>
      <c r="BZ612" s="23"/>
      <c r="CA612" s="23"/>
      <c r="CB612" s="23"/>
      <c r="CC612" s="23"/>
      <c r="CD612" s="23"/>
      <c r="CE612" s="23"/>
      <c r="CF612" s="23"/>
      <c r="CG612" s="23"/>
      <c r="CH612" s="23"/>
      <c r="CI612" s="23"/>
      <c r="CJ612" s="23"/>
      <c r="CK612" s="23"/>
      <c r="CL612" s="23"/>
      <c r="CO612" s="30"/>
    </row>
    <row r="613" spans="27:93" ht="12.75" x14ac:dyDescent="0.2"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  <c r="BF613" s="23"/>
      <c r="BG613" s="23"/>
      <c r="BH613" s="23"/>
      <c r="BI613" s="23"/>
      <c r="BJ613" s="23"/>
      <c r="BK613" s="23"/>
      <c r="BL613" s="23"/>
      <c r="BM613" s="23"/>
      <c r="BN613" s="23"/>
      <c r="BO613" s="23"/>
      <c r="BP613" s="23"/>
      <c r="BQ613" s="23"/>
      <c r="BR613" s="23"/>
      <c r="BS613" s="23"/>
      <c r="BT613" s="23"/>
      <c r="BU613" s="23"/>
      <c r="BV613" s="23"/>
      <c r="BW613" s="23"/>
      <c r="BX613" s="23"/>
      <c r="BY613" s="23"/>
      <c r="BZ613" s="23"/>
      <c r="CA613" s="23"/>
      <c r="CB613" s="23"/>
      <c r="CC613" s="23"/>
      <c r="CD613" s="23"/>
      <c r="CE613" s="23"/>
      <c r="CF613" s="23"/>
      <c r="CG613" s="23"/>
      <c r="CH613" s="23"/>
      <c r="CI613" s="23"/>
      <c r="CJ613" s="23"/>
      <c r="CK613" s="23"/>
      <c r="CL613" s="23"/>
      <c r="CO613" s="30"/>
    </row>
    <row r="614" spans="27:93" ht="12.75" x14ac:dyDescent="0.2"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  <c r="BD614" s="23"/>
      <c r="BE614" s="23"/>
      <c r="BF614" s="23"/>
      <c r="BG614" s="23"/>
      <c r="BH614" s="23"/>
      <c r="BI614" s="23"/>
      <c r="BJ614" s="23"/>
      <c r="BK614" s="23"/>
      <c r="BL614" s="23"/>
      <c r="BM614" s="23"/>
      <c r="BN614" s="23"/>
      <c r="BO614" s="23"/>
      <c r="BP614" s="23"/>
      <c r="BQ614" s="23"/>
      <c r="BR614" s="23"/>
      <c r="BS614" s="23"/>
      <c r="BT614" s="23"/>
      <c r="BU614" s="23"/>
      <c r="BV614" s="23"/>
      <c r="BW614" s="23"/>
      <c r="BX614" s="23"/>
      <c r="BY614" s="23"/>
      <c r="BZ614" s="23"/>
      <c r="CA614" s="23"/>
      <c r="CB614" s="23"/>
      <c r="CC614" s="23"/>
      <c r="CD614" s="23"/>
      <c r="CE614" s="23"/>
      <c r="CF614" s="23"/>
      <c r="CG614" s="23"/>
      <c r="CH614" s="23"/>
      <c r="CI614" s="23"/>
      <c r="CJ614" s="23"/>
      <c r="CK614" s="23"/>
      <c r="CL614" s="23"/>
      <c r="CO614" s="30"/>
    </row>
    <row r="615" spans="27:93" ht="12.75" x14ac:dyDescent="0.2"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  <c r="BF615" s="23"/>
      <c r="BG615" s="23"/>
      <c r="BH615" s="23"/>
      <c r="BI615" s="23"/>
      <c r="BJ615" s="23"/>
      <c r="BK615" s="23"/>
      <c r="BL615" s="23"/>
      <c r="BM615" s="23"/>
      <c r="BN615" s="23"/>
      <c r="BO615" s="23"/>
      <c r="BP615" s="23"/>
      <c r="BQ615" s="23"/>
      <c r="BR615" s="23"/>
      <c r="BS615" s="23"/>
      <c r="BT615" s="23"/>
      <c r="BU615" s="23"/>
      <c r="BV615" s="23"/>
      <c r="BW615" s="23"/>
      <c r="BX615" s="23"/>
      <c r="BY615" s="23"/>
      <c r="BZ615" s="23"/>
      <c r="CA615" s="23"/>
      <c r="CB615" s="23"/>
      <c r="CC615" s="23"/>
      <c r="CD615" s="23"/>
      <c r="CE615" s="23"/>
      <c r="CF615" s="23"/>
      <c r="CG615" s="23"/>
      <c r="CH615" s="23"/>
      <c r="CI615" s="23"/>
      <c r="CJ615" s="23"/>
      <c r="CK615" s="23"/>
      <c r="CL615" s="23"/>
      <c r="CO615" s="30"/>
    </row>
    <row r="616" spans="27:93" ht="12.75" x14ac:dyDescent="0.2"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  <c r="BD616" s="23"/>
      <c r="BE616" s="23"/>
      <c r="BF616" s="23"/>
      <c r="BG616" s="23"/>
      <c r="BH616" s="23"/>
      <c r="BI616" s="23"/>
      <c r="BJ616" s="23"/>
      <c r="BK616" s="23"/>
      <c r="BL616" s="23"/>
      <c r="BM616" s="23"/>
      <c r="BN616" s="23"/>
      <c r="BO616" s="23"/>
      <c r="BP616" s="23"/>
      <c r="BQ616" s="23"/>
      <c r="BR616" s="23"/>
      <c r="BS616" s="23"/>
      <c r="BT616" s="23"/>
      <c r="BU616" s="23"/>
      <c r="BV616" s="23"/>
      <c r="BW616" s="23"/>
      <c r="BX616" s="23"/>
      <c r="BY616" s="23"/>
      <c r="BZ616" s="23"/>
      <c r="CA616" s="23"/>
      <c r="CB616" s="23"/>
      <c r="CC616" s="23"/>
      <c r="CD616" s="23"/>
      <c r="CE616" s="23"/>
      <c r="CF616" s="23"/>
      <c r="CG616" s="23"/>
      <c r="CH616" s="23"/>
      <c r="CI616" s="23"/>
      <c r="CJ616" s="23"/>
      <c r="CK616" s="23"/>
      <c r="CL616" s="23"/>
      <c r="CO616" s="30"/>
    </row>
    <row r="617" spans="27:93" ht="12.75" x14ac:dyDescent="0.2"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  <c r="BF617" s="23"/>
      <c r="BG617" s="23"/>
      <c r="BH617" s="23"/>
      <c r="BI617" s="23"/>
      <c r="BJ617" s="23"/>
      <c r="BK617" s="23"/>
      <c r="BL617" s="23"/>
      <c r="BM617" s="23"/>
      <c r="BN617" s="23"/>
      <c r="BO617" s="23"/>
      <c r="BP617" s="23"/>
      <c r="BQ617" s="23"/>
      <c r="BR617" s="23"/>
      <c r="BS617" s="23"/>
      <c r="BT617" s="23"/>
      <c r="BU617" s="23"/>
      <c r="BV617" s="23"/>
      <c r="BW617" s="23"/>
      <c r="BX617" s="23"/>
      <c r="BY617" s="23"/>
      <c r="BZ617" s="23"/>
      <c r="CA617" s="23"/>
      <c r="CB617" s="23"/>
      <c r="CC617" s="23"/>
      <c r="CD617" s="23"/>
      <c r="CE617" s="23"/>
      <c r="CF617" s="23"/>
      <c r="CG617" s="23"/>
      <c r="CH617" s="23"/>
      <c r="CI617" s="23"/>
      <c r="CJ617" s="23"/>
      <c r="CK617" s="23"/>
      <c r="CL617" s="23"/>
      <c r="CO617" s="30"/>
    </row>
    <row r="618" spans="27:93" ht="12.75" x14ac:dyDescent="0.2"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  <c r="BD618" s="23"/>
      <c r="BE618" s="23"/>
      <c r="BF618" s="23"/>
      <c r="BG618" s="23"/>
      <c r="BH618" s="23"/>
      <c r="BI618" s="23"/>
      <c r="BJ618" s="23"/>
      <c r="BK618" s="23"/>
      <c r="BL618" s="23"/>
      <c r="BM618" s="23"/>
      <c r="BN618" s="23"/>
      <c r="BO618" s="23"/>
      <c r="BP618" s="23"/>
      <c r="BQ618" s="23"/>
      <c r="BR618" s="23"/>
      <c r="BS618" s="23"/>
      <c r="BT618" s="23"/>
      <c r="BU618" s="23"/>
      <c r="BV618" s="23"/>
      <c r="BW618" s="23"/>
      <c r="BX618" s="23"/>
      <c r="BY618" s="23"/>
      <c r="BZ618" s="23"/>
      <c r="CA618" s="23"/>
      <c r="CB618" s="23"/>
      <c r="CC618" s="23"/>
      <c r="CD618" s="23"/>
      <c r="CE618" s="23"/>
      <c r="CF618" s="23"/>
      <c r="CG618" s="23"/>
      <c r="CH618" s="23"/>
      <c r="CI618" s="23"/>
      <c r="CJ618" s="23"/>
      <c r="CK618" s="23"/>
      <c r="CL618" s="23"/>
      <c r="CO618" s="30"/>
    </row>
    <row r="619" spans="27:93" ht="12.75" x14ac:dyDescent="0.2"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  <c r="BH619" s="23"/>
      <c r="BI619" s="23"/>
      <c r="BJ619" s="23"/>
      <c r="BK619" s="23"/>
      <c r="BL619" s="23"/>
      <c r="BM619" s="23"/>
      <c r="BN619" s="23"/>
      <c r="BO619" s="23"/>
      <c r="BP619" s="23"/>
      <c r="BQ619" s="23"/>
      <c r="BR619" s="23"/>
      <c r="BS619" s="23"/>
      <c r="BT619" s="23"/>
      <c r="BU619" s="23"/>
      <c r="BV619" s="23"/>
      <c r="BW619" s="23"/>
      <c r="BX619" s="23"/>
      <c r="BY619" s="23"/>
      <c r="BZ619" s="23"/>
      <c r="CA619" s="23"/>
      <c r="CB619" s="23"/>
      <c r="CC619" s="23"/>
      <c r="CD619" s="23"/>
      <c r="CE619" s="23"/>
      <c r="CF619" s="23"/>
      <c r="CG619" s="23"/>
      <c r="CH619" s="23"/>
      <c r="CI619" s="23"/>
      <c r="CJ619" s="23"/>
      <c r="CK619" s="23"/>
      <c r="CL619" s="23"/>
      <c r="CO619" s="30"/>
    </row>
    <row r="620" spans="27:93" ht="12.75" x14ac:dyDescent="0.2"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  <c r="BE620" s="23"/>
      <c r="BF620" s="23"/>
      <c r="BG620" s="23"/>
      <c r="BH620" s="23"/>
      <c r="BI620" s="23"/>
      <c r="BJ620" s="23"/>
      <c r="BK620" s="23"/>
      <c r="BL620" s="23"/>
      <c r="BM620" s="23"/>
      <c r="BN620" s="23"/>
      <c r="BO620" s="23"/>
      <c r="BP620" s="23"/>
      <c r="BQ620" s="23"/>
      <c r="BR620" s="23"/>
      <c r="BS620" s="23"/>
      <c r="BT620" s="23"/>
      <c r="BU620" s="23"/>
      <c r="BV620" s="23"/>
      <c r="BW620" s="23"/>
      <c r="BX620" s="23"/>
      <c r="BY620" s="23"/>
      <c r="BZ620" s="23"/>
      <c r="CA620" s="23"/>
      <c r="CB620" s="23"/>
      <c r="CC620" s="23"/>
      <c r="CD620" s="23"/>
      <c r="CE620" s="23"/>
      <c r="CF620" s="23"/>
      <c r="CG620" s="23"/>
      <c r="CH620" s="23"/>
      <c r="CI620" s="23"/>
      <c r="CJ620" s="23"/>
      <c r="CK620" s="23"/>
      <c r="CL620" s="23"/>
      <c r="CO620" s="30"/>
    </row>
    <row r="621" spans="27:93" ht="12.75" x14ac:dyDescent="0.2"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  <c r="BM621" s="23"/>
      <c r="BN621" s="23"/>
      <c r="BO621" s="23"/>
      <c r="BP621" s="23"/>
      <c r="BQ621" s="23"/>
      <c r="BR621" s="23"/>
      <c r="BS621" s="23"/>
      <c r="BT621" s="23"/>
      <c r="BU621" s="23"/>
      <c r="BV621" s="23"/>
      <c r="BW621" s="23"/>
      <c r="BX621" s="23"/>
      <c r="BY621" s="23"/>
      <c r="BZ621" s="23"/>
      <c r="CA621" s="23"/>
      <c r="CB621" s="23"/>
      <c r="CC621" s="23"/>
      <c r="CD621" s="23"/>
      <c r="CE621" s="23"/>
      <c r="CF621" s="23"/>
      <c r="CG621" s="23"/>
      <c r="CH621" s="23"/>
      <c r="CI621" s="23"/>
      <c r="CJ621" s="23"/>
      <c r="CK621" s="23"/>
      <c r="CL621" s="23"/>
      <c r="CO621" s="30"/>
    </row>
    <row r="622" spans="27:93" ht="12.75" x14ac:dyDescent="0.2"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  <c r="BH622" s="23"/>
      <c r="BI622" s="23"/>
      <c r="BJ622" s="23"/>
      <c r="BK622" s="23"/>
      <c r="BL622" s="23"/>
      <c r="BM622" s="23"/>
      <c r="BN622" s="23"/>
      <c r="BO622" s="23"/>
      <c r="BP622" s="23"/>
      <c r="BQ622" s="23"/>
      <c r="BR622" s="23"/>
      <c r="BS622" s="23"/>
      <c r="BT622" s="23"/>
      <c r="BU622" s="23"/>
      <c r="BV622" s="23"/>
      <c r="BW622" s="23"/>
      <c r="BX622" s="23"/>
      <c r="BY622" s="23"/>
      <c r="BZ622" s="23"/>
      <c r="CA622" s="23"/>
      <c r="CB622" s="23"/>
      <c r="CC622" s="23"/>
      <c r="CD622" s="23"/>
      <c r="CE622" s="23"/>
      <c r="CF622" s="23"/>
      <c r="CG622" s="23"/>
      <c r="CH622" s="23"/>
      <c r="CI622" s="23"/>
      <c r="CJ622" s="23"/>
      <c r="CK622" s="23"/>
      <c r="CL622" s="23"/>
      <c r="CO622" s="30"/>
    </row>
    <row r="623" spans="27:93" ht="12.75" x14ac:dyDescent="0.2"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  <c r="BF623" s="23"/>
      <c r="BG623" s="23"/>
      <c r="BH623" s="23"/>
      <c r="BI623" s="23"/>
      <c r="BJ623" s="23"/>
      <c r="BK623" s="23"/>
      <c r="BL623" s="23"/>
      <c r="BM623" s="23"/>
      <c r="BN623" s="23"/>
      <c r="BO623" s="23"/>
      <c r="BP623" s="23"/>
      <c r="BQ623" s="23"/>
      <c r="BR623" s="23"/>
      <c r="BS623" s="23"/>
      <c r="BT623" s="23"/>
      <c r="BU623" s="23"/>
      <c r="BV623" s="23"/>
      <c r="BW623" s="23"/>
      <c r="BX623" s="23"/>
      <c r="BY623" s="23"/>
      <c r="BZ623" s="23"/>
      <c r="CA623" s="23"/>
      <c r="CB623" s="23"/>
      <c r="CC623" s="23"/>
      <c r="CD623" s="23"/>
      <c r="CE623" s="23"/>
      <c r="CF623" s="23"/>
      <c r="CG623" s="23"/>
      <c r="CH623" s="23"/>
      <c r="CI623" s="23"/>
      <c r="CJ623" s="23"/>
      <c r="CK623" s="23"/>
      <c r="CL623" s="23"/>
      <c r="CO623" s="30"/>
    </row>
    <row r="624" spans="27:93" ht="12.75" x14ac:dyDescent="0.2"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/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3"/>
      <c r="CA624" s="23"/>
      <c r="CB624" s="23"/>
      <c r="CC624" s="23"/>
      <c r="CD624" s="23"/>
      <c r="CE624" s="23"/>
      <c r="CF624" s="23"/>
      <c r="CG624" s="23"/>
      <c r="CH624" s="23"/>
      <c r="CI624" s="23"/>
      <c r="CJ624" s="23"/>
      <c r="CK624" s="23"/>
      <c r="CL624" s="23"/>
      <c r="CO624" s="30"/>
    </row>
    <row r="625" spans="27:93" ht="12.75" x14ac:dyDescent="0.2"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/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3"/>
      <c r="CA625" s="23"/>
      <c r="CB625" s="23"/>
      <c r="CC625" s="23"/>
      <c r="CD625" s="23"/>
      <c r="CE625" s="23"/>
      <c r="CF625" s="23"/>
      <c r="CG625" s="23"/>
      <c r="CH625" s="23"/>
      <c r="CI625" s="23"/>
      <c r="CJ625" s="23"/>
      <c r="CK625" s="23"/>
      <c r="CL625" s="23"/>
      <c r="CO625" s="30"/>
    </row>
    <row r="626" spans="27:93" ht="12.75" x14ac:dyDescent="0.2"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  <c r="BH626" s="23"/>
      <c r="BI626" s="23"/>
      <c r="BJ626" s="23"/>
      <c r="BK626" s="23"/>
      <c r="BL626" s="23"/>
      <c r="BM626" s="23"/>
      <c r="BN626" s="23"/>
      <c r="BO626" s="23"/>
      <c r="BP626" s="23"/>
      <c r="BQ626" s="23"/>
      <c r="BR626" s="23"/>
      <c r="BS626" s="23"/>
      <c r="BT626" s="23"/>
      <c r="BU626" s="23"/>
      <c r="BV626" s="23"/>
      <c r="BW626" s="23"/>
      <c r="BX626" s="23"/>
      <c r="BY626" s="23"/>
      <c r="BZ626" s="23"/>
      <c r="CA626" s="23"/>
      <c r="CB626" s="23"/>
      <c r="CC626" s="23"/>
      <c r="CD626" s="23"/>
      <c r="CE626" s="23"/>
      <c r="CF626" s="23"/>
      <c r="CG626" s="23"/>
      <c r="CH626" s="23"/>
      <c r="CI626" s="23"/>
      <c r="CJ626" s="23"/>
      <c r="CK626" s="23"/>
      <c r="CL626" s="23"/>
      <c r="CO626" s="30"/>
    </row>
    <row r="627" spans="27:93" ht="12.75" x14ac:dyDescent="0.2"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/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3"/>
      <c r="CA627" s="23"/>
      <c r="CB627" s="23"/>
      <c r="CC627" s="23"/>
      <c r="CD627" s="23"/>
      <c r="CE627" s="23"/>
      <c r="CF627" s="23"/>
      <c r="CG627" s="23"/>
      <c r="CH627" s="23"/>
      <c r="CI627" s="23"/>
      <c r="CJ627" s="23"/>
      <c r="CK627" s="23"/>
      <c r="CL627" s="23"/>
      <c r="CO627" s="30"/>
    </row>
    <row r="628" spans="27:93" ht="12.75" x14ac:dyDescent="0.2"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  <c r="BH628" s="23"/>
      <c r="BI628" s="23"/>
      <c r="BJ628" s="23"/>
      <c r="BK628" s="23"/>
      <c r="BL628" s="23"/>
      <c r="BM628" s="23"/>
      <c r="BN628" s="23"/>
      <c r="BO628" s="23"/>
      <c r="BP628" s="23"/>
      <c r="BQ628" s="23"/>
      <c r="BR628" s="23"/>
      <c r="BS628" s="23"/>
      <c r="BT628" s="23"/>
      <c r="BU628" s="23"/>
      <c r="BV628" s="23"/>
      <c r="BW628" s="23"/>
      <c r="BX628" s="23"/>
      <c r="BY628" s="23"/>
      <c r="BZ628" s="23"/>
      <c r="CA628" s="23"/>
      <c r="CB628" s="23"/>
      <c r="CC628" s="23"/>
      <c r="CD628" s="23"/>
      <c r="CE628" s="23"/>
      <c r="CF628" s="23"/>
      <c r="CG628" s="23"/>
      <c r="CH628" s="23"/>
      <c r="CI628" s="23"/>
      <c r="CJ628" s="23"/>
      <c r="CK628" s="23"/>
      <c r="CL628" s="23"/>
      <c r="CO628" s="30"/>
    </row>
    <row r="629" spans="27:93" ht="12.75" x14ac:dyDescent="0.2"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  <c r="BH629" s="23"/>
      <c r="BI629" s="23"/>
      <c r="BJ629" s="23"/>
      <c r="BK629" s="23"/>
      <c r="BL629" s="23"/>
      <c r="BM629" s="23"/>
      <c r="BN629" s="23"/>
      <c r="BO629" s="23"/>
      <c r="BP629" s="23"/>
      <c r="BQ629" s="23"/>
      <c r="BR629" s="23"/>
      <c r="BS629" s="23"/>
      <c r="BT629" s="23"/>
      <c r="BU629" s="23"/>
      <c r="BV629" s="23"/>
      <c r="BW629" s="23"/>
      <c r="BX629" s="23"/>
      <c r="BY629" s="23"/>
      <c r="BZ629" s="23"/>
      <c r="CA629" s="23"/>
      <c r="CB629" s="23"/>
      <c r="CC629" s="23"/>
      <c r="CD629" s="23"/>
      <c r="CE629" s="23"/>
      <c r="CF629" s="23"/>
      <c r="CG629" s="23"/>
      <c r="CH629" s="23"/>
      <c r="CI629" s="23"/>
      <c r="CJ629" s="23"/>
      <c r="CK629" s="23"/>
      <c r="CL629" s="23"/>
      <c r="CO629" s="30"/>
    </row>
    <row r="630" spans="27:93" ht="12.75" x14ac:dyDescent="0.2"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  <c r="BH630" s="23"/>
      <c r="BI630" s="23"/>
      <c r="BJ630" s="23"/>
      <c r="BK630" s="23"/>
      <c r="BL630" s="23"/>
      <c r="BM630" s="23"/>
      <c r="BN630" s="23"/>
      <c r="BO630" s="23"/>
      <c r="BP630" s="23"/>
      <c r="BQ630" s="23"/>
      <c r="BR630" s="23"/>
      <c r="BS630" s="23"/>
      <c r="BT630" s="23"/>
      <c r="BU630" s="23"/>
      <c r="BV630" s="23"/>
      <c r="BW630" s="23"/>
      <c r="BX630" s="23"/>
      <c r="BY630" s="23"/>
      <c r="BZ630" s="23"/>
      <c r="CA630" s="23"/>
      <c r="CB630" s="23"/>
      <c r="CC630" s="23"/>
      <c r="CD630" s="23"/>
      <c r="CE630" s="23"/>
      <c r="CF630" s="23"/>
      <c r="CG630" s="23"/>
      <c r="CH630" s="23"/>
      <c r="CI630" s="23"/>
      <c r="CJ630" s="23"/>
      <c r="CK630" s="23"/>
      <c r="CL630" s="23"/>
      <c r="CO630" s="30"/>
    </row>
    <row r="631" spans="27:93" ht="12.75" x14ac:dyDescent="0.2"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  <c r="BH631" s="23"/>
      <c r="BI631" s="23"/>
      <c r="BJ631" s="23"/>
      <c r="BK631" s="23"/>
      <c r="BL631" s="23"/>
      <c r="BM631" s="23"/>
      <c r="BN631" s="23"/>
      <c r="BO631" s="23"/>
      <c r="BP631" s="23"/>
      <c r="BQ631" s="23"/>
      <c r="BR631" s="23"/>
      <c r="BS631" s="23"/>
      <c r="BT631" s="23"/>
      <c r="BU631" s="23"/>
      <c r="BV631" s="23"/>
      <c r="BW631" s="23"/>
      <c r="BX631" s="23"/>
      <c r="BY631" s="23"/>
      <c r="BZ631" s="23"/>
      <c r="CA631" s="23"/>
      <c r="CB631" s="23"/>
      <c r="CC631" s="23"/>
      <c r="CD631" s="23"/>
      <c r="CE631" s="23"/>
      <c r="CF631" s="23"/>
      <c r="CG631" s="23"/>
      <c r="CH631" s="23"/>
      <c r="CI631" s="23"/>
      <c r="CJ631" s="23"/>
      <c r="CK631" s="23"/>
      <c r="CL631" s="23"/>
      <c r="CO631" s="30"/>
    </row>
    <row r="632" spans="27:93" ht="12.75" x14ac:dyDescent="0.2"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/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3"/>
      <c r="CA632" s="23"/>
      <c r="CB632" s="23"/>
      <c r="CC632" s="23"/>
      <c r="CD632" s="23"/>
      <c r="CE632" s="23"/>
      <c r="CF632" s="23"/>
      <c r="CG632" s="23"/>
      <c r="CH632" s="23"/>
      <c r="CI632" s="23"/>
      <c r="CJ632" s="23"/>
      <c r="CK632" s="23"/>
      <c r="CL632" s="23"/>
      <c r="CO632" s="30"/>
    </row>
    <row r="633" spans="27:93" ht="12.75" x14ac:dyDescent="0.2"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/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3"/>
      <c r="CA633" s="23"/>
      <c r="CB633" s="23"/>
      <c r="CC633" s="23"/>
      <c r="CD633" s="23"/>
      <c r="CE633" s="23"/>
      <c r="CF633" s="23"/>
      <c r="CG633" s="23"/>
      <c r="CH633" s="23"/>
      <c r="CI633" s="23"/>
      <c r="CJ633" s="23"/>
      <c r="CK633" s="23"/>
      <c r="CL633" s="23"/>
      <c r="CO633" s="30"/>
    </row>
    <row r="634" spans="27:93" ht="12.75" x14ac:dyDescent="0.2"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  <c r="BH634" s="23"/>
      <c r="BI634" s="23"/>
      <c r="BJ634" s="23"/>
      <c r="BK634" s="23"/>
      <c r="BL634" s="23"/>
      <c r="BM634" s="23"/>
      <c r="BN634" s="23"/>
      <c r="BO634" s="23"/>
      <c r="BP634" s="23"/>
      <c r="BQ634" s="23"/>
      <c r="BR634" s="23"/>
      <c r="BS634" s="23"/>
      <c r="BT634" s="23"/>
      <c r="BU634" s="23"/>
      <c r="BV634" s="23"/>
      <c r="BW634" s="23"/>
      <c r="BX634" s="23"/>
      <c r="BY634" s="23"/>
      <c r="BZ634" s="23"/>
      <c r="CA634" s="23"/>
      <c r="CB634" s="23"/>
      <c r="CC634" s="23"/>
      <c r="CD634" s="23"/>
      <c r="CE634" s="23"/>
      <c r="CF634" s="23"/>
      <c r="CG634" s="23"/>
      <c r="CH634" s="23"/>
      <c r="CI634" s="23"/>
      <c r="CJ634" s="23"/>
      <c r="CK634" s="23"/>
      <c r="CL634" s="23"/>
      <c r="CO634" s="30"/>
    </row>
    <row r="635" spans="27:93" ht="12.75" x14ac:dyDescent="0.2"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/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3"/>
      <c r="CA635" s="23"/>
      <c r="CB635" s="23"/>
      <c r="CC635" s="23"/>
      <c r="CD635" s="23"/>
      <c r="CE635" s="23"/>
      <c r="CF635" s="23"/>
      <c r="CG635" s="23"/>
      <c r="CH635" s="23"/>
      <c r="CI635" s="23"/>
      <c r="CJ635" s="23"/>
      <c r="CK635" s="23"/>
      <c r="CL635" s="23"/>
      <c r="CO635" s="30"/>
    </row>
    <row r="636" spans="27:93" ht="12.75" x14ac:dyDescent="0.2"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  <c r="BM636" s="23"/>
      <c r="BN636" s="23"/>
      <c r="BO636" s="23"/>
      <c r="BP636" s="23"/>
      <c r="BQ636" s="23"/>
      <c r="BR636" s="23"/>
      <c r="BS636" s="23"/>
      <c r="BT636" s="23"/>
      <c r="BU636" s="23"/>
      <c r="BV636" s="23"/>
      <c r="BW636" s="23"/>
      <c r="BX636" s="23"/>
      <c r="BY636" s="23"/>
      <c r="BZ636" s="23"/>
      <c r="CA636" s="23"/>
      <c r="CB636" s="23"/>
      <c r="CC636" s="23"/>
      <c r="CD636" s="23"/>
      <c r="CE636" s="23"/>
      <c r="CF636" s="23"/>
      <c r="CG636" s="23"/>
      <c r="CH636" s="23"/>
      <c r="CI636" s="23"/>
      <c r="CJ636" s="23"/>
      <c r="CK636" s="23"/>
      <c r="CL636" s="23"/>
      <c r="CO636" s="30"/>
    </row>
    <row r="637" spans="27:93" ht="12.75" x14ac:dyDescent="0.2"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3"/>
      <c r="BG637" s="23"/>
      <c r="BH637" s="23"/>
      <c r="BI637" s="23"/>
      <c r="BJ637" s="23"/>
      <c r="BK637" s="23"/>
      <c r="BL637" s="23"/>
      <c r="BM637" s="23"/>
      <c r="BN637" s="23"/>
      <c r="BO637" s="23"/>
      <c r="BP637" s="23"/>
      <c r="BQ637" s="23"/>
      <c r="BR637" s="23"/>
      <c r="BS637" s="23"/>
      <c r="BT637" s="23"/>
      <c r="BU637" s="23"/>
      <c r="BV637" s="23"/>
      <c r="BW637" s="23"/>
      <c r="BX637" s="23"/>
      <c r="BY637" s="23"/>
      <c r="BZ637" s="23"/>
      <c r="CA637" s="23"/>
      <c r="CB637" s="23"/>
      <c r="CC637" s="23"/>
      <c r="CD637" s="23"/>
      <c r="CE637" s="23"/>
      <c r="CF637" s="23"/>
      <c r="CG637" s="23"/>
      <c r="CH637" s="23"/>
      <c r="CI637" s="23"/>
      <c r="CJ637" s="23"/>
      <c r="CK637" s="23"/>
      <c r="CL637" s="23"/>
      <c r="CO637" s="30"/>
    </row>
    <row r="638" spans="27:93" ht="12.75" x14ac:dyDescent="0.2"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3"/>
      <c r="BJ638" s="23"/>
      <c r="BK638" s="23"/>
      <c r="BL638" s="23"/>
      <c r="BM638" s="23"/>
      <c r="BN638" s="23"/>
      <c r="BO638" s="23"/>
      <c r="BP638" s="23"/>
      <c r="BQ638" s="23"/>
      <c r="BR638" s="23"/>
      <c r="BS638" s="23"/>
      <c r="BT638" s="23"/>
      <c r="BU638" s="23"/>
      <c r="BV638" s="23"/>
      <c r="BW638" s="23"/>
      <c r="BX638" s="23"/>
      <c r="BY638" s="23"/>
      <c r="BZ638" s="23"/>
      <c r="CA638" s="23"/>
      <c r="CB638" s="23"/>
      <c r="CC638" s="23"/>
      <c r="CD638" s="23"/>
      <c r="CE638" s="23"/>
      <c r="CF638" s="23"/>
      <c r="CG638" s="23"/>
      <c r="CH638" s="23"/>
      <c r="CI638" s="23"/>
      <c r="CJ638" s="23"/>
      <c r="CK638" s="23"/>
      <c r="CL638" s="23"/>
      <c r="CO638" s="30"/>
    </row>
    <row r="639" spans="27:93" ht="12.75" x14ac:dyDescent="0.2"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  <c r="BH639" s="23"/>
      <c r="BI639" s="23"/>
      <c r="BJ639" s="23"/>
      <c r="BK639" s="23"/>
      <c r="BL639" s="23"/>
      <c r="BM639" s="23"/>
      <c r="BN639" s="23"/>
      <c r="BO639" s="23"/>
      <c r="BP639" s="23"/>
      <c r="BQ639" s="23"/>
      <c r="BR639" s="23"/>
      <c r="BS639" s="23"/>
      <c r="BT639" s="23"/>
      <c r="BU639" s="23"/>
      <c r="BV639" s="23"/>
      <c r="BW639" s="23"/>
      <c r="BX639" s="23"/>
      <c r="BY639" s="23"/>
      <c r="BZ639" s="23"/>
      <c r="CA639" s="23"/>
      <c r="CB639" s="23"/>
      <c r="CC639" s="23"/>
      <c r="CD639" s="23"/>
      <c r="CE639" s="23"/>
      <c r="CF639" s="23"/>
      <c r="CG639" s="23"/>
      <c r="CH639" s="23"/>
      <c r="CI639" s="23"/>
      <c r="CJ639" s="23"/>
      <c r="CK639" s="23"/>
      <c r="CL639" s="23"/>
      <c r="CO639" s="30"/>
    </row>
    <row r="640" spans="27:93" ht="12.75" x14ac:dyDescent="0.2"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  <c r="BH640" s="23"/>
      <c r="BI640" s="23"/>
      <c r="BJ640" s="23"/>
      <c r="BK640" s="23"/>
      <c r="BL640" s="23"/>
      <c r="BM640" s="23"/>
      <c r="BN640" s="23"/>
      <c r="BO640" s="23"/>
      <c r="BP640" s="23"/>
      <c r="BQ640" s="23"/>
      <c r="BR640" s="23"/>
      <c r="BS640" s="23"/>
      <c r="BT640" s="23"/>
      <c r="BU640" s="23"/>
      <c r="BV640" s="23"/>
      <c r="BW640" s="23"/>
      <c r="BX640" s="23"/>
      <c r="BY640" s="23"/>
      <c r="BZ640" s="23"/>
      <c r="CA640" s="23"/>
      <c r="CB640" s="23"/>
      <c r="CC640" s="23"/>
      <c r="CD640" s="23"/>
      <c r="CE640" s="23"/>
      <c r="CF640" s="23"/>
      <c r="CG640" s="23"/>
      <c r="CH640" s="23"/>
      <c r="CI640" s="23"/>
      <c r="CJ640" s="23"/>
      <c r="CK640" s="23"/>
      <c r="CL640" s="23"/>
      <c r="CO640" s="30"/>
    </row>
    <row r="641" spans="27:93" ht="12.75" x14ac:dyDescent="0.2"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  <c r="BJ641" s="23"/>
      <c r="BK641" s="23"/>
      <c r="BL641" s="23"/>
      <c r="BM641" s="23"/>
      <c r="BN641" s="23"/>
      <c r="BO641" s="23"/>
      <c r="BP641" s="23"/>
      <c r="BQ641" s="23"/>
      <c r="BR641" s="23"/>
      <c r="BS641" s="23"/>
      <c r="BT641" s="23"/>
      <c r="BU641" s="23"/>
      <c r="BV641" s="23"/>
      <c r="BW641" s="23"/>
      <c r="BX641" s="23"/>
      <c r="BY641" s="23"/>
      <c r="BZ641" s="23"/>
      <c r="CA641" s="23"/>
      <c r="CB641" s="23"/>
      <c r="CC641" s="23"/>
      <c r="CD641" s="23"/>
      <c r="CE641" s="23"/>
      <c r="CF641" s="23"/>
      <c r="CG641" s="23"/>
      <c r="CH641" s="23"/>
      <c r="CI641" s="23"/>
      <c r="CJ641" s="23"/>
      <c r="CK641" s="23"/>
      <c r="CL641" s="23"/>
      <c r="CO641" s="30"/>
    </row>
    <row r="642" spans="27:93" ht="12.75" x14ac:dyDescent="0.2"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  <c r="BH642" s="23"/>
      <c r="BI642" s="23"/>
      <c r="BJ642" s="23"/>
      <c r="BK642" s="23"/>
      <c r="BL642" s="23"/>
      <c r="BM642" s="23"/>
      <c r="BN642" s="23"/>
      <c r="BO642" s="23"/>
      <c r="BP642" s="23"/>
      <c r="BQ642" s="23"/>
      <c r="BR642" s="23"/>
      <c r="BS642" s="23"/>
      <c r="BT642" s="23"/>
      <c r="BU642" s="23"/>
      <c r="BV642" s="23"/>
      <c r="BW642" s="23"/>
      <c r="BX642" s="23"/>
      <c r="BY642" s="23"/>
      <c r="BZ642" s="23"/>
      <c r="CA642" s="23"/>
      <c r="CB642" s="23"/>
      <c r="CC642" s="23"/>
      <c r="CD642" s="23"/>
      <c r="CE642" s="23"/>
      <c r="CF642" s="23"/>
      <c r="CG642" s="23"/>
      <c r="CH642" s="23"/>
      <c r="CI642" s="23"/>
      <c r="CJ642" s="23"/>
      <c r="CK642" s="23"/>
      <c r="CL642" s="23"/>
      <c r="CO642" s="30"/>
    </row>
    <row r="643" spans="27:93" ht="12.75" x14ac:dyDescent="0.2"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  <c r="BH643" s="23"/>
      <c r="BI643" s="23"/>
      <c r="BJ643" s="23"/>
      <c r="BK643" s="23"/>
      <c r="BL643" s="23"/>
      <c r="BM643" s="23"/>
      <c r="BN643" s="23"/>
      <c r="BO643" s="23"/>
      <c r="BP643" s="23"/>
      <c r="BQ643" s="23"/>
      <c r="BR643" s="23"/>
      <c r="BS643" s="23"/>
      <c r="BT643" s="23"/>
      <c r="BU643" s="23"/>
      <c r="BV643" s="23"/>
      <c r="BW643" s="23"/>
      <c r="BX643" s="23"/>
      <c r="BY643" s="23"/>
      <c r="BZ643" s="23"/>
      <c r="CA643" s="23"/>
      <c r="CB643" s="23"/>
      <c r="CC643" s="23"/>
      <c r="CD643" s="23"/>
      <c r="CE643" s="23"/>
      <c r="CF643" s="23"/>
      <c r="CG643" s="23"/>
      <c r="CH643" s="23"/>
      <c r="CI643" s="23"/>
      <c r="CJ643" s="23"/>
      <c r="CK643" s="23"/>
      <c r="CL643" s="23"/>
      <c r="CO643" s="30"/>
    </row>
    <row r="644" spans="27:93" ht="12.75" x14ac:dyDescent="0.2"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  <c r="BH644" s="23"/>
      <c r="BI644" s="23"/>
      <c r="BJ644" s="23"/>
      <c r="BK644" s="23"/>
      <c r="BL644" s="23"/>
      <c r="BM644" s="23"/>
      <c r="BN644" s="23"/>
      <c r="BO644" s="23"/>
      <c r="BP644" s="23"/>
      <c r="BQ644" s="23"/>
      <c r="BR644" s="23"/>
      <c r="BS644" s="23"/>
      <c r="BT644" s="23"/>
      <c r="BU644" s="23"/>
      <c r="BV644" s="23"/>
      <c r="BW644" s="23"/>
      <c r="BX644" s="23"/>
      <c r="BY644" s="23"/>
      <c r="BZ644" s="23"/>
      <c r="CA644" s="23"/>
      <c r="CB644" s="23"/>
      <c r="CC644" s="23"/>
      <c r="CD644" s="23"/>
      <c r="CE644" s="23"/>
      <c r="CF644" s="23"/>
      <c r="CG644" s="23"/>
      <c r="CH644" s="23"/>
      <c r="CI644" s="23"/>
      <c r="CJ644" s="23"/>
      <c r="CK644" s="23"/>
      <c r="CL644" s="23"/>
      <c r="CO644" s="30"/>
    </row>
    <row r="645" spans="27:93" ht="12.75" x14ac:dyDescent="0.2"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  <c r="BF645" s="23"/>
      <c r="BG645" s="23"/>
      <c r="BH645" s="23"/>
      <c r="BI645" s="23"/>
      <c r="BJ645" s="23"/>
      <c r="BK645" s="23"/>
      <c r="BL645" s="23"/>
      <c r="BM645" s="23"/>
      <c r="BN645" s="23"/>
      <c r="BO645" s="23"/>
      <c r="BP645" s="23"/>
      <c r="BQ645" s="23"/>
      <c r="BR645" s="23"/>
      <c r="BS645" s="23"/>
      <c r="BT645" s="23"/>
      <c r="BU645" s="23"/>
      <c r="BV645" s="23"/>
      <c r="BW645" s="23"/>
      <c r="BX645" s="23"/>
      <c r="BY645" s="23"/>
      <c r="BZ645" s="23"/>
      <c r="CA645" s="23"/>
      <c r="CB645" s="23"/>
      <c r="CC645" s="23"/>
      <c r="CD645" s="23"/>
      <c r="CE645" s="23"/>
      <c r="CF645" s="23"/>
      <c r="CG645" s="23"/>
      <c r="CH645" s="23"/>
      <c r="CI645" s="23"/>
      <c r="CJ645" s="23"/>
      <c r="CK645" s="23"/>
      <c r="CL645" s="23"/>
      <c r="CO645" s="30"/>
    </row>
    <row r="646" spans="27:93" ht="12.75" x14ac:dyDescent="0.2"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  <c r="BE646" s="23"/>
      <c r="BF646" s="23"/>
      <c r="BG646" s="23"/>
      <c r="BH646" s="23"/>
      <c r="BI646" s="23"/>
      <c r="BJ646" s="23"/>
      <c r="BK646" s="23"/>
      <c r="BL646" s="23"/>
      <c r="BM646" s="23"/>
      <c r="BN646" s="23"/>
      <c r="BO646" s="23"/>
      <c r="BP646" s="23"/>
      <c r="BQ646" s="23"/>
      <c r="BR646" s="23"/>
      <c r="BS646" s="23"/>
      <c r="BT646" s="23"/>
      <c r="BU646" s="23"/>
      <c r="BV646" s="23"/>
      <c r="BW646" s="23"/>
      <c r="BX646" s="23"/>
      <c r="BY646" s="23"/>
      <c r="BZ646" s="23"/>
      <c r="CA646" s="23"/>
      <c r="CB646" s="23"/>
      <c r="CC646" s="23"/>
      <c r="CD646" s="23"/>
      <c r="CE646" s="23"/>
      <c r="CF646" s="23"/>
      <c r="CG646" s="23"/>
      <c r="CH646" s="23"/>
      <c r="CI646" s="23"/>
      <c r="CJ646" s="23"/>
      <c r="CK646" s="23"/>
      <c r="CL646" s="23"/>
      <c r="CO646" s="30"/>
    </row>
    <row r="647" spans="27:93" ht="12.75" x14ac:dyDescent="0.2"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3"/>
      <c r="BG647" s="23"/>
      <c r="BH647" s="23"/>
      <c r="BI647" s="23"/>
      <c r="BJ647" s="23"/>
      <c r="BK647" s="23"/>
      <c r="BL647" s="23"/>
      <c r="BM647" s="23"/>
      <c r="BN647" s="23"/>
      <c r="BO647" s="23"/>
      <c r="BP647" s="23"/>
      <c r="BQ647" s="23"/>
      <c r="BR647" s="23"/>
      <c r="BS647" s="23"/>
      <c r="BT647" s="23"/>
      <c r="BU647" s="23"/>
      <c r="BV647" s="23"/>
      <c r="BW647" s="23"/>
      <c r="BX647" s="23"/>
      <c r="BY647" s="23"/>
      <c r="BZ647" s="23"/>
      <c r="CA647" s="23"/>
      <c r="CB647" s="23"/>
      <c r="CC647" s="23"/>
      <c r="CD647" s="23"/>
      <c r="CE647" s="23"/>
      <c r="CF647" s="23"/>
      <c r="CG647" s="23"/>
      <c r="CH647" s="23"/>
      <c r="CI647" s="23"/>
      <c r="CJ647" s="23"/>
      <c r="CK647" s="23"/>
      <c r="CL647" s="23"/>
      <c r="CO647" s="30"/>
    </row>
    <row r="648" spans="27:93" ht="12.75" x14ac:dyDescent="0.2"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  <c r="BH648" s="23"/>
      <c r="BI648" s="23"/>
      <c r="BJ648" s="23"/>
      <c r="BK648" s="23"/>
      <c r="BL648" s="23"/>
      <c r="BM648" s="23"/>
      <c r="BN648" s="23"/>
      <c r="BO648" s="23"/>
      <c r="BP648" s="23"/>
      <c r="BQ648" s="23"/>
      <c r="BR648" s="23"/>
      <c r="BS648" s="23"/>
      <c r="BT648" s="23"/>
      <c r="BU648" s="23"/>
      <c r="BV648" s="23"/>
      <c r="BW648" s="23"/>
      <c r="BX648" s="23"/>
      <c r="BY648" s="23"/>
      <c r="BZ648" s="23"/>
      <c r="CA648" s="23"/>
      <c r="CB648" s="23"/>
      <c r="CC648" s="23"/>
      <c r="CD648" s="23"/>
      <c r="CE648" s="23"/>
      <c r="CF648" s="23"/>
      <c r="CG648" s="23"/>
      <c r="CH648" s="23"/>
      <c r="CI648" s="23"/>
      <c r="CJ648" s="23"/>
      <c r="CK648" s="23"/>
      <c r="CL648" s="23"/>
      <c r="CO648" s="30"/>
    </row>
    <row r="649" spans="27:93" ht="12.75" x14ac:dyDescent="0.2"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  <c r="BF649" s="23"/>
      <c r="BG649" s="23"/>
      <c r="BH649" s="23"/>
      <c r="BI649" s="23"/>
      <c r="BJ649" s="23"/>
      <c r="BK649" s="23"/>
      <c r="BL649" s="23"/>
      <c r="BM649" s="23"/>
      <c r="BN649" s="23"/>
      <c r="BO649" s="23"/>
      <c r="BP649" s="23"/>
      <c r="BQ649" s="23"/>
      <c r="BR649" s="23"/>
      <c r="BS649" s="23"/>
      <c r="BT649" s="23"/>
      <c r="BU649" s="23"/>
      <c r="BV649" s="23"/>
      <c r="BW649" s="23"/>
      <c r="BX649" s="23"/>
      <c r="BY649" s="23"/>
      <c r="BZ649" s="23"/>
      <c r="CA649" s="23"/>
      <c r="CB649" s="23"/>
      <c r="CC649" s="23"/>
      <c r="CD649" s="23"/>
      <c r="CE649" s="23"/>
      <c r="CF649" s="23"/>
      <c r="CG649" s="23"/>
      <c r="CH649" s="23"/>
      <c r="CI649" s="23"/>
      <c r="CJ649" s="23"/>
      <c r="CK649" s="23"/>
      <c r="CL649" s="23"/>
      <c r="CO649" s="30"/>
    </row>
    <row r="650" spans="27:93" ht="12.75" x14ac:dyDescent="0.2"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  <c r="BD650" s="23"/>
      <c r="BE650" s="23"/>
      <c r="BF650" s="23"/>
      <c r="BG650" s="23"/>
      <c r="BH650" s="23"/>
      <c r="BI650" s="23"/>
      <c r="BJ650" s="23"/>
      <c r="BK650" s="23"/>
      <c r="BL650" s="23"/>
      <c r="BM650" s="23"/>
      <c r="BN650" s="23"/>
      <c r="BO650" s="23"/>
      <c r="BP650" s="23"/>
      <c r="BQ650" s="23"/>
      <c r="BR650" s="23"/>
      <c r="BS650" s="23"/>
      <c r="BT650" s="23"/>
      <c r="BU650" s="23"/>
      <c r="BV650" s="23"/>
      <c r="BW650" s="23"/>
      <c r="BX650" s="23"/>
      <c r="BY650" s="23"/>
      <c r="BZ650" s="23"/>
      <c r="CA650" s="23"/>
      <c r="CB650" s="23"/>
      <c r="CC650" s="23"/>
      <c r="CD650" s="23"/>
      <c r="CE650" s="23"/>
      <c r="CF650" s="23"/>
      <c r="CG650" s="23"/>
      <c r="CH650" s="23"/>
      <c r="CI650" s="23"/>
      <c r="CJ650" s="23"/>
      <c r="CK650" s="23"/>
      <c r="CL650" s="23"/>
      <c r="CO650" s="30"/>
    </row>
    <row r="651" spans="27:93" ht="12.75" x14ac:dyDescent="0.2"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  <c r="BF651" s="23"/>
      <c r="BG651" s="23"/>
      <c r="BH651" s="23"/>
      <c r="BI651" s="23"/>
      <c r="BJ651" s="23"/>
      <c r="BK651" s="23"/>
      <c r="BL651" s="23"/>
      <c r="BM651" s="23"/>
      <c r="BN651" s="23"/>
      <c r="BO651" s="23"/>
      <c r="BP651" s="23"/>
      <c r="BQ651" s="23"/>
      <c r="BR651" s="23"/>
      <c r="BS651" s="23"/>
      <c r="BT651" s="23"/>
      <c r="BU651" s="23"/>
      <c r="BV651" s="23"/>
      <c r="BW651" s="23"/>
      <c r="BX651" s="23"/>
      <c r="BY651" s="23"/>
      <c r="BZ651" s="23"/>
      <c r="CA651" s="23"/>
      <c r="CB651" s="23"/>
      <c r="CC651" s="23"/>
      <c r="CD651" s="23"/>
      <c r="CE651" s="23"/>
      <c r="CF651" s="23"/>
      <c r="CG651" s="23"/>
      <c r="CH651" s="23"/>
      <c r="CI651" s="23"/>
      <c r="CJ651" s="23"/>
      <c r="CK651" s="23"/>
      <c r="CL651" s="23"/>
      <c r="CO651" s="30"/>
    </row>
    <row r="652" spans="27:93" ht="12.75" x14ac:dyDescent="0.2"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  <c r="BH652" s="23"/>
      <c r="BI652" s="23"/>
      <c r="BJ652" s="23"/>
      <c r="BK652" s="23"/>
      <c r="BL652" s="23"/>
      <c r="BM652" s="23"/>
      <c r="BN652" s="23"/>
      <c r="BO652" s="23"/>
      <c r="BP652" s="23"/>
      <c r="BQ652" s="23"/>
      <c r="BR652" s="23"/>
      <c r="BS652" s="23"/>
      <c r="BT652" s="23"/>
      <c r="BU652" s="23"/>
      <c r="BV652" s="23"/>
      <c r="BW652" s="23"/>
      <c r="BX652" s="23"/>
      <c r="BY652" s="23"/>
      <c r="BZ652" s="23"/>
      <c r="CA652" s="23"/>
      <c r="CB652" s="23"/>
      <c r="CC652" s="23"/>
      <c r="CD652" s="23"/>
      <c r="CE652" s="23"/>
      <c r="CF652" s="23"/>
      <c r="CG652" s="23"/>
      <c r="CH652" s="23"/>
      <c r="CI652" s="23"/>
      <c r="CJ652" s="23"/>
      <c r="CK652" s="23"/>
      <c r="CL652" s="23"/>
      <c r="CO652" s="30"/>
    </row>
    <row r="653" spans="27:93" ht="12.75" x14ac:dyDescent="0.2"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  <c r="BF653" s="23"/>
      <c r="BG653" s="23"/>
      <c r="BH653" s="23"/>
      <c r="BI653" s="23"/>
      <c r="BJ653" s="23"/>
      <c r="BK653" s="23"/>
      <c r="BL653" s="23"/>
      <c r="BM653" s="23"/>
      <c r="BN653" s="23"/>
      <c r="BO653" s="23"/>
      <c r="BP653" s="23"/>
      <c r="BQ653" s="23"/>
      <c r="BR653" s="23"/>
      <c r="BS653" s="23"/>
      <c r="BT653" s="23"/>
      <c r="BU653" s="23"/>
      <c r="BV653" s="23"/>
      <c r="BW653" s="23"/>
      <c r="BX653" s="23"/>
      <c r="BY653" s="23"/>
      <c r="BZ653" s="23"/>
      <c r="CA653" s="23"/>
      <c r="CB653" s="23"/>
      <c r="CC653" s="23"/>
      <c r="CD653" s="23"/>
      <c r="CE653" s="23"/>
      <c r="CF653" s="23"/>
      <c r="CG653" s="23"/>
      <c r="CH653" s="23"/>
      <c r="CI653" s="23"/>
      <c r="CJ653" s="23"/>
      <c r="CK653" s="23"/>
      <c r="CL653" s="23"/>
      <c r="CO653" s="30"/>
    </row>
    <row r="654" spans="27:93" ht="12.75" x14ac:dyDescent="0.2"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  <c r="BD654" s="23"/>
      <c r="BE654" s="23"/>
      <c r="BF654" s="23"/>
      <c r="BG654" s="23"/>
      <c r="BH654" s="23"/>
      <c r="BI654" s="23"/>
      <c r="BJ654" s="23"/>
      <c r="BK654" s="23"/>
      <c r="BL654" s="23"/>
      <c r="BM654" s="23"/>
      <c r="BN654" s="23"/>
      <c r="BO654" s="23"/>
      <c r="BP654" s="23"/>
      <c r="BQ654" s="23"/>
      <c r="BR654" s="23"/>
      <c r="BS654" s="23"/>
      <c r="BT654" s="23"/>
      <c r="BU654" s="23"/>
      <c r="BV654" s="23"/>
      <c r="BW654" s="23"/>
      <c r="BX654" s="23"/>
      <c r="BY654" s="23"/>
      <c r="BZ654" s="23"/>
      <c r="CA654" s="23"/>
      <c r="CB654" s="23"/>
      <c r="CC654" s="23"/>
      <c r="CD654" s="23"/>
      <c r="CE654" s="23"/>
      <c r="CF654" s="23"/>
      <c r="CG654" s="23"/>
      <c r="CH654" s="23"/>
      <c r="CI654" s="23"/>
      <c r="CJ654" s="23"/>
      <c r="CK654" s="23"/>
      <c r="CL654" s="23"/>
      <c r="CO654" s="30"/>
    </row>
    <row r="655" spans="27:93" ht="12.75" x14ac:dyDescent="0.2"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  <c r="BH655" s="23"/>
      <c r="BI655" s="23"/>
      <c r="BJ655" s="23"/>
      <c r="BK655" s="23"/>
      <c r="BL655" s="23"/>
      <c r="BM655" s="23"/>
      <c r="BN655" s="23"/>
      <c r="BO655" s="23"/>
      <c r="BP655" s="23"/>
      <c r="BQ655" s="23"/>
      <c r="BR655" s="23"/>
      <c r="BS655" s="23"/>
      <c r="BT655" s="23"/>
      <c r="BU655" s="23"/>
      <c r="BV655" s="23"/>
      <c r="BW655" s="23"/>
      <c r="BX655" s="23"/>
      <c r="BY655" s="23"/>
      <c r="BZ655" s="23"/>
      <c r="CA655" s="23"/>
      <c r="CB655" s="23"/>
      <c r="CC655" s="23"/>
      <c r="CD655" s="23"/>
      <c r="CE655" s="23"/>
      <c r="CF655" s="23"/>
      <c r="CG655" s="23"/>
      <c r="CH655" s="23"/>
      <c r="CI655" s="23"/>
      <c r="CJ655" s="23"/>
      <c r="CK655" s="23"/>
      <c r="CL655" s="23"/>
      <c r="CO655" s="30"/>
    </row>
    <row r="656" spans="27:93" ht="12.75" x14ac:dyDescent="0.2"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  <c r="BD656" s="23"/>
      <c r="BE656" s="23"/>
      <c r="BF656" s="23"/>
      <c r="BG656" s="23"/>
      <c r="BH656" s="23"/>
      <c r="BI656" s="23"/>
      <c r="BJ656" s="23"/>
      <c r="BK656" s="23"/>
      <c r="BL656" s="23"/>
      <c r="BM656" s="23"/>
      <c r="BN656" s="23"/>
      <c r="BO656" s="23"/>
      <c r="BP656" s="23"/>
      <c r="BQ656" s="23"/>
      <c r="BR656" s="23"/>
      <c r="BS656" s="23"/>
      <c r="BT656" s="23"/>
      <c r="BU656" s="23"/>
      <c r="BV656" s="23"/>
      <c r="BW656" s="23"/>
      <c r="BX656" s="23"/>
      <c r="BY656" s="23"/>
      <c r="BZ656" s="23"/>
      <c r="CA656" s="23"/>
      <c r="CB656" s="23"/>
      <c r="CC656" s="23"/>
      <c r="CD656" s="23"/>
      <c r="CE656" s="23"/>
      <c r="CF656" s="23"/>
      <c r="CG656" s="23"/>
      <c r="CH656" s="23"/>
      <c r="CI656" s="23"/>
      <c r="CJ656" s="23"/>
      <c r="CK656" s="23"/>
      <c r="CL656" s="23"/>
      <c r="CO656" s="30"/>
    </row>
    <row r="657" spans="27:93" ht="12.75" x14ac:dyDescent="0.2"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3"/>
      <c r="BJ657" s="23"/>
      <c r="BK657" s="23"/>
      <c r="BL657" s="23"/>
      <c r="BM657" s="23"/>
      <c r="BN657" s="23"/>
      <c r="BO657" s="23"/>
      <c r="BP657" s="23"/>
      <c r="BQ657" s="23"/>
      <c r="BR657" s="23"/>
      <c r="BS657" s="23"/>
      <c r="BT657" s="23"/>
      <c r="BU657" s="23"/>
      <c r="BV657" s="23"/>
      <c r="BW657" s="23"/>
      <c r="BX657" s="23"/>
      <c r="BY657" s="23"/>
      <c r="BZ657" s="23"/>
      <c r="CA657" s="23"/>
      <c r="CB657" s="23"/>
      <c r="CC657" s="23"/>
      <c r="CD657" s="23"/>
      <c r="CE657" s="23"/>
      <c r="CF657" s="23"/>
      <c r="CG657" s="23"/>
      <c r="CH657" s="23"/>
      <c r="CI657" s="23"/>
      <c r="CJ657" s="23"/>
      <c r="CK657" s="23"/>
      <c r="CL657" s="23"/>
      <c r="CO657" s="30"/>
    </row>
    <row r="658" spans="27:93" ht="12.75" x14ac:dyDescent="0.2"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/>
      <c r="BM658" s="23"/>
      <c r="BN658" s="23"/>
      <c r="BO658" s="23"/>
      <c r="BP658" s="23"/>
      <c r="BQ658" s="23"/>
      <c r="BR658" s="23"/>
      <c r="BS658" s="23"/>
      <c r="BT658" s="23"/>
      <c r="BU658" s="23"/>
      <c r="BV658" s="23"/>
      <c r="BW658" s="23"/>
      <c r="BX658" s="23"/>
      <c r="BY658" s="23"/>
      <c r="BZ658" s="23"/>
      <c r="CA658" s="23"/>
      <c r="CB658" s="23"/>
      <c r="CC658" s="23"/>
      <c r="CD658" s="23"/>
      <c r="CE658" s="23"/>
      <c r="CF658" s="23"/>
      <c r="CG658" s="23"/>
      <c r="CH658" s="23"/>
      <c r="CI658" s="23"/>
      <c r="CJ658" s="23"/>
      <c r="CK658" s="23"/>
      <c r="CL658" s="23"/>
      <c r="CO658" s="30"/>
    </row>
    <row r="659" spans="27:93" ht="12.75" x14ac:dyDescent="0.2"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/>
      <c r="BM659" s="23"/>
      <c r="BN659" s="23"/>
      <c r="BO659" s="23"/>
      <c r="BP659" s="23"/>
      <c r="BQ659" s="23"/>
      <c r="BR659" s="23"/>
      <c r="BS659" s="23"/>
      <c r="BT659" s="23"/>
      <c r="BU659" s="23"/>
      <c r="BV659" s="23"/>
      <c r="BW659" s="23"/>
      <c r="BX659" s="23"/>
      <c r="BY659" s="23"/>
      <c r="BZ659" s="23"/>
      <c r="CA659" s="23"/>
      <c r="CB659" s="23"/>
      <c r="CC659" s="23"/>
      <c r="CD659" s="23"/>
      <c r="CE659" s="23"/>
      <c r="CF659" s="23"/>
      <c r="CG659" s="23"/>
      <c r="CH659" s="23"/>
      <c r="CI659" s="23"/>
      <c r="CJ659" s="23"/>
      <c r="CK659" s="23"/>
      <c r="CL659" s="23"/>
      <c r="CO659" s="30"/>
    </row>
    <row r="660" spans="27:93" ht="12.75" x14ac:dyDescent="0.2"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  <c r="BH660" s="23"/>
      <c r="BI660" s="23"/>
      <c r="BJ660" s="23"/>
      <c r="BK660" s="23"/>
      <c r="BL660" s="23"/>
      <c r="BM660" s="23"/>
      <c r="BN660" s="23"/>
      <c r="BO660" s="23"/>
      <c r="BP660" s="23"/>
      <c r="BQ660" s="23"/>
      <c r="BR660" s="23"/>
      <c r="BS660" s="23"/>
      <c r="BT660" s="23"/>
      <c r="BU660" s="23"/>
      <c r="BV660" s="23"/>
      <c r="BW660" s="23"/>
      <c r="BX660" s="23"/>
      <c r="BY660" s="23"/>
      <c r="BZ660" s="23"/>
      <c r="CA660" s="23"/>
      <c r="CB660" s="23"/>
      <c r="CC660" s="23"/>
      <c r="CD660" s="23"/>
      <c r="CE660" s="23"/>
      <c r="CF660" s="23"/>
      <c r="CG660" s="23"/>
      <c r="CH660" s="23"/>
      <c r="CI660" s="23"/>
      <c r="CJ660" s="23"/>
      <c r="CK660" s="23"/>
      <c r="CL660" s="23"/>
      <c r="CO660" s="30"/>
    </row>
    <row r="661" spans="27:93" ht="12.75" x14ac:dyDescent="0.2"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  <c r="BF661" s="23"/>
      <c r="BG661" s="23"/>
      <c r="BH661" s="23"/>
      <c r="BI661" s="23"/>
      <c r="BJ661" s="23"/>
      <c r="BK661" s="23"/>
      <c r="BL661" s="23"/>
      <c r="BM661" s="23"/>
      <c r="BN661" s="23"/>
      <c r="BO661" s="23"/>
      <c r="BP661" s="23"/>
      <c r="BQ661" s="23"/>
      <c r="BR661" s="23"/>
      <c r="BS661" s="23"/>
      <c r="BT661" s="23"/>
      <c r="BU661" s="23"/>
      <c r="BV661" s="23"/>
      <c r="BW661" s="23"/>
      <c r="BX661" s="23"/>
      <c r="BY661" s="23"/>
      <c r="BZ661" s="23"/>
      <c r="CA661" s="23"/>
      <c r="CB661" s="23"/>
      <c r="CC661" s="23"/>
      <c r="CD661" s="23"/>
      <c r="CE661" s="23"/>
      <c r="CF661" s="23"/>
      <c r="CG661" s="23"/>
      <c r="CH661" s="23"/>
      <c r="CI661" s="23"/>
      <c r="CJ661" s="23"/>
      <c r="CK661" s="23"/>
      <c r="CL661" s="23"/>
      <c r="CO661" s="30"/>
    </row>
    <row r="662" spans="27:93" ht="12.75" x14ac:dyDescent="0.2"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  <c r="BM662" s="23"/>
      <c r="BN662" s="23"/>
      <c r="BO662" s="23"/>
      <c r="BP662" s="23"/>
      <c r="BQ662" s="23"/>
      <c r="BR662" s="23"/>
      <c r="BS662" s="23"/>
      <c r="BT662" s="23"/>
      <c r="BU662" s="23"/>
      <c r="BV662" s="23"/>
      <c r="BW662" s="23"/>
      <c r="BX662" s="23"/>
      <c r="BY662" s="23"/>
      <c r="BZ662" s="23"/>
      <c r="CA662" s="23"/>
      <c r="CB662" s="23"/>
      <c r="CC662" s="23"/>
      <c r="CD662" s="23"/>
      <c r="CE662" s="23"/>
      <c r="CF662" s="23"/>
      <c r="CG662" s="23"/>
      <c r="CH662" s="23"/>
      <c r="CI662" s="23"/>
      <c r="CJ662" s="23"/>
      <c r="CK662" s="23"/>
      <c r="CL662" s="23"/>
      <c r="CO662" s="30"/>
    </row>
    <row r="663" spans="27:93" ht="12.75" x14ac:dyDescent="0.2"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  <c r="BM663" s="23"/>
      <c r="BN663" s="23"/>
      <c r="BO663" s="23"/>
      <c r="BP663" s="23"/>
      <c r="BQ663" s="23"/>
      <c r="BR663" s="23"/>
      <c r="BS663" s="23"/>
      <c r="BT663" s="23"/>
      <c r="BU663" s="23"/>
      <c r="BV663" s="23"/>
      <c r="BW663" s="23"/>
      <c r="BX663" s="23"/>
      <c r="BY663" s="23"/>
      <c r="BZ663" s="23"/>
      <c r="CA663" s="23"/>
      <c r="CB663" s="23"/>
      <c r="CC663" s="23"/>
      <c r="CD663" s="23"/>
      <c r="CE663" s="23"/>
      <c r="CF663" s="23"/>
      <c r="CG663" s="23"/>
      <c r="CH663" s="23"/>
      <c r="CI663" s="23"/>
      <c r="CJ663" s="23"/>
      <c r="CK663" s="23"/>
      <c r="CL663" s="23"/>
      <c r="CO663" s="30"/>
    </row>
    <row r="664" spans="27:93" ht="12.75" x14ac:dyDescent="0.2"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/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3"/>
      <c r="CA664" s="23"/>
      <c r="CB664" s="23"/>
      <c r="CC664" s="23"/>
      <c r="CD664" s="23"/>
      <c r="CE664" s="23"/>
      <c r="CF664" s="23"/>
      <c r="CG664" s="23"/>
      <c r="CH664" s="23"/>
      <c r="CI664" s="23"/>
      <c r="CJ664" s="23"/>
      <c r="CK664" s="23"/>
      <c r="CL664" s="23"/>
      <c r="CO664" s="30"/>
    </row>
    <row r="665" spans="27:93" ht="12.75" x14ac:dyDescent="0.2"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/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3"/>
      <c r="CA665" s="23"/>
      <c r="CB665" s="23"/>
      <c r="CC665" s="23"/>
      <c r="CD665" s="23"/>
      <c r="CE665" s="23"/>
      <c r="CF665" s="23"/>
      <c r="CG665" s="23"/>
      <c r="CH665" s="23"/>
      <c r="CI665" s="23"/>
      <c r="CJ665" s="23"/>
      <c r="CK665" s="23"/>
      <c r="CL665" s="23"/>
      <c r="CO665" s="30"/>
    </row>
    <row r="666" spans="27:93" ht="12.75" x14ac:dyDescent="0.2"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  <c r="BM666" s="23"/>
      <c r="BN666" s="23"/>
      <c r="BO666" s="23"/>
      <c r="BP666" s="23"/>
      <c r="BQ666" s="23"/>
      <c r="BR666" s="23"/>
      <c r="BS666" s="23"/>
      <c r="BT666" s="23"/>
      <c r="BU666" s="23"/>
      <c r="BV666" s="23"/>
      <c r="BW666" s="23"/>
      <c r="BX666" s="23"/>
      <c r="BY666" s="23"/>
      <c r="BZ666" s="23"/>
      <c r="CA666" s="23"/>
      <c r="CB666" s="23"/>
      <c r="CC666" s="23"/>
      <c r="CD666" s="23"/>
      <c r="CE666" s="23"/>
      <c r="CF666" s="23"/>
      <c r="CG666" s="23"/>
      <c r="CH666" s="23"/>
      <c r="CI666" s="23"/>
      <c r="CJ666" s="23"/>
      <c r="CK666" s="23"/>
      <c r="CL666" s="23"/>
      <c r="CO666" s="30"/>
    </row>
    <row r="667" spans="27:93" ht="12.75" x14ac:dyDescent="0.2"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/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3"/>
      <c r="CA667" s="23"/>
      <c r="CB667" s="23"/>
      <c r="CC667" s="23"/>
      <c r="CD667" s="23"/>
      <c r="CE667" s="23"/>
      <c r="CF667" s="23"/>
      <c r="CG667" s="23"/>
      <c r="CH667" s="23"/>
      <c r="CI667" s="23"/>
      <c r="CJ667" s="23"/>
      <c r="CK667" s="23"/>
      <c r="CL667" s="23"/>
      <c r="CO667" s="30"/>
    </row>
    <row r="668" spans="27:93" ht="12.75" x14ac:dyDescent="0.2"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  <c r="BH668" s="23"/>
      <c r="BI668" s="23"/>
      <c r="BJ668" s="23"/>
      <c r="BK668" s="23"/>
      <c r="BL668" s="23"/>
      <c r="BM668" s="23"/>
      <c r="BN668" s="23"/>
      <c r="BO668" s="23"/>
      <c r="BP668" s="23"/>
      <c r="BQ668" s="23"/>
      <c r="BR668" s="23"/>
      <c r="BS668" s="23"/>
      <c r="BT668" s="23"/>
      <c r="BU668" s="23"/>
      <c r="BV668" s="23"/>
      <c r="BW668" s="23"/>
      <c r="BX668" s="23"/>
      <c r="BY668" s="23"/>
      <c r="BZ668" s="23"/>
      <c r="CA668" s="23"/>
      <c r="CB668" s="23"/>
      <c r="CC668" s="23"/>
      <c r="CD668" s="23"/>
      <c r="CE668" s="23"/>
      <c r="CF668" s="23"/>
      <c r="CG668" s="23"/>
      <c r="CH668" s="23"/>
      <c r="CI668" s="23"/>
      <c r="CJ668" s="23"/>
      <c r="CK668" s="23"/>
      <c r="CL668" s="23"/>
      <c r="CO668" s="30"/>
    </row>
    <row r="669" spans="27:93" ht="12.75" x14ac:dyDescent="0.2"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  <c r="BH669" s="23"/>
      <c r="BI669" s="23"/>
      <c r="BJ669" s="23"/>
      <c r="BK669" s="23"/>
      <c r="BL669" s="23"/>
      <c r="BM669" s="23"/>
      <c r="BN669" s="23"/>
      <c r="BO669" s="23"/>
      <c r="BP669" s="23"/>
      <c r="BQ669" s="23"/>
      <c r="BR669" s="23"/>
      <c r="BS669" s="23"/>
      <c r="BT669" s="23"/>
      <c r="BU669" s="23"/>
      <c r="BV669" s="23"/>
      <c r="BW669" s="23"/>
      <c r="BX669" s="23"/>
      <c r="BY669" s="23"/>
      <c r="BZ669" s="23"/>
      <c r="CA669" s="23"/>
      <c r="CB669" s="23"/>
      <c r="CC669" s="23"/>
      <c r="CD669" s="23"/>
      <c r="CE669" s="23"/>
      <c r="CF669" s="23"/>
      <c r="CG669" s="23"/>
      <c r="CH669" s="23"/>
      <c r="CI669" s="23"/>
      <c r="CJ669" s="23"/>
      <c r="CK669" s="23"/>
      <c r="CL669" s="23"/>
      <c r="CO669" s="30"/>
    </row>
    <row r="670" spans="27:93" ht="12.75" x14ac:dyDescent="0.2"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/>
      <c r="BP670" s="23"/>
      <c r="BQ670" s="23"/>
      <c r="BR670" s="23"/>
      <c r="BS670" s="23"/>
      <c r="BT670" s="23"/>
      <c r="BU670" s="23"/>
      <c r="BV670" s="23"/>
      <c r="BW670" s="23"/>
      <c r="BX670" s="23"/>
      <c r="BY670" s="23"/>
      <c r="BZ670" s="23"/>
      <c r="CA670" s="23"/>
      <c r="CB670" s="23"/>
      <c r="CC670" s="23"/>
      <c r="CD670" s="23"/>
      <c r="CE670" s="23"/>
      <c r="CF670" s="23"/>
      <c r="CG670" s="23"/>
      <c r="CH670" s="23"/>
      <c r="CI670" s="23"/>
      <c r="CJ670" s="23"/>
      <c r="CK670" s="23"/>
      <c r="CL670" s="23"/>
      <c r="CO670" s="30"/>
    </row>
    <row r="671" spans="27:93" ht="12.75" x14ac:dyDescent="0.2"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/>
      <c r="BP671" s="23"/>
      <c r="BQ671" s="23"/>
      <c r="BR671" s="23"/>
      <c r="BS671" s="23"/>
      <c r="BT671" s="23"/>
      <c r="BU671" s="23"/>
      <c r="BV671" s="23"/>
      <c r="BW671" s="23"/>
      <c r="BX671" s="23"/>
      <c r="BY671" s="23"/>
      <c r="BZ671" s="23"/>
      <c r="CA671" s="23"/>
      <c r="CB671" s="23"/>
      <c r="CC671" s="23"/>
      <c r="CD671" s="23"/>
      <c r="CE671" s="23"/>
      <c r="CF671" s="23"/>
      <c r="CG671" s="23"/>
      <c r="CH671" s="23"/>
      <c r="CI671" s="23"/>
      <c r="CJ671" s="23"/>
      <c r="CK671" s="23"/>
      <c r="CL671" s="23"/>
      <c r="CO671" s="30"/>
    </row>
    <row r="672" spans="27:93" ht="12.75" x14ac:dyDescent="0.2"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  <c r="BH672" s="23"/>
      <c r="BI672" s="23"/>
      <c r="BJ672" s="23"/>
      <c r="BK672" s="23"/>
      <c r="BL672" s="23"/>
      <c r="BM672" s="23"/>
      <c r="BN672" s="23"/>
      <c r="BO672" s="23"/>
      <c r="BP672" s="23"/>
      <c r="BQ672" s="23"/>
      <c r="BR672" s="23"/>
      <c r="BS672" s="23"/>
      <c r="BT672" s="23"/>
      <c r="BU672" s="23"/>
      <c r="BV672" s="23"/>
      <c r="BW672" s="23"/>
      <c r="BX672" s="23"/>
      <c r="BY672" s="23"/>
      <c r="BZ672" s="23"/>
      <c r="CA672" s="23"/>
      <c r="CB672" s="23"/>
      <c r="CC672" s="23"/>
      <c r="CD672" s="23"/>
      <c r="CE672" s="23"/>
      <c r="CF672" s="23"/>
      <c r="CG672" s="23"/>
      <c r="CH672" s="23"/>
      <c r="CI672" s="23"/>
      <c r="CJ672" s="23"/>
      <c r="CK672" s="23"/>
      <c r="CL672" s="23"/>
      <c r="CO672" s="30"/>
    </row>
    <row r="673" spans="27:93" ht="12.75" x14ac:dyDescent="0.2"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/>
      <c r="BP673" s="23"/>
      <c r="BQ673" s="23"/>
      <c r="BR673" s="23"/>
      <c r="BS673" s="23"/>
      <c r="BT673" s="23"/>
      <c r="BU673" s="23"/>
      <c r="BV673" s="23"/>
      <c r="BW673" s="23"/>
      <c r="BX673" s="23"/>
      <c r="BY673" s="23"/>
      <c r="BZ673" s="23"/>
      <c r="CA673" s="23"/>
      <c r="CB673" s="23"/>
      <c r="CC673" s="23"/>
      <c r="CD673" s="23"/>
      <c r="CE673" s="23"/>
      <c r="CF673" s="23"/>
      <c r="CG673" s="23"/>
      <c r="CH673" s="23"/>
      <c r="CI673" s="23"/>
      <c r="CJ673" s="23"/>
      <c r="CK673" s="23"/>
      <c r="CL673" s="23"/>
      <c r="CO673" s="30"/>
    </row>
    <row r="674" spans="27:93" ht="12.75" x14ac:dyDescent="0.2"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  <c r="BH674" s="23"/>
      <c r="BI674" s="23"/>
      <c r="BJ674" s="23"/>
      <c r="BK674" s="23"/>
      <c r="BL674" s="23"/>
      <c r="BM674" s="23"/>
      <c r="BN674" s="23"/>
      <c r="BO674" s="23"/>
      <c r="BP674" s="23"/>
      <c r="BQ674" s="23"/>
      <c r="BR674" s="23"/>
      <c r="BS674" s="23"/>
      <c r="BT674" s="23"/>
      <c r="BU674" s="23"/>
      <c r="BV674" s="23"/>
      <c r="BW674" s="23"/>
      <c r="BX674" s="23"/>
      <c r="BY674" s="23"/>
      <c r="BZ674" s="23"/>
      <c r="CA674" s="23"/>
      <c r="CB674" s="23"/>
      <c r="CC674" s="23"/>
      <c r="CD674" s="23"/>
      <c r="CE674" s="23"/>
      <c r="CF674" s="23"/>
      <c r="CG674" s="23"/>
      <c r="CH674" s="23"/>
      <c r="CI674" s="23"/>
      <c r="CJ674" s="23"/>
      <c r="CK674" s="23"/>
      <c r="CL674" s="23"/>
      <c r="CO674" s="30"/>
    </row>
    <row r="675" spans="27:93" ht="12.75" x14ac:dyDescent="0.2"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  <c r="BH675" s="23"/>
      <c r="BI675" s="23"/>
      <c r="BJ675" s="23"/>
      <c r="BK675" s="23"/>
      <c r="BL675" s="23"/>
      <c r="BM675" s="23"/>
      <c r="BN675" s="23"/>
      <c r="BO675" s="23"/>
      <c r="BP675" s="23"/>
      <c r="BQ675" s="23"/>
      <c r="BR675" s="23"/>
      <c r="BS675" s="23"/>
      <c r="BT675" s="23"/>
      <c r="BU675" s="23"/>
      <c r="BV675" s="23"/>
      <c r="BW675" s="23"/>
      <c r="BX675" s="23"/>
      <c r="BY675" s="23"/>
      <c r="BZ675" s="23"/>
      <c r="CA675" s="23"/>
      <c r="CB675" s="23"/>
      <c r="CC675" s="23"/>
      <c r="CD675" s="23"/>
      <c r="CE675" s="23"/>
      <c r="CF675" s="23"/>
      <c r="CG675" s="23"/>
      <c r="CH675" s="23"/>
      <c r="CI675" s="23"/>
      <c r="CJ675" s="23"/>
      <c r="CK675" s="23"/>
      <c r="CL675" s="23"/>
      <c r="CO675" s="30"/>
    </row>
    <row r="676" spans="27:93" ht="12.75" x14ac:dyDescent="0.2"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23"/>
      <c r="BM676" s="23"/>
      <c r="BN676" s="23"/>
      <c r="BO676" s="23"/>
      <c r="BP676" s="23"/>
      <c r="BQ676" s="23"/>
      <c r="BR676" s="23"/>
      <c r="BS676" s="23"/>
      <c r="BT676" s="23"/>
      <c r="BU676" s="23"/>
      <c r="BV676" s="23"/>
      <c r="BW676" s="23"/>
      <c r="BX676" s="23"/>
      <c r="BY676" s="23"/>
      <c r="BZ676" s="23"/>
      <c r="CA676" s="23"/>
      <c r="CB676" s="23"/>
      <c r="CC676" s="23"/>
      <c r="CD676" s="23"/>
      <c r="CE676" s="23"/>
      <c r="CF676" s="23"/>
      <c r="CG676" s="23"/>
      <c r="CH676" s="23"/>
      <c r="CI676" s="23"/>
      <c r="CJ676" s="23"/>
      <c r="CK676" s="23"/>
      <c r="CL676" s="23"/>
      <c r="CO676" s="30"/>
    </row>
    <row r="677" spans="27:93" ht="12.75" x14ac:dyDescent="0.2"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23"/>
      <c r="BM677" s="23"/>
      <c r="BN677" s="23"/>
      <c r="BO677" s="23"/>
      <c r="BP677" s="23"/>
      <c r="BQ677" s="23"/>
      <c r="BR677" s="23"/>
      <c r="BS677" s="23"/>
      <c r="BT677" s="23"/>
      <c r="BU677" s="23"/>
      <c r="BV677" s="23"/>
      <c r="BW677" s="23"/>
      <c r="BX677" s="23"/>
      <c r="BY677" s="23"/>
      <c r="BZ677" s="23"/>
      <c r="CA677" s="23"/>
      <c r="CB677" s="23"/>
      <c r="CC677" s="23"/>
      <c r="CD677" s="23"/>
      <c r="CE677" s="23"/>
      <c r="CF677" s="23"/>
      <c r="CG677" s="23"/>
      <c r="CH677" s="23"/>
      <c r="CI677" s="23"/>
      <c r="CJ677" s="23"/>
      <c r="CK677" s="23"/>
      <c r="CL677" s="23"/>
      <c r="CO677" s="30"/>
    </row>
    <row r="678" spans="27:93" ht="12.75" x14ac:dyDescent="0.2"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  <c r="BD678" s="23"/>
      <c r="BE678" s="23"/>
      <c r="BF678" s="23"/>
      <c r="BG678" s="23"/>
      <c r="BH678" s="23"/>
      <c r="BI678" s="23"/>
      <c r="BJ678" s="23"/>
      <c r="BK678" s="23"/>
      <c r="BL678" s="23"/>
      <c r="BM678" s="23"/>
      <c r="BN678" s="23"/>
      <c r="BO678" s="23"/>
      <c r="BP678" s="23"/>
      <c r="BQ678" s="23"/>
      <c r="BR678" s="23"/>
      <c r="BS678" s="23"/>
      <c r="BT678" s="23"/>
      <c r="BU678" s="23"/>
      <c r="BV678" s="23"/>
      <c r="BW678" s="23"/>
      <c r="BX678" s="23"/>
      <c r="BY678" s="23"/>
      <c r="BZ678" s="23"/>
      <c r="CA678" s="23"/>
      <c r="CB678" s="23"/>
      <c r="CC678" s="23"/>
      <c r="CD678" s="23"/>
      <c r="CE678" s="23"/>
      <c r="CF678" s="23"/>
      <c r="CG678" s="23"/>
      <c r="CH678" s="23"/>
      <c r="CI678" s="23"/>
      <c r="CJ678" s="23"/>
      <c r="CK678" s="23"/>
      <c r="CL678" s="23"/>
      <c r="CO678" s="30"/>
    </row>
    <row r="679" spans="27:93" ht="12.75" x14ac:dyDescent="0.2"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  <c r="BF679" s="23"/>
      <c r="BG679" s="23"/>
      <c r="BH679" s="23"/>
      <c r="BI679" s="23"/>
      <c r="BJ679" s="23"/>
      <c r="BK679" s="23"/>
      <c r="BL679" s="23"/>
      <c r="BM679" s="23"/>
      <c r="BN679" s="23"/>
      <c r="BO679" s="23"/>
      <c r="BP679" s="23"/>
      <c r="BQ679" s="23"/>
      <c r="BR679" s="23"/>
      <c r="BS679" s="23"/>
      <c r="BT679" s="23"/>
      <c r="BU679" s="23"/>
      <c r="BV679" s="23"/>
      <c r="BW679" s="23"/>
      <c r="BX679" s="23"/>
      <c r="BY679" s="23"/>
      <c r="BZ679" s="23"/>
      <c r="CA679" s="23"/>
      <c r="CB679" s="23"/>
      <c r="CC679" s="23"/>
      <c r="CD679" s="23"/>
      <c r="CE679" s="23"/>
      <c r="CF679" s="23"/>
      <c r="CG679" s="23"/>
      <c r="CH679" s="23"/>
      <c r="CI679" s="23"/>
      <c r="CJ679" s="23"/>
      <c r="CK679" s="23"/>
      <c r="CL679" s="23"/>
      <c r="CO679" s="30"/>
    </row>
    <row r="680" spans="27:93" ht="12.75" x14ac:dyDescent="0.2"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  <c r="BD680" s="23"/>
      <c r="BE680" s="23"/>
      <c r="BF680" s="23"/>
      <c r="BG680" s="23"/>
      <c r="BH680" s="23"/>
      <c r="BI680" s="23"/>
      <c r="BJ680" s="23"/>
      <c r="BK680" s="23"/>
      <c r="BL680" s="23"/>
      <c r="BM680" s="23"/>
      <c r="BN680" s="23"/>
      <c r="BO680" s="23"/>
      <c r="BP680" s="23"/>
      <c r="BQ680" s="23"/>
      <c r="BR680" s="23"/>
      <c r="BS680" s="23"/>
      <c r="BT680" s="23"/>
      <c r="BU680" s="23"/>
      <c r="BV680" s="23"/>
      <c r="BW680" s="23"/>
      <c r="BX680" s="23"/>
      <c r="BY680" s="23"/>
      <c r="BZ680" s="23"/>
      <c r="CA680" s="23"/>
      <c r="CB680" s="23"/>
      <c r="CC680" s="23"/>
      <c r="CD680" s="23"/>
      <c r="CE680" s="23"/>
      <c r="CF680" s="23"/>
      <c r="CG680" s="23"/>
      <c r="CH680" s="23"/>
      <c r="CI680" s="23"/>
      <c r="CJ680" s="23"/>
      <c r="CK680" s="23"/>
      <c r="CL680" s="23"/>
      <c r="CO680" s="30"/>
    </row>
    <row r="681" spans="27:93" ht="12.75" x14ac:dyDescent="0.2"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  <c r="BF681" s="23"/>
      <c r="BG681" s="23"/>
      <c r="BH681" s="23"/>
      <c r="BI681" s="23"/>
      <c r="BJ681" s="23"/>
      <c r="BK681" s="23"/>
      <c r="BL681" s="23"/>
      <c r="BM681" s="23"/>
      <c r="BN681" s="23"/>
      <c r="BO681" s="23"/>
      <c r="BP681" s="23"/>
      <c r="BQ681" s="23"/>
      <c r="BR681" s="23"/>
      <c r="BS681" s="23"/>
      <c r="BT681" s="23"/>
      <c r="BU681" s="23"/>
      <c r="BV681" s="23"/>
      <c r="BW681" s="23"/>
      <c r="BX681" s="23"/>
      <c r="BY681" s="23"/>
      <c r="BZ681" s="23"/>
      <c r="CA681" s="23"/>
      <c r="CB681" s="23"/>
      <c r="CC681" s="23"/>
      <c r="CD681" s="23"/>
      <c r="CE681" s="23"/>
      <c r="CF681" s="23"/>
      <c r="CG681" s="23"/>
      <c r="CH681" s="23"/>
      <c r="CI681" s="23"/>
      <c r="CJ681" s="23"/>
      <c r="CK681" s="23"/>
      <c r="CL681" s="23"/>
      <c r="CO681" s="30"/>
    </row>
    <row r="682" spans="27:93" ht="12.75" x14ac:dyDescent="0.2"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  <c r="BE682" s="23"/>
      <c r="BF682" s="23"/>
      <c r="BG682" s="23"/>
      <c r="BH682" s="23"/>
      <c r="BI682" s="23"/>
      <c r="BJ682" s="23"/>
      <c r="BK682" s="23"/>
      <c r="BL682" s="23"/>
      <c r="BM682" s="23"/>
      <c r="BN682" s="23"/>
      <c r="BO682" s="23"/>
      <c r="BP682" s="23"/>
      <c r="BQ682" s="23"/>
      <c r="BR682" s="23"/>
      <c r="BS682" s="23"/>
      <c r="BT682" s="23"/>
      <c r="BU682" s="23"/>
      <c r="BV682" s="23"/>
      <c r="BW682" s="23"/>
      <c r="BX682" s="23"/>
      <c r="BY682" s="23"/>
      <c r="BZ682" s="23"/>
      <c r="CA682" s="23"/>
      <c r="CB682" s="23"/>
      <c r="CC682" s="23"/>
      <c r="CD682" s="23"/>
      <c r="CE682" s="23"/>
      <c r="CF682" s="23"/>
      <c r="CG682" s="23"/>
      <c r="CH682" s="23"/>
      <c r="CI682" s="23"/>
      <c r="CJ682" s="23"/>
      <c r="CK682" s="23"/>
      <c r="CL682" s="23"/>
      <c r="CO682" s="30"/>
    </row>
    <row r="683" spans="27:93" ht="12.75" x14ac:dyDescent="0.2"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23"/>
      <c r="BM683" s="23"/>
      <c r="BN683" s="23"/>
      <c r="BO683" s="23"/>
      <c r="BP683" s="23"/>
      <c r="BQ683" s="23"/>
      <c r="BR683" s="23"/>
      <c r="BS683" s="23"/>
      <c r="BT683" s="23"/>
      <c r="BU683" s="23"/>
      <c r="BV683" s="23"/>
      <c r="BW683" s="23"/>
      <c r="BX683" s="23"/>
      <c r="BY683" s="23"/>
      <c r="BZ683" s="23"/>
      <c r="CA683" s="23"/>
      <c r="CB683" s="23"/>
      <c r="CC683" s="23"/>
      <c r="CD683" s="23"/>
      <c r="CE683" s="23"/>
      <c r="CF683" s="23"/>
      <c r="CG683" s="23"/>
      <c r="CH683" s="23"/>
      <c r="CI683" s="23"/>
      <c r="CJ683" s="23"/>
      <c r="CK683" s="23"/>
      <c r="CL683" s="23"/>
      <c r="CO683" s="30"/>
    </row>
    <row r="684" spans="27:93" ht="12.75" x14ac:dyDescent="0.2"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23"/>
      <c r="BM684" s="23"/>
      <c r="BN684" s="23"/>
      <c r="BO684" s="23"/>
      <c r="BP684" s="23"/>
      <c r="BQ684" s="23"/>
      <c r="BR684" s="23"/>
      <c r="BS684" s="23"/>
      <c r="BT684" s="23"/>
      <c r="BU684" s="23"/>
      <c r="BV684" s="23"/>
      <c r="BW684" s="23"/>
      <c r="BX684" s="23"/>
      <c r="BY684" s="23"/>
      <c r="BZ684" s="23"/>
      <c r="CA684" s="23"/>
      <c r="CB684" s="23"/>
      <c r="CC684" s="23"/>
      <c r="CD684" s="23"/>
      <c r="CE684" s="23"/>
      <c r="CF684" s="23"/>
      <c r="CG684" s="23"/>
      <c r="CH684" s="23"/>
      <c r="CI684" s="23"/>
      <c r="CJ684" s="23"/>
      <c r="CK684" s="23"/>
      <c r="CL684" s="23"/>
      <c r="CO684" s="30"/>
    </row>
    <row r="685" spans="27:93" ht="12.75" x14ac:dyDescent="0.2"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23"/>
      <c r="BM685" s="23"/>
      <c r="BN685" s="23"/>
      <c r="BO685" s="23"/>
      <c r="BP685" s="23"/>
      <c r="BQ685" s="23"/>
      <c r="BR685" s="23"/>
      <c r="BS685" s="23"/>
      <c r="BT685" s="23"/>
      <c r="BU685" s="23"/>
      <c r="BV685" s="23"/>
      <c r="BW685" s="23"/>
      <c r="BX685" s="23"/>
      <c r="BY685" s="23"/>
      <c r="BZ685" s="23"/>
      <c r="CA685" s="23"/>
      <c r="CB685" s="23"/>
      <c r="CC685" s="23"/>
      <c r="CD685" s="23"/>
      <c r="CE685" s="23"/>
      <c r="CF685" s="23"/>
      <c r="CG685" s="23"/>
      <c r="CH685" s="23"/>
      <c r="CI685" s="23"/>
      <c r="CJ685" s="23"/>
      <c r="CK685" s="23"/>
      <c r="CL685" s="23"/>
      <c r="CO685" s="30"/>
    </row>
    <row r="686" spans="27:93" ht="12.75" x14ac:dyDescent="0.2"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  <c r="BM686" s="23"/>
      <c r="BN686" s="23"/>
      <c r="BO686" s="23"/>
      <c r="BP686" s="23"/>
      <c r="BQ686" s="23"/>
      <c r="BR686" s="23"/>
      <c r="BS686" s="23"/>
      <c r="BT686" s="23"/>
      <c r="BU686" s="23"/>
      <c r="BV686" s="23"/>
      <c r="BW686" s="23"/>
      <c r="BX686" s="23"/>
      <c r="BY686" s="23"/>
      <c r="BZ686" s="23"/>
      <c r="CA686" s="23"/>
      <c r="CB686" s="23"/>
      <c r="CC686" s="23"/>
      <c r="CD686" s="23"/>
      <c r="CE686" s="23"/>
      <c r="CF686" s="23"/>
      <c r="CG686" s="23"/>
      <c r="CH686" s="23"/>
      <c r="CI686" s="23"/>
      <c r="CJ686" s="23"/>
      <c r="CK686" s="23"/>
      <c r="CL686" s="23"/>
      <c r="CO686" s="30"/>
    </row>
    <row r="687" spans="27:93" ht="12.75" x14ac:dyDescent="0.2"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23"/>
      <c r="BL687" s="23"/>
      <c r="BM687" s="23"/>
      <c r="BN687" s="23"/>
      <c r="BO687" s="23"/>
      <c r="BP687" s="23"/>
      <c r="BQ687" s="23"/>
      <c r="BR687" s="23"/>
      <c r="BS687" s="23"/>
      <c r="BT687" s="23"/>
      <c r="BU687" s="23"/>
      <c r="BV687" s="23"/>
      <c r="BW687" s="23"/>
      <c r="BX687" s="23"/>
      <c r="BY687" s="23"/>
      <c r="BZ687" s="23"/>
      <c r="CA687" s="23"/>
      <c r="CB687" s="23"/>
      <c r="CC687" s="23"/>
      <c r="CD687" s="23"/>
      <c r="CE687" s="23"/>
      <c r="CF687" s="23"/>
      <c r="CG687" s="23"/>
      <c r="CH687" s="23"/>
      <c r="CI687" s="23"/>
      <c r="CJ687" s="23"/>
      <c r="CK687" s="23"/>
      <c r="CL687" s="23"/>
      <c r="CO687" s="30"/>
    </row>
    <row r="688" spans="27:93" ht="12.75" x14ac:dyDescent="0.2"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  <c r="BD688" s="23"/>
      <c r="BE688" s="23"/>
      <c r="BF688" s="23"/>
      <c r="BG688" s="23"/>
      <c r="BH688" s="23"/>
      <c r="BI688" s="23"/>
      <c r="BJ688" s="23"/>
      <c r="BK688" s="23"/>
      <c r="BL688" s="23"/>
      <c r="BM688" s="23"/>
      <c r="BN688" s="23"/>
      <c r="BO688" s="23"/>
      <c r="BP688" s="23"/>
      <c r="BQ688" s="23"/>
      <c r="BR688" s="23"/>
      <c r="BS688" s="23"/>
      <c r="BT688" s="23"/>
      <c r="BU688" s="23"/>
      <c r="BV688" s="23"/>
      <c r="BW688" s="23"/>
      <c r="BX688" s="23"/>
      <c r="BY688" s="23"/>
      <c r="BZ688" s="23"/>
      <c r="CA688" s="23"/>
      <c r="CB688" s="23"/>
      <c r="CC688" s="23"/>
      <c r="CD688" s="23"/>
      <c r="CE688" s="23"/>
      <c r="CF688" s="23"/>
      <c r="CG688" s="23"/>
      <c r="CH688" s="23"/>
      <c r="CI688" s="23"/>
      <c r="CJ688" s="23"/>
      <c r="CK688" s="23"/>
      <c r="CL688" s="23"/>
      <c r="CO688" s="30"/>
    </row>
    <row r="689" spans="27:93" ht="12.75" x14ac:dyDescent="0.2"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  <c r="BF689" s="23"/>
      <c r="BG689" s="23"/>
      <c r="BH689" s="23"/>
      <c r="BI689" s="23"/>
      <c r="BJ689" s="23"/>
      <c r="BK689" s="23"/>
      <c r="BL689" s="23"/>
      <c r="BM689" s="23"/>
      <c r="BN689" s="23"/>
      <c r="BO689" s="23"/>
      <c r="BP689" s="23"/>
      <c r="BQ689" s="23"/>
      <c r="BR689" s="23"/>
      <c r="BS689" s="23"/>
      <c r="BT689" s="23"/>
      <c r="BU689" s="23"/>
      <c r="BV689" s="23"/>
      <c r="BW689" s="23"/>
      <c r="BX689" s="23"/>
      <c r="BY689" s="23"/>
      <c r="BZ689" s="23"/>
      <c r="CA689" s="23"/>
      <c r="CB689" s="23"/>
      <c r="CC689" s="23"/>
      <c r="CD689" s="23"/>
      <c r="CE689" s="23"/>
      <c r="CF689" s="23"/>
      <c r="CG689" s="23"/>
      <c r="CH689" s="23"/>
      <c r="CI689" s="23"/>
      <c r="CJ689" s="23"/>
      <c r="CK689" s="23"/>
      <c r="CL689" s="23"/>
      <c r="CO689" s="30"/>
    </row>
    <row r="690" spans="27:93" ht="12.75" x14ac:dyDescent="0.2"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  <c r="BD690" s="23"/>
      <c r="BE690" s="23"/>
      <c r="BF690" s="23"/>
      <c r="BG690" s="23"/>
      <c r="BH690" s="23"/>
      <c r="BI690" s="23"/>
      <c r="BJ690" s="23"/>
      <c r="BK690" s="23"/>
      <c r="BL690" s="23"/>
      <c r="BM690" s="23"/>
      <c r="BN690" s="23"/>
      <c r="BO690" s="23"/>
      <c r="BP690" s="23"/>
      <c r="BQ690" s="23"/>
      <c r="BR690" s="23"/>
      <c r="BS690" s="23"/>
      <c r="BT690" s="23"/>
      <c r="BU690" s="23"/>
      <c r="BV690" s="23"/>
      <c r="BW690" s="23"/>
      <c r="BX690" s="23"/>
      <c r="BY690" s="23"/>
      <c r="BZ690" s="23"/>
      <c r="CA690" s="23"/>
      <c r="CB690" s="23"/>
      <c r="CC690" s="23"/>
      <c r="CD690" s="23"/>
      <c r="CE690" s="23"/>
      <c r="CF690" s="23"/>
      <c r="CG690" s="23"/>
      <c r="CH690" s="23"/>
      <c r="CI690" s="23"/>
      <c r="CJ690" s="23"/>
      <c r="CK690" s="23"/>
      <c r="CL690" s="23"/>
      <c r="CO690" s="30"/>
    </row>
    <row r="691" spans="27:93" ht="12.75" x14ac:dyDescent="0.2"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  <c r="BD691" s="23"/>
      <c r="BE691" s="23"/>
      <c r="BF691" s="23"/>
      <c r="BG691" s="23"/>
      <c r="BH691" s="23"/>
      <c r="BI691" s="23"/>
      <c r="BJ691" s="23"/>
      <c r="BK691" s="23"/>
      <c r="BL691" s="23"/>
      <c r="BM691" s="23"/>
      <c r="BN691" s="23"/>
      <c r="BO691" s="23"/>
      <c r="BP691" s="23"/>
      <c r="BQ691" s="23"/>
      <c r="BR691" s="23"/>
      <c r="BS691" s="23"/>
      <c r="BT691" s="23"/>
      <c r="BU691" s="23"/>
      <c r="BV691" s="23"/>
      <c r="BW691" s="23"/>
      <c r="BX691" s="23"/>
      <c r="BY691" s="23"/>
      <c r="BZ691" s="23"/>
      <c r="CA691" s="23"/>
      <c r="CB691" s="23"/>
      <c r="CC691" s="23"/>
      <c r="CD691" s="23"/>
      <c r="CE691" s="23"/>
      <c r="CF691" s="23"/>
      <c r="CG691" s="23"/>
      <c r="CH691" s="23"/>
      <c r="CI691" s="23"/>
      <c r="CJ691" s="23"/>
      <c r="CK691" s="23"/>
      <c r="CL691" s="23"/>
      <c r="CO691" s="30"/>
    </row>
    <row r="692" spans="27:93" ht="12.75" x14ac:dyDescent="0.2"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  <c r="BD692" s="23"/>
      <c r="BE692" s="23"/>
      <c r="BF692" s="23"/>
      <c r="BG692" s="23"/>
      <c r="BH692" s="23"/>
      <c r="BI692" s="23"/>
      <c r="BJ692" s="23"/>
      <c r="BK692" s="23"/>
      <c r="BL692" s="23"/>
      <c r="BM692" s="23"/>
      <c r="BN692" s="23"/>
      <c r="BO692" s="23"/>
      <c r="BP692" s="23"/>
      <c r="BQ692" s="23"/>
      <c r="BR692" s="23"/>
      <c r="BS692" s="23"/>
      <c r="BT692" s="23"/>
      <c r="BU692" s="23"/>
      <c r="BV692" s="23"/>
      <c r="BW692" s="23"/>
      <c r="BX692" s="23"/>
      <c r="BY692" s="23"/>
      <c r="BZ692" s="23"/>
      <c r="CA692" s="23"/>
      <c r="CB692" s="23"/>
      <c r="CC692" s="23"/>
      <c r="CD692" s="23"/>
      <c r="CE692" s="23"/>
      <c r="CF692" s="23"/>
      <c r="CG692" s="23"/>
      <c r="CH692" s="23"/>
      <c r="CI692" s="23"/>
      <c r="CJ692" s="23"/>
      <c r="CK692" s="23"/>
      <c r="CL692" s="23"/>
      <c r="CO692" s="30"/>
    </row>
    <row r="693" spans="27:93" ht="12.75" x14ac:dyDescent="0.2"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  <c r="BF693" s="23"/>
      <c r="BG693" s="23"/>
      <c r="BH693" s="23"/>
      <c r="BI693" s="23"/>
      <c r="BJ693" s="23"/>
      <c r="BK693" s="23"/>
      <c r="BL693" s="23"/>
      <c r="BM693" s="23"/>
      <c r="BN693" s="23"/>
      <c r="BO693" s="23"/>
      <c r="BP693" s="23"/>
      <c r="BQ693" s="23"/>
      <c r="BR693" s="23"/>
      <c r="BS693" s="23"/>
      <c r="BT693" s="23"/>
      <c r="BU693" s="23"/>
      <c r="BV693" s="23"/>
      <c r="BW693" s="23"/>
      <c r="BX693" s="23"/>
      <c r="BY693" s="23"/>
      <c r="BZ693" s="23"/>
      <c r="CA693" s="23"/>
      <c r="CB693" s="23"/>
      <c r="CC693" s="23"/>
      <c r="CD693" s="23"/>
      <c r="CE693" s="23"/>
      <c r="CF693" s="23"/>
      <c r="CG693" s="23"/>
      <c r="CH693" s="23"/>
      <c r="CI693" s="23"/>
      <c r="CJ693" s="23"/>
      <c r="CK693" s="23"/>
      <c r="CL693" s="23"/>
      <c r="CO693" s="30"/>
    </row>
    <row r="694" spans="27:93" ht="12.75" x14ac:dyDescent="0.2"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  <c r="BD694" s="23"/>
      <c r="BE694" s="23"/>
      <c r="BF694" s="23"/>
      <c r="BG694" s="23"/>
      <c r="BH694" s="23"/>
      <c r="BI694" s="23"/>
      <c r="BJ694" s="23"/>
      <c r="BK694" s="23"/>
      <c r="BL694" s="23"/>
      <c r="BM694" s="23"/>
      <c r="BN694" s="23"/>
      <c r="BO694" s="23"/>
      <c r="BP694" s="23"/>
      <c r="BQ694" s="23"/>
      <c r="BR694" s="23"/>
      <c r="BS694" s="23"/>
      <c r="BT694" s="23"/>
      <c r="BU694" s="23"/>
      <c r="BV694" s="23"/>
      <c r="BW694" s="23"/>
      <c r="BX694" s="23"/>
      <c r="BY694" s="23"/>
      <c r="BZ694" s="23"/>
      <c r="CA694" s="23"/>
      <c r="CB694" s="23"/>
      <c r="CC694" s="23"/>
      <c r="CD694" s="23"/>
      <c r="CE694" s="23"/>
      <c r="CF694" s="23"/>
      <c r="CG694" s="23"/>
      <c r="CH694" s="23"/>
      <c r="CI694" s="23"/>
      <c r="CJ694" s="23"/>
      <c r="CK694" s="23"/>
      <c r="CL694" s="23"/>
      <c r="CO694" s="30"/>
    </row>
    <row r="695" spans="27:93" ht="12.75" x14ac:dyDescent="0.2"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  <c r="BF695" s="23"/>
      <c r="BG695" s="23"/>
      <c r="BH695" s="23"/>
      <c r="BI695" s="23"/>
      <c r="BJ695" s="23"/>
      <c r="BK695" s="23"/>
      <c r="BL695" s="23"/>
      <c r="BM695" s="23"/>
      <c r="BN695" s="23"/>
      <c r="BO695" s="23"/>
      <c r="BP695" s="23"/>
      <c r="BQ695" s="23"/>
      <c r="BR695" s="23"/>
      <c r="BS695" s="23"/>
      <c r="BT695" s="23"/>
      <c r="BU695" s="23"/>
      <c r="BV695" s="23"/>
      <c r="BW695" s="23"/>
      <c r="BX695" s="23"/>
      <c r="BY695" s="23"/>
      <c r="BZ695" s="23"/>
      <c r="CA695" s="23"/>
      <c r="CB695" s="23"/>
      <c r="CC695" s="23"/>
      <c r="CD695" s="23"/>
      <c r="CE695" s="23"/>
      <c r="CF695" s="23"/>
      <c r="CG695" s="23"/>
      <c r="CH695" s="23"/>
      <c r="CI695" s="23"/>
      <c r="CJ695" s="23"/>
      <c r="CK695" s="23"/>
      <c r="CL695" s="23"/>
      <c r="CO695" s="30"/>
    </row>
    <row r="696" spans="27:93" ht="12.75" x14ac:dyDescent="0.2"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  <c r="BB696" s="23"/>
      <c r="BC696" s="23"/>
      <c r="BD696" s="23"/>
      <c r="BE696" s="23"/>
      <c r="BF696" s="23"/>
      <c r="BG696" s="23"/>
      <c r="BH696" s="23"/>
      <c r="BI696" s="23"/>
      <c r="BJ696" s="23"/>
      <c r="BK696" s="23"/>
      <c r="BL696" s="23"/>
      <c r="BM696" s="23"/>
      <c r="BN696" s="23"/>
      <c r="BO696" s="23"/>
      <c r="BP696" s="23"/>
      <c r="BQ696" s="23"/>
      <c r="BR696" s="23"/>
      <c r="BS696" s="23"/>
      <c r="BT696" s="23"/>
      <c r="BU696" s="23"/>
      <c r="BV696" s="23"/>
      <c r="BW696" s="23"/>
      <c r="BX696" s="23"/>
      <c r="BY696" s="23"/>
      <c r="BZ696" s="23"/>
      <c r="CA696" s="23"/>
      <c r="CB696" s="23"/>
      <c r="CC696" s="23"/>
      <c r="CD696" s="23"/>
      <c r="CE696" s="23"/>
      <c r="CF696" s="23"/>
      <c r="CG696" s="23"/>
      <c r="CH696" s="23"/>
      <c r="CI696" s="23"/>
      <c r="CJ696" s="23"/>
      <c r="CK696" s="23"/>
      <c r="CL696" s="23"/>
      <c r="CO696" s="30"/>
    </row>
    <row r="697" spans="27:93" ht="12.75" x14ac:dyDescent="0.2"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  <c r="BD697" s="23"/>
      <c r="BE697" s="23"/>
      <c r="BF697" s="23"/>
      <c r="BG697" s="23"/>
      <c r="BH697" s="23"/>
      <c r="BI697" s="23"/>
      <c r="BJ697" s="23"/>
      <c r="BK697" s="23"/>
      <c r="BL697" s="23"/>
      <c r="BM697" s="23"/>
      <c r="BN697" s="23"/>
      <c r="BO697" s="23"/>
      <c r="BP697" s="23"/>
      <c r="BQ697" s="23"/>
      <c r="BR697" s="23"/>
      <c r="BS697" s="23"/>
      <c r="BT697" s="23"/>
      <c r="BU697" s="23"/>
      <c r="BV697" s="23"/>
      <c r="BW697" s="23"/>
      <c r="BX697" s="23"/>
      <c r="BY697" s="23"/>
      <c r="BZ697" s="23"/>
      <c r="CA697" s="23"/>
      <c r="CB697" s="23"/>
      <c r="CC697" s="23"/>
      <c r="CD697" s="23"/>
      <c r="CE697" s="23"/>
      <c r="CF697" s="23"/>
      <c r="CG697" s="23"/>
      <c r="CH697" s="23"/>
      <c r="CI697" s="23"/>
      <c r="CJ697" s="23"/>
      <c r="CK697" s="23"/>
      <c r="CL697" s="23"/>
      <c r="CO697" s="30"/>
    </row>
    <row r="698" spans="27:93" ht="12.75" x14ac:dyDescent="0.2"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  <c r="BB698" s="23"/>
      <c r="BC698" s="23"/>
      <c r="BD698" s="23"/>
      <c r="BE698" s="23"/>
      <c r="BF698" s="23"/>
      <c r="BG698" s="23"/>
      <c r="BH698" s="23"/>
      <c r="BI698" s="23"/>
      <c r="BJ698" s="23"/>
      <c r="BK698" s="23"/>
      <c r="BL698" s="23"/>
      <c r="BM698" s="23"/>
      <c r="BN698" s="23"/>
      <c r="BO698" s="23"/>
      <c r="BP698" s="23"/>
      <c r="BQ698" s="23"/>
      <c r="BR698" s="23"/>
      <c r="BS698" s="23"/>
      <c r="BT698" s="23"/>
      <c r="BU698" s="23"/>
      <c r="BV698" s="23"/>
      <c r="BW698" s="23"/>
      <c r="BX698" s="23"/>
      <c r="BY698" s="23"/>
      <c r="BZ698" s="23"/>
      <c r="CA698" s="23"/>
      <c r="CB698" s="23"/>
      <c r="CC698" s="23"/>
      <c r="CD698" s="23"/>
      <c r="CE698" s="23"/>
      <c r="CF698" s="23"/>
      <c r="CG698" s="23"/>
      <c r="CH698" s="23"/>
      <c r="CI698" s="23"/>
      <c r="CJ698" s="23"/>
      <c r="CK698" s="23"/>
      <c r="CL698" s="23"/>
      <c r="CO698" s="30"/>
    </row>
    <row r="699" spans="27:93" ht="12.75" x14ac:dyDescent="0.2"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  <c r="BD699" s="23"/>
      <c r="BE699" s="23"/>
      <c r="BF699" s="23"/>
      <c r="BG699" s="23"/>
      <c r="BH699" s="23"/>
      <c r="BI699" s="23"/>
      <c r="BJ699" s="23"/>
      <c r="BK699" s="23"/>
      <c r="BL699" s="23"/>
      <c r="BM699" s="23"/>
      <c r="BN699" s="23"/>
      <c r="BO699" s="23"/>
      <c r="BP699" s="23"/>
      <c r="BQ699" s="23"/>
      <c r="BR699" s="23"/>
      <c r="BS699" s="23"/>
      <c r="BT699" s="23"/>
      <c r="BU699" s="23"/>
      <c r="BV699" s="23"/>
      <c r="BW699" s="23"/>
      <c r="BX699" s="23"/>
      <c r="BY699" s="23"/>
      <c r="BZ699" s="23"/>
      <c r="CA699" s="23"/>
      <c r="CB699" s="23"/>
      <c r="CC699" s="23"/>
      <c r="CD699" s="23"/>
      <c r="CE699" s="23"/>
      <c r="CF699" s="23"/>
      <c r="CG699" s="23"/>
      <c r="CH699" s="23"/>
      <c r="CI699" s="23"/>
      <c r="CJ699" s="23"/>
      <c r="CK699" s="23"/>
      <c r="CL699" s="23"/>
      <c r="CO699" s="30"/>
    </row>
    <row r="700" spans="27:93" ht="12.75" x14ac:dyDescent="0.2"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3"/>
      <c r="BC700" s="23"/>
      <c r="BD700" s="23"/>
      <c r="BE700" s="23"/>
      <c r="BF700" s="23"/>
      <c r="BG700" s="23"/>
      <c r="BH700" s="23"/>
      <c r="BI700" s="23"/>
      <c r="BJ700" s="23"/>
      <c r="BK700" s="23"/>
      <c r="BL700" s="23"/>
      <c r="BM700" s="23"/>
      <c r="BN700" s="23"/>
      <c r="BO700" s="23"/>
      <c r="BP700" s="23"/>
      <c r="BQ700" s="23"/>
      <c r="BR700" s="23"/>
      <c r="BS700" s="23"/>
      <c r="BT700" s="23"/>
      <c r="BU700" s="23"/>
      <c r="BV700" s="23"/>
      <c r="BW700" s="23"/>
      <c r="BX700" s="23"/>
      <c r="BY700" s="23"/>
      <c r="BZ700" s="23"/>
      <c r="CA700" s="23"/>
      <c r="CB700" s="23"/>
      <c r="CC700" s="23"/>
      <c r="CD700" s="23"/>
      <c r="CE700" s="23"/>
      <c r="CF700" s="23"/>
      <c r="CG700" s="23"/>
      <c r="CH700" s="23"/>
      <c r="CI700" s="23"/>
      <c r="CJ700" s="23"/>
      <c r="CK700" s="23"/>
      <c r="CL700" s="23"/>
      <c r="CO700" s="30"/>
    </row>
    <row r="701" spans="27:93" ht="12.75" x14ac:dyDescent="0.2"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  <c r="CB701" s="23"/>
      <c r="CC701" s="23"/>
      <c r="CD701" s="23"/>
      <c r="CE701" s="23"/>
      <c r="CF701" s="23"/>
      <c r="CG701" s="23"/>
      <c r="CH701" s="23"/>
      <c r="CI701" s="23"/>
      <c r="CJ701" s="23"/>
      <c r="CK701" s="23"/>
      <c r="CL701" s="23"/>
      <c r="CO701" s="30"/>
    </row>
    <row r="702" spans="27:93" ht="12.75" x14ac:dyDescent="0.2"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  <c r="CB702" s="23"/>
      <c r="CC702" s="23"/>
      <c r="CD702" s="23"/>
      <c r="CE702" s="23"/>
      <c r="CF702" s="23"/>
      <c r="CG702" s="23"/>
      <c r="CH702" s="23"/>
      <c r="CI702" s="23"/>
      <c r="CJ702" s="23"/>
      <c r="CK702" s="23"/>
      <c r="CL702" s="23"/>
      <c r="CO702" s="30"/>
    </row>
    <row r="703" spans="27:93" ht="12.75" x14ac:dyDescent="0.2"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  <c r="CI703" s="23"/>
      <c r="CJ703" s="23"/>
      <c r="CK703" s="23"/>
      <c r="CL703" s="23"/>
      <c r="CO703" s="30"/>
    </row>
    <row r="704" spans="27:93" ht="12.75" x14ac:dyDescent="0.2"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  <c r="CB704" s="23"/>
      <c r="CC704" s="23"/>
      <c r="CD704" s="23"/>
      <c r="CE704" s="23"/>
      <c r="CF704" s="23"/>
      <c r="CG704" s="23"/>
      <c r="CH704" s="23"/>
      <c r="CI704" s="23"/>
      <c r="CJ704" s="23"/>
      <c r="CK704" s="23"/>
      <c r="CL704" s="23"/>
      <c r="CO704" s="30"/>
    </row>
    <row r="705" spans="27:93" ht="12.75" x14ac:dyDescent="0.2"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/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3"/>
      <c r="CA705" s="23"/>
      <c r="CB705" s="23"/>
      <c r="CC705" s="23"/>
      <c r="CD705" s="23"/>
      <c r="CE705" s="23"/>
      <c r="CF705" s="23"/>
      <c r="CG705" s="23"/>
      <c r="CH705" s="23"/>
      <c r="CI705" s="23"/>
      <c r="CJ705" s="23"/>
      <c r="CK705" s="23"/>
      <c r="CL705" s="23"/>
      <c r="CO705" s="30"/>
    </row>
    <row r="706" spans="27:93" ht="12.75" x14ac:dyDescent="0.2"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  <c r="BB706" s="23"/>
      <c r="BC706" s="23"/>
      <c r="BD706" s="23"/>
      <c r="BE706" s="23"/>
      <c r="BF706" s="23"/>
      <c r="BG706" s="23"/>
      <c r="BH706" s="23"/>
      <c r="BI706" s="23"/>
      <c r="BJ706" s="23"/>
      <c r="BK706" s="23"/>
      <c r="BL706" s="23"/>
      <c r="BM706" s="23"/>
      <c r="BN706" s="23"/>
      <c r="BO706" s="23"/>
      <c r="BP706" s="23"/>
      <c r="BQ706" s="23"/>
      <c r="BR706" s="23"/>
      <c r="BS706" s="23"/>
      <c r="BT706" s="23"/>
      <c r="BU706" s="23"/>
      <c r="BV706" s="23"/>
      <c r="BW706" s="23"/>
      <c r="BX706" s="23"/>
      <c r="BY706" s="23"/>
      <c r="BZ706" s="23"/>
      <c r="CA706" s="23"/>
      <c r="CB706" s="23"/>
      <c r="CC706" s="23"/>
      <c r="CD706" s="23"/>
      <c r="CE706" s="23"/>
      <c r="CF706" s="23"/>
      <c r="CG706" s="23"/>
      <c r="CH706" s="23"/>
      <c r="CI706" s="23"/>
      <c r="CJ706" s="23"/>
      <c r="CK706" s="23"/>
      <c r="CL706" s="23"/>
      <c r="CO706" s="30"/>
    </row>
    <row r="707" spans="27:93" ht="12.75" x14ac:dyDescent="0.2"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/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3"/>
      <c r="CA707" s="23"/>
      <c r="CB707" s="23"/>
      <c r="CC707" s="23"/>
      <c r="CD707" s="23"/>
      <c r="CE707" s="23"/>
      <c r="CF707" s="23"/>
      <c r="CG707" s="23"/>
      <c r="CH707" s="23"/>
      <c r="CI707" s="23"/>
      <c r="CJ707" s="23"/>
      <c r="CK707" s="23"/>
      <c r="CL707" s="23"/>
      <c r="CO707" s="30"/>
    </row>
    <row r="708" spans="27:93" ht="12.75" x14ac:dyDescent="0.2"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/>
      <c r="BP708" s="23"/>
      <c r="BQ708" s="23"/>
      <c r="BR708" s="23"/>
      <c r="BS708" s="23"/>
      <c r="BT708" s="23"/>
      <c r="BU708" s="23"/>
      <c r="BV708" s="23"/>
      <c r="BW708" s="23"/>
      <c r="BX708" s="23"/>
      <c r="BY708" s="23"/>
      <c r="BZ708" s="23"/>
      <c r="CA708" s="23"/>
      <c r="CB708" s="23"/>
      <c r="CC708" s="23"/>
      <c r="CD708" s="23"/>
      <c r="CE708" s="23"/>
      <c r="CF708" s="23"/>
      <c r="CG708" s="23"/>
      <c r="CH708" s="23"/>
      <c r="CI708" s="23"/>
      <c r="CJ708" s="23"/>
      <c r="CK708" s="23"/>
      <c r="CL708" s="23"/>
      <c r="CO708" s="30"/>
    </row>
    <row r="709" spans="27:93" ht="12.75" x14ac:dyDescent="0.2"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/>
      <c r="BP709" s="23"/>
      <c r="BQ709" s="23"/>
      <c r="BR709" s="23"/>
      <c r="BS709" s="23"/>
      <c r="BT709" s="23"/>
      <c r="BU709" s="23"/>
      <c r="BV709" s="23"/>
      <c r="BW709" s="23"/>
      <c r="BX709" s="23"/>
      <c r="BY709" s="23"/>
      <c r="BZ709" s="23"/>
      <c r="CA709" s="23"/>
      <c r="CB709" s="23"/>
      <c r="CC709" s="23"/>
      <c r="CD709" s="23"/>
      <c r="CE709" s="23"/>
      <c r="CF709" s="23"/>
      <c r="CG709" s="23"/>
      <c r="CH709" s="23"/>
      <c r="CI709" s="23"/>
      <c r="CJ709" s="23"/>
      <c r="CK709" s="23"/>
      <c r="CL709" s="23"/>
      <c r="CO709" s="30"/>
    </row>
    <row r="710" spans="27:93" ht="12.75" x14ac:dyDescent="0.2"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3"/>
      <c r="BC710" s="23"/>
      <c r="BD710" s="23"/>
      <c r="BE710" s="23"/>
      <c r="BF710" s="23"/>
      <c r="BG710" s="23"/>
      <c r="BH710" s="23"/>
      <c r="BI710" s="23"/>
      <c r="BJ710" s="23"/>
      <c r="BK710" s="23"/>
      <c r="BL710" s="23"/>
      <c r="BM710" s="23"/>
      <c r="BN710" s="23"/>
      <c r="BO710" s="23"/>
      <c r="BP710" s="23"/>
      <c r="BQ710" s="23"/>
      <c r="BR710" s="23"/>
      <c r="BS710" s="23"/>
      <c r="BT710" s="23"/>
      <c r="BU710" s="23"/>
      <c r="BV710" s="23"/>
      <c r="BW710" s="23"/>
      <c r="BX710" s="23"/>
      <c r="BY710" s="23"/>
      <c r="BZ710" s="23"/>
      <c r="CA710" s="23"/>
      <c r="CB710" s="23"/>
      <c r="CC710" s="23"/>
      <c r="CD710" s="23"/>
      <c r="CE710" s="23"/>
      <c r="CF710" s="23"/>
      <c r="CG710" s="23"/>
      <c r="CH710" s="23"/>
      <c r="CI710" s="23"/>
      <c r="CJ710" s="23"/>
      <c r="CK710" s="23"/>
      <c r="CL710" s="23"/>
      <c r="CO710" s="30"/>
    </row>
    <row r="711" spans="27:93" ht="12.75" x14ac:dyDescent="0.2"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/>
      <c r="BP711" s="23"/>
      <c r="BQ711" s="23"/>
      <c r="BR711" s="23"/>
      <c r="BS711" s="23"/>
      <c r="BT711" s="23"/>
      <c r="BU711" s="23"/>
      <c r="BV711" s="23"/>
      <c r="BW711" s="23"/>
      <c r="BX711" s="23"/>
      <c r="BY711" s="23"/>
      <c r="BZ711" s="23"/>
      <c r="CA711" s="23"/>
      <c r="CB711" s="23"/>
      <c r="CC711" s="23"/>
      <c r="CD711" s="23"/>
      <c r="CE711" s="23"/>
      <c r="CF711" s="23"/>
      <c r="CG711" s="23"/>
      <c r="CH711" s="23"/>
      <c r="CI711" s="23"/>
      <c r="CJ711" s="23"/>
      <c r="CK711" s="23"/>
      <c r="CL711" s="23"/>
      <c r="CO711" s="30"/>
    </row>
    <row r="712" spans="27:93" ht="12.75" x14ac:dyDescent="0.2"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  <c r="BB712" s="23"/>
      <c r="BC712" s="23"/>
      <c r="BD712" s="23"/>
      <c r="BE712" s="23"/>
      <c r="BF712" s="23"/>
      <c r="BG712" s="23"/>
      <c r="BH712" s="23"/>
      <c r="BI712" s="23"/>
      <c r="BJ712" s="23"/>
      <c r="BK712" s="23"/>
      <c r="BL712" s="23"/>
      <c r="BM712" s="23"/>
      <c r="BN712" s="23"/>
      <c r="BO712" s="23"/>
      <c r="BP712" s="23"/>
      <c r="BQ712" s="23"/>
      <c r="BR712" s="23"/>
      <c r="BS712" s="23"/>
      <c r="BT712" s="23"/>
      <c r="BU712" s="23"/>
      <c r="BV712" s="23"/>
      <c r="BW712" s="23"/>
      <c r="BX712" s="23"/>
      <c r="BY712" s="23"/>
      <c r="BZ712" s="23"/>
      <c r="CA712" s="23"/>
      <c r="CB712" s="23"/>
      <c r="CC712" s="23"/>
      <c r="CD712" s="23"/>
      <c r="CE712" s="23"/>
      <c r="CF712" s="23"/>
      <c r="CG712" s="23"/>
      <c r="CH712" s="23"/>
      <c r="CI712" s="23"/>
      <c r="CJ712" s="23"/>
      <c r="CK712" s="23"/>
      <c r="CL712" s="23"/>
      <c r="CO712" s="30"/>
    </row>
    <row r="713" spans="27:93" ht="12.75" x14ac:dyDescent="0.2"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  <c r="BD713" s="23"/>
      <c r="BE713" s="23"/>
      <c r="BF713" s="23"/>
      <c r="BG713" s="23"/>
      <c r="BH713" s="23"/>
      <c r="BI713" s="23"/>
      <c r="BJ713" s="23"/>
      <c r="BK713" s="23"/>
      <c r="BL713" s="23"/>
      <c r="BM713" s="23"/>
      <c r="BN713" s="23"/>
      <c r="BO713" s="23"/>
      <c r="BP713" s="23"/>
      <c r="BQ713" s="23"/>
      <c r="BR713" s="23"/>
      <c r="BS713" s="23"/>
      <c r="BT713" s="23"/>
      <c r="BU713" s="23"/>
      <c r="BV713" s="23"/>
      <c r="BW713" s="23"/>
      <c r="BX713" s="23"/>
      <c r="BY713" s="23"/>
      <c r="BZ713" s="23"/>
      <c r="CA713" s="23"/>
      <c r="CB713" s="23"/>
      <c r="CC713" s="23"/>
      <c r="CD713" s="23"/>
      <c r="CE713" s="23"/>
      <c r="CF713" s="23"/>
      <c r="CG713" s="23"/>
      <c r="CH713" s="23"/>
      <c r="CI713" s="23"/>
      <c r="CJ713" s="23"/>
      <c r="CK713" s="23"/>
      <c r="CL713" s="23"/>
      <c r="CO713" s="30"/>
    </row>
    <row r="714" spans="27:93" ht="12.75" x14ac:dyDescent="0.2"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  <c r="BD714" s="23"/>
      <c r="BE714" s="23"/>
      <c r="BF714" s="23"/>
      <c r="BG714" s="23"/>
      <c r="BH714" s="23"/>
      <c r="BI714" s="23"/>
      <c r="BJ714" s="23"/>
      <c r="BK714" s="23"/>
      <c r="BL714" s="23"/>
      <c r="BM714" s="23"/>
      <c r="BN714" s="23"/>
      <c r="BO714" s="23"/>
      <c r="BP714" s="23"/>
      <c r="BQ714" s="23"/>
      <c r="BR714" s="23"/>
      <c r="BS714" s="23"/>
      <c r="BT714" s="23"/>
      <c r="BU714" s="23"/>
      <c r="BV714" s="23"/>
      <c r="BW714" s="23"/>
      <c r="BX714" s="23"/>
      <c r="BY714" s="23"/>
      <c r="BZ714" s="23"/>
      <c r="CA714" s="23"/>
      <c r="CB714" s="23"/>
      <c r="CC714" s="23"/>
      <c r="CD714" s="23"/>
      <c r="CE714" s="23"/>
      <c r="CF714" s="23"/>
      <c r="CG714" s="23"/>
      <c r="CH714" s="23"/>
      <c r="CI714" s="23"/>
      <c r="CJ714" s="23"/>
      <c r="CK714" s="23"/>
      <c r="CL714" s="23"/>
      <c r="CO714" s="30"/>
    </row>
    <row r="715" spans="27:93" ht="12.75" x14ac:dyDescent="0.2"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  <c r="BF715" s="23"/>
      <c r="BG715" s="23"/>
      <c r="BH715" s="23"/>
      <c r="BI715" s="23"/>
      <c r="BJ715" s="23"/>
      <c r="BK715" s="23"/>
      <c r="BL715" s="23"/>
      <c r="BM715" s="23"/>
      <c r="BN715" s="23"/>
      <c r="BO715" s="23"/>
      <c r="BP715" s="23"/>
      <c r="BQ715" s="23"/>
      <c r="BR715" s="23"/>
      <c r="BS715" s="23"/>
      <c r="BT715" s="23"/>
      <c r="BU715" s="23"/>
      <c r="BV715" s="23"/>
      <c r="BW715" s="23"/>
      <c r="BX715" s="23"/>
      <c r="BY715" s="23"/>
      <c r="BZ715" s="23"/>
      <c r="CA715" s="23"/>
      <c r="CB715" s="23"/>
      <c r="CC715" s="23"/>
      <c r="CD715" s="23"/>
      <c r="CE715" s="23"/>
      <c r="CF715" s="23"/>
      <c r="CG715" s="23"/>
      <c r="CH715" s="23"/>
      <c r="CI715" s="23"/>
      <c r="CJ715" s="23"/>
      <c r="CK715" s="23"/>
      <c r="CL715" s="23"/>
      <c r="CO715" s="30"/>
    </row>
    <row r="716" spans="27:93" ht="12.75" x14ac:dyDescent="0.2"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s="23"/>
      <c r="BC716" s="23"/>
      <c r="BD716" s="23"/>
      <c r="BE716" s="23"/>
      <c r="BF716" s="23"/>
      <c r="BG716" s="23"/>
      <c r="BH716" s="23"/>
      <c r="BI716" s="23"/>
      <c r="BJ716" s="23"/>
      <c r="BK716" s="23"/>
      <c r="BL716" s="23"/>
      <c r="BM716" s="23"/>
      <c r="BN716" s="23"/>
      <c r="BO716" s="23"/>
      <c r="BP716" s="23"/>
      <c r="BQ716" s="23"/>
      <c r="BR716" s="23"/>
      <c r="BS716" s="23"/>
      <c r="BT716" s="23"/>
      <c r="BU716" s="23"/>
      <c r="BV716" s="23"/>
      <c r="BW716" s="23"/>
      <c r="BX716" s="23"/>
      <c r="BY716" s="23"/>
      <c r="BZ716" s="23"/>
      <c r="CA716" s="23"/>
      <c r="CB716" s="23"/>
      <c r="CC716" s="23"/>
      <c r="CD716" s="23"/>
      <c r="CE716" s="23"/>
      <c r="CF716" s="23"/>
      <c r="CG716" s="23"/>
      <c r="CH716" s="23"/>
      <c r="CI716" s="23"/>
      <c r="CJ716" s="23"/>
      <c r="CK716" s="23"/>
      <c r="CL716" s="23"/>
      <c r="CO716" s="30"/>
    </row>
    <row r="717" spans="27:93" ht="12.75" x14ac:dyDescent="0.2"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  <c r="BH717" s="23"/>
      <c r="BI717" s="23"/>
      <c r="BJ717" s="23"/>
      <c r="BK717" s="23"/>
      <c r="BL717" s="23"/>
      <c r="BM717" s="23"/>
      <c r="BN717" s="23"/>
      <c r="BO717" s="23"/>
      <c r="BP717" s="23"/>
      <c r="BQ717" s="23"/>
      <c r="BR717" s="23"/>
      <c r="BS717" s="23"/>
      <c r="BT717" s="23"/>
      <c r="BU717" s="23"/>
      <c r="BV717" s="23"/>
      <c r="BW717" s="23"/>
      <c r="BX717" s="23"/>
      <c r="BY717" s="23"/>
      <c r="BZ717" s="23"/>
      <c r="CA717" s="23"/>
      <c r="CB717" s="23"/>
      <c r="CC717" s="23"/>
      <c r="CD717" s="23"/>
      <c r="CE717" s="23"/>
      <c r="CF717" s="23"/>
      <c r="CG717" s="23"/>
      <c r="CH717" s="23"/>
      <c r="CI717" s="23"/>
      <c r="CJ717" s="23"/>
      <c r="CK717" s="23"/>
      <c r="CL717" s="23"/>
      <c r="CO717" s="30"/>
    </row>
    <row r="718" spans="27:93" ht="12.75" x14ac:dyDescent="0.2"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  <c r="BH718" s="23"/>
      <c r="BI718" s="23"/>
      <c r="BJ718" s="23"/>
      <c r="BK718" s="23"/>
      <c r="BL718" s="23"/>
      <c r="BM718" s="23"/>
      <c r="BN718" s="23"/>
      <c r="BO718" s="23"/>
      <c r="BP718" s="23"/>
      <c r="BQ718" s="23"/>
      <c r="BR718" s="23"/>
      <c r="BS718" s="23"/>
      <c r="BT718" s="23"/>
      <c r="BU718" s="23"/>
      <c r="BV718" s="23"/>
      <c r="BW718" s="23"/>
      <c r="BX718" s="23"/>
      <c r="BY718" s="23"/>
      <c r="BZ718" s="23"/>
      <c r="CA718" s="23"/>
      <c r="CB718" s="23"/>
      <c r="CC718" s="23"/>
      <c r="CD718" s="23"/>
      <c r="CE718" s="23"/>
      <c r="CF718" s="23"/>
      <c r="CG718" s="23"/>
      <c r="CH718" s="23"/>
      <c r="CI718" s="23"/>
      <c r="CJ718" s="23"/>
      <c r="CK718" s="23"/>
      <c r="CL718" s="23"/>
      <c r="CO718" s="30"/>
    </row>
    <row r="719" spans="27:93" ht="12.75" x14ac:dyDescent="0.2"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  <c r="BD719" s="23"/>
      <c r="BE719" s="23"/>
      <c r="BF719" s="23"/>
      <c r="BG719" s="23"/>
      <c r="BH719" s="23"/>
      <c r="BI719" s="23"/>
      <c r="BJ719" s="23"/>
      <c r="BK719" s="23"/>
      <c r="BL719" s="23"/>
      <c r="BM719" s="23"/>
      <c r="BN719" s="23"/>
      <c r="BO719" s="23"/>
      <c r="BP719" s="23"/>
      <c r="BQ719" s="23"/>
      <c r="BR719" s="23"/>
      <c r="BS719" s="23"/>
      <c r="BT719" s="23"/>
      <c r="BU719" s="23"/>
      <c r="BV719" s="23"/>
      <c r="BW719" s="23"/>
      <c r="BX719" s="23"/>
      <c r="BY719" s="23"/>
      <c r="BZ719" s="23"/>
      <c r="CA719" s="23"/>
      <c r="CB719" s="23"/>
      <c r="CC719" s="23"/>
      <c r="CD719" s="23"/>
      <c r="CE719" s="23"/>
      <c r="CF719" s="23"/>
      <c r="CG719" s="23"/>
      <c r="CH719" s="23"/>
      <c r="CI719" s="23"/>
      <c r="CJ719" s="23"/>
      <c r="CK719" s="23"/>
      <c r="CL719" s="23"/>
      <c r="CO719" s="30"/>
    </row>
    <row r="720" spans="27:93" ht="12.75" x14ac:dyDescent="0.2"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  <c r="BB720" s="23"/>
      <c r="BC720" s="23"/>
      <c r="BD720" s="23"/>
      <c r="BE720" s="23"/>
      <c r="BF720" s="23"/>
      <c r="BG720" s="23"/>
      <c r="BH720" s="23"/>
      <c r="BI720" s="23"/>
      <c r="BJ720" s="23"/>
      <c r="BK720" s="23"/>
      <c r="BL720" s="23"/>
      <c r="BM720" s="23"/>
      <c r="BN720" s="23"/>
      <c r="BO720" s="23"/>
      <c r="BP720" s="23"/>
      <c r="BQ720" s="23"/>
      <c r="BR720" s="23"/>
      <c r="BS720" s="23"/>
      <c r="BT720" s="23"/>
      <c r="BU720" s="23"/>
      <c r="BV720" s="23"/>
      <c r="BW720" s="23"/>
      <c r="BX720" s="23"/>
      <c r="BY720" s="23"/>
      <c r="BZ720" s="23"/>
      <c r="CA720" s="23"/>
      <c r="CB720" s="23"/>
      <c r="CC720" s="23"/>
      <c r="CD720" s="23"/>
      <c r="CE720" s="23"/>
      <c r="CF720" s="23"/>
      <c r="CG720" s="23"/>
      <c r="CH720" s="23"/>
      <c r="CI720" s="23"/>
      <c r="CJ720" s="23"/>
      <c r="CK720" s="23"/>
      <c r="CL720" s="23"/>
      <c r="CO720" s="30"/>
    </row>
    <row r="721" spans="27:93" ht="12.75" x14ac:dyDescent="0.2"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  <c r="BD721" s="23"/>
      <c r="BE721" s="23"/>
      <c r="BF721" s="23"/>
      <c r="BG721" s="23"/>
      <c r="BH721" s="23"/>
      <c r="BI721" s="23"/>
      <c r="BJ721" s="23"/>
      <c r="BK721" s="23"/>
      <c r="BL721" s="23"/>
      <c r="BM721" s="23"/>
      <c r="BN721" s="23"/>
      <c r="BO721" s="23"/>
      <c r="BP721" s="23"/>
      <c r="BQ721" s="23"/>
      <c r="BR721" s="23"/>
      <c r="BS721" s="23"/>
      <c r="BT721" s="23"/>
      <c r="BU721" s="23"/>
      <c r="BV721" s="23"/>
      <c r="BW721" s="23"/>
      <c r="BX721" s="23"/>
      <c r="BY721" s="23"/>
      <c r="BZ721" s="23"/>
      <c r="CA721" s="23"/>
      <c r="CB721" s="23"/>
      <c r="CC721" s="23"/>
      <c r="CD721" s="23"/>
      <c r="CE721" s="23"/>
      <c r="CF721" s="23"/>
      <c r="CG721" s="23"/>
      <c r="CH721" s="23"/>
      <c r="CI721" s="23"/>
      <c r="CJ721" s="23"/>
      <c r="CK721" s="23"/>
      <c r="CL721" s="23"/>
      <c r="CO721" s="30"/>
    </row>
    <row r="722" spans="27:93" ht="12.75" x14ac:dyDescent="0.2"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  <c r="BB722" s="23"/>
      <c r="BC722" s="23"/>
      <c r="BD722" s="23"/>
      <c r="BE722" s="23"/>
      <c r="BF722" s="23"/>
      <c r="BG722" s="23"/>
      <c r="BH722" s="23"/>
      <c r="BI722" s="23"/>
      <c r="BJ722" s="23"/>
      <c r="BK722" s="23"/>
      <c r="BL722" s="23"/>
      <c r="BM722" s="23"/>
      <c r="BN722" s="23"/>
      <c r="BO722" s="23"/>
      <c r="BP722" s="23"/>
      <c r="BQ722" s="23"/>
      <c r="BR722" s="23"/>
      <c r="BS722" s="23"/>
      <c r="BT722" s="23"/>
      <c r="BU722" s="23"/>
      <c r="BV722" s="23"/>
      <c r="BW722" s="23"/>
      <c r="BX722" s="23"/>
      <c r="BY722" s="23"/>
      <c r="BZ722" s="23"/>
      <c r="CA722" s="23"/>
      <c r="CB722" s="23"/>
      <c r="CC722" s="23"/>
      <c r="CD722" s="23"/>
      <c r="CE722" s="23"/>
      <c r="CF722" s="23"/>
      <c r="CG722" s="23"/>
      <c r="CH722" s="23"/>
      <c r="CI722" s="23"/>
      <c r="CJ722" s="23"/>
      <c r="CK722" s="23"/>
      <c r="CL722" s="23"/>
      <c r="CO722" s="30"/>
    </row>
    <row r="723" spans="27:93" ht="12.75" x14ac:dyDescent="0.2"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  <c r="BD723" s="23"/>
      <c r="BE723" s="23"/>
      <c r="BF723" s="23"/>
      <c r="BG723" s="23"/>
      <c r="BH723" s="23"/>
      <c r="BI723" s="23"/>
      <c r="BJ723" s="23"/>
      <c r="BK723" s="23"/>
      <c r="BL723" s="23"/>
      <c r="BM723" s="23"/>
      <c r="BN723" s="23"/>
      <c r="BO723" s="23"/>
      <c r="BP723" s="23"/>
      <c r="BQ723" s="23"/>
      <c r="BR723" s="23"/>
      <c r="BS723" s="23"/>
      <c r="BT723" s="23"/>
      <c r="BU723" s="23"/>
      <c r="BV723" s="23"/>
      <c r="BW723" s="23"/>
      <c r="BX723" s="23"/>
      <c r="BY723" s="23"/>
      <c r="BZ723" s="23"/>
      <c r="CA723" s="23"/>
      <c r="CB723" s="23"/>
      <c r="CC723" s="23"/>
      <c r="CD723" s="23"/>
      <c r="CE723" s="23"/>
      <c r="CF723" s="23"/>
      <c r="CG723" s="23"/>
      <c r="CH723" s="23"/>
      <c r="CI723" s="23"/>
      <c r="CJ723" s="23"/>
      <c r="CK723" s="23"/>
      <c r="CL723" s="23"/>
      <c r="CO723" s="30"/>
    </row>
    <row r="724" spans="27:93" ht="12.75" x14ac:dyDescent="0.2"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  <c r="BE724" s="23"/>
      <c r="BF724" s="23"/>
      <c r="BG724" s="23"/>
      <c r="BH724" s="23"/>
      <c r="BI724" s="23"/>
      <c r="BJ724" s="23"/>
      <c r="BK724" s="23"/>
      <c r="BL724" s="23"/>
      <c r="BM724" s="23"/>
      <c r="BN724" s="23"/>
      <c r="BO724" s="23"/>
      <c r="BP724" s="23"/>
      <c r="BQ724" s="23"/>
      <c r="BR724" s="23"/>
      <c r="BS724" s="23"/>
      <c r="BT724" s="23"/>
      <c r="BU724" s="23"/>
      <c r="BV724" s="23"/>
      <c r="BW724" s="23"/>
      <c r="BX724" s="23"/>
      <c r="BY724" s="23"/>
      <c r="BZ724" s="23"/>
      <c r="CA724" s="23"/>
      <c r="CB724" s="23"/>
      <c r="CC724" s="23"/>
      <c r="CD724" s="23"/>
      <c r="CE724" s="23"/>
      <c r="CF724" s="23"/>
      <c r="CG724" s="23"/>
      <c r="CH724" s="23"/>
      <c r="CI724" s="23"/>
      <c r="CJ724" s="23"/>
      <c r="CK724" s="23"/>
      <c r="CL724" s="23"/>
      <c r="CO724" s="30"/>
    </row>
    <row r="725" spans="27:93" ht="12.75" x14ac:dyDescent="0.2"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  <c r="BD725" s="23"/>
      <c r="BE725" s="23"/>
      <c r="BF725" s="23"/>
      <c r="BG725" s="23"/>
      <c r="BH725" s="23"/>
      <c r="BI725" s="23"/>
      <c r="BJ725" s="23"/>
      <c r="BK725" s="23"/>
      <c r="BL725" s="23"/>
      <c r="BM725" s="23"/>
      <c r="BN725" s="23"/>
      <c r="BO725" s="23"/>
      <c r="BP725" s="23"/>
      <c r="BQ725" s="23"/>
      <c r="BR725" s="23"/>
      <c r="BS725" s="23"/>
      <c r="BT725" s="23"/>
      <c r="BU725" s="23"/>
      <c r="BV725" s="23"/>
      <c r="BW725" s="23"/>
      <c r="BX725" s="23"/>
      <c r="BY725" s="23"/>
      <c r="BZ725" s="23"/>
      <c r="CA725" s="23"/>
      <c r="CB725" s="23"/>
      <c r="CC725" s="23"/>
      <c r="CD725" s="23"/>
      <c r="CE725" s="23"/>
      <c r="CF725" s="23"/>
      <c r="CG725" s="23"/>
      <c r="CH725" s="23"/>
      <c r="CI725" s="23"/>
      <c r="CJ725" s="23"/>
      <c r="CK725" s="23"/>
      <c r="CL725" s="23"/>
      <c r="CO725" s="30"/>
    </row>
    <row r="726" spans="27:93" ht="12.75" x14ac:dyDescent="0.2"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  <c r="BB726" s="23"/>
      <c r="BC726" s="23"/>
      <c r="BD726" s="23"/>
      <c r="BE726" s="23"/>
      <c r="BF726" s="23"/>
      <c r="BG726" s="23"/>
      <c r="BH726" s="23"/>
      <c r="BI726" s="23"/>
      <c r="BJ726" s="23"/>
      <c r="BK726" s="23"/>
      <c r="BL726" s="23"/>
      <c r="BM726" s="23"/>
      <c r="BN726" s="23"/>
      <c r="BO726" s="23"/>
      <c r="BP726" s="23"/>
      <c r="BQ726" s="23"/>
      <c r="BR726" s="23"/>
      <c r="BS726" s="23"/>
      <c r="BT726" s="23"/>
      <c r="BU726" s="23"/>
      <c r="BV726" s="23"/>
      <c r="BW726" s="23"/>
      <c r="BX726" s="23"/>
      <c r="BY726" s="23"/>
      <c r="BZ726" s="23"/>
      <c r="CA726" s="23"/>
      <c r="CB726" s="23"/>
      <c r="CC726" s="23"/>
      <c r="CD726" s="23"/>
      <c r="CE726" s="23"/>
      <c r="CF726" s="23"/>
      <c r="CG726" s="23"/>
      <c r="CH726" s="23"/>
      <c r="CI726" s="23"/>
      <c r="CJ726" s="23"/>
      <c r="CK726" s="23"/>
      <c r="CL726" s="23"/>
      <c r="CO726" s="30"/>
    </row>
    <row r="727" spans="27:93" ht="12.75" x14ac:dyDescent="0.2"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3"/>
      <c r="BC727" s="23"/>
      <c r="BD727" s="23"/>
      <c r="BE727" s="23"/>
      <c r="BF727" s="23"/>
      <c r="BG727" s="23"/>
      <c r="BH727" s="23"/>
      <c r="BI727" s="23"/>
      <c r="BJ727" s="23"/>
      <c r="BK727" s="23"/>
      <c r="BL727" s="23"/>
      <c r="BM727" s="23"/>
      <c r="BN727" s="23"/>
      <c r="BO727" s="23"/>
      <c r="BP727" s="23"/>
      <c r="BQ727" s="23"/>
      <c r="BR727" s="23"/>
      <c r="BS727" s="23"/>
      <c r="BT727" s="23"/>
      <c r="BU727" s="23"/>
      <c r="BV727" s="23"/>
      <c r="BW727" s="23"/>
      <c r="BX727" s="23"/>
      <c r="BY727" s="23"/>
      <c r="BZ727" s="23"/>
      <c r="CA727" s="23"/>
      <c r="CB727" s="23"/>
      <c r="CC727" s="23"/>
      <c r="CD727" s="23"/>
      <c r="CE727" s="23"/>
      <c r="CF727" s="23"/>
      <c r="CG727" s="23"/>
      <c r="CH727" s="23"/>
      <c r="CI727" s="23"/>
      <c r="CJ727" s="23"/>
      <c r="CK727" s="23"/>
      <c r="CL727" s="23"/>
      <c r="CO727" s="30"/>
    </row>
    <row r="728" spans="27:93" ht="12.75" x14ac:dyDescent="0.2"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  <c r="BB728" s="23"/>
      <c r="BC728" s="23"/>
      <c r="BD728" s="23"/>
      <c r="BE728" s="23"/>
      <c r="BF728" s="23"/>
      <c r="BG728" s="23"/>
      <c r="BH728" s="23"/>
      <c r="BI728" s="23"/>
      <c r="BJ728" s="23"/>
      <c r="BK728" s="23"/>
      <c r="BL728" s="23"/>
      <c r="BM728" s="23"/>
      <c r="BN728" s="23"/>
      <c r="BO728" s="23"/>
      <c r="BP728" s="23"/>
      <c r="BQ728" s="23"/>
      <c r="BR728" s="23"/>
      <c r="BS728" s="23"/>
      <c r="BT728" s="23"/>
      <c r="BU728" s="23"/>
      <c r="BV728" s="23"/>
      <c r="BW728" s="23"/>
      <c r="BX728" s="23"/>
      <c r="BY728" s="23"/>
      <c r="BZ728" s="23"/>
      <c r="CA728" s="23"/>
      <c r="CB728" s="23"/>
      <c r="CC728" s="23"/>
      <c r="CD728" s="23"/>
      <c r="CE728" s="23"/>
      <c r="CF728" s="23"/>
      <c r="CG728" s="23"/>
      <c r="CH728" s="23"/>
      <c r="CI728" s="23"/>
      <c r="CJ728" s="23"/>
      <c r="CK728" s="23"/>
      <c r="CL728" s="23"/>
      <c r="CO728" s="30"/>
    </row>
    <row r="729" spans="27:93" ht="12.75" x14ac:dyDescent="0.2"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  <c r="BD729" s="23"/>
      <c r="BE729" s="23"/>
      <c r="BF729" s="23"/>
      <c r="BG729" s="23"/>
      <c r="BH729" s="23"/>
      <c r="BI729" s="23"/>
      <c r="BJ729" s="23"/>
      <c r="BK729" s="23"/>
      <c r="BL729" s="23"/>
      <c r="BM729" s="23"/>
      <c r="BN729" s="23"/>
      <c r="BO729" s="23"/>
      <c r="BP729" s="23"/>
      <c r="BQ729" s="23"/>
      <c r="BR729" s="23"/>
      <c r="BS729" s="23"/>
      <c r="BT729" s="23"/>
      <c r="BU729" s="23"/>
      <c r="BV729" s="23"/>
      <c r="BW729" s="23"/>
      <c r="BX729" s="23"/>
      <c r="BY729" s="23"/>
      <c r="BZ729" s="23"/>
      <c r="CA729" s="23"/>
      <c r="CB729" s="23"/>
      <c r="CC729" s="23"/>
      <c r="CD729" s="23"/>
      <c r="CE729" s="23"/>
      <c r="CF729" s="23"/>
      <c r="CG729" s="23"/>
      <c r="CH729" s="23"/>
      <c r="CI729" s="23"/>
      <c r="CJ729" s="23"/>
      <c r="CK729" s="23"/>
      <c r="CL729" s="23"/>
      <c r="CO729" s="30"/>
    </row>
    <row r="730" spans="27:93" ht="12.75" x14ac:dyDescent="0.2"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  <c r="BB730" s="23"/>
      <c r="BC730" s="23"/>
      <c r="BD730" s="23"/>
      <c r="BE730" s="23"/>
      <c r="BF730" s="23"/>
      <c r="BG730" s="23"/>
      <c r="BH730" s="23"/>
      <c r="BI730" s="23"/>
      <c r="BJ730" s="23"/>
      <c r="BK730" s="23"/>
      <c r="BL730" s="23"/>
      <c r="BM730" s="23"/>
      <c r="BN730" s="23"/>
      <c r="BO730" s="23"/>
      <c r="BP730" s="23"/>
      <c r="BQ730" s="23"/>
      <c r="BR730" s="23"/>
      <c r="BS730" s="23"/>
      <c r="BT730" s="23"/>
      <c r="BU730" s="23"/>
      <c r="BV730" s="23"/>
      <c r="BW730" s="23"/>
      <c r="BX730" s="23"/>
      <c r="BY730" s="23"/>
      <c r="BZ730" s="23"/>
      <c r="CA730" s="23"/>
      <c r="CB730" s="23"/>
      <c r="CC730" s="23"/>
      <c r="CD730" s="23"/>
      <c r="CE730" s="23"/>
      <c r="CF730" s="23"/>
      <c r="CG730" s="23"/>
      <c r="CH730" s="23"/>
      <c r="CI730" s="23"/>
      <c r="CJ730" s="23"/>
      <c r="CK730" s="23"/>
      <c r="CL730" s="23"/>
      <c r="CO730" s="30"/>
    </row>
    <row r="731" spans="27:93" ht="12.75" x14ac:dyDescent="0.2"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  <c r="BE731" s="23"/>
      <c r="BF731" s="23"/>
      <c r="BG731" s="23"/>
      <c r="BH731" s="23"/>
      <c r="BI731" s="23"/>
      <c r="BJ731" s="23"/>
      <c r="BK731" s="23"/>
      <c r="BL731" s="23"/>
      <c r="BM731" s="23"/>
      <c r="BN731" s="23"/>
      <c r="BO731" s="23"/>
      <c r="BP731" s="23"/>
      <c r="BQ731" s="23"/>
      <c r="BR731" s="23"/>
      <c r="BS731" s="23"/>
      <c r="BT731" s="23"/>
      <c r="BU731" s="23"/>
      <c r="BV731" s="23"/>
      <c r="BW731" s="23"/>
      <c r="BX731" s="23"/>
      <c r="BY731" s="23"/>
      <c r="BZ731" s="23"/>
      <c r="CA731" s="23"/>
      <c r="CB731" s="23"/>
      <c r="CC731" s="23"/>
      <c r="CD731" s="23"/>
      <c r="CE731" s="23"/>
      <c r="CF731" s="23"/>
      <c r="CG731" s="23"/>
      <c r="CH731" s="23"/>
      <c r="CI731" s="23"/>
      <c r="CJ731" s="23"/>
      <c r="CK731" s="23"/>
      <c r="CL731" s="23"/>
      <c r="CO731" s="30"/>
    </row>
    <row r="732" spans="27:93" ht="12.75" x14ac:dyDescent="0.2"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  <c r="BD732" s="23"/>
      <c r="BE732" s="23"/>
      <c r="BF732" s="23"/>
      <c r="BG732" s="23"/>
      <c r="BH732" s="23"/>
      <c r="BI732" s="23"/>
      <c r="BJ732" s="23"/>
      <c r="BK732" s="23"/>
      <c r="BL732" s="23"/>
      <c r="BM732" s="23"/>
      <c r="BN732" s="23"/>
      <c r="BO732" s="23"/>
      <c r="BP732" s="23"/>
      <c r="BQ732" s="23"/>
      <c r="BR732" s="23"/>
      <c r="BS732" s="23"/>
      <c r="BT732" s="23"/>
      <c r="BU732" s="23"/>
      <c r="BV732" s="23"/>
      <c r="BW732" s="23"/>
      <c r="BX732" s="23"/>
      <c r="BY732" s="23"/>
      <c r="BZ732" s="23"/>
      <c r="CA732" s="23"/>
      <c r="CB732" s="23"/>
      <c r="CC732" s="23"/>
      <c r="CD732" s="23"/>
      <c r="CE732" s="23"/>
      <c r="CF732" s="23"/>
      <c r="CG732" s="23"/>
      <c r="CH732" s="23"/>
      <c r="CI732" s="23"/>
      <c r="CJ732" s="23"/>
      <c r="CK732" s="23"/>
      <c r="CL732" s="23"/>
      <c r="CO732" s="30"/>
    </row>
    <row r="733" spans="27:93" ht="12.75" x14ac:dyDescent="0.2"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  <c r="BF733" s="23"/>
      <c r="BG733" s="23"/>
      <c r="BH733" s="23"/>
      <c r="BI733" s="23"/>
      <c r="BJ733" s="23"/>
      <c r="BK733" s="23"/>
      <c r="BL733" s="23"/>
      <c r="BM733" s="23"/>
      <c r="BN733" s="23"/>
      <c r="BO733" s="23"/>
      <c r="BP733" s="23"/>
      <c r="BQ733" s="23"/>
      <c r="BR733" s="23"/>
      <c r="BS733" s="23"/>
      <c r="BT733" s="23"/>
      <c r="BU733" s="23"/>
      <c r="BV733" s="23"/>
      <c r="BW733" s="23"/>
      <c r="BX733" s="23"/>
      <c r="BY733" s="23"/>
      <c r="BZ733" s="23"/>
      <c r="CA733" s="23"/>
      <c r="CB733" s="23"/>
      <c r="CC733" s="23"/>
      <c r="CD733" s="23"/>
      <c r="CE733" s="23"/>
      <c r="CF733" s="23"/>
      <c r="CG733" s="23"/>
      <c r="CH733" s="23"/>
      <c r="CI733" s="23"/>
      <c r="CJ733" s="23"/>
      <c r="CK733" s="23"/>
      <c r="CL733" s="23"/>
      <c r="CO733" s="30"/>
    </row>
    <row r="734" spans="27:93" ht="12.75" x14ac:dyDescent="0.2"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  <c r="BB734" s="23"/>
      <c r="BC734" s="23"/>
      <c r="BD734" s="23"/>
      <c r="BE734" s="23"/>
      <c r="BF734" s="23"/>
      <c r="BG734" s="23"/>
      <c r="BH734" s="23"/>
      <c r="BI734" s="23"/>
      <c r="BJ734" s="23"/>
      <c r="BK734" s="23"/>
      <c r="BL734" s="23"/>
      <c r="BM734" s="23"/>
      <c r="BN734" s="23"/>
      <c r="BO734" s="23"/>
      <c r="BP734" s="23"/>
      <c r="BQ734" s="23"/>
      <c r="BR734" s="23"/>
      <c r="BS734" s="23"/>
      <c r="BT734" s="23"/>
      <c r="BU734" s="23"/>
      <c r="BV734" s="23"/>
      <c r="BW734" s="23"/>
      <c r="BX734" s="23"/>
      <c r="BY734" s="23"/>
      <c r="BZ734" s="23"/>
      <c r="CA734" s="23"/>
      <c r="CB734" s="23"/>
      <c r="CC734" s="23"/>
      <c r="CD734" s="23"/>
      <c r="CE734" s="23"/>
      <c r="CF734" s="23"/>
      <c r="CG734" s="23"/>
      <c r="CH734" s="23"/>
      <c r="CI734" s="23"/>
      <c r="CJ734" s="23"/>
      <c r="CK734" s="23"/>
      <c r="CL734" s="23"/>
      <c r="CO734" s="30"/>
    </row>
    <row r="735" spans="27:93" ht="12.75" x14ac:dyDescent="0.2"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  <c r="BD735" s="23"/>
      <c r="BE735" s="23"/>
      <c r="BF735" s="23"/>
      <c r="BG735" s="23"/>
      <c r="BH735" s="23"/>
      <c r="BI735" s="23"/>
      <c r="BJ735" s="23"/>
      <c r="BK735" s="23"/>
      <c r="BL735" s="23"/>
      <c r="BM735" s="23"/>
      <c r="BN735" s="23"/>
      <c r="BO735" s="23"/>
      <c r="BP735" s="23"/>
      <c r="BQ735" s="23"/>
      <c r="BR735" s="23"/>
      <c r="BS735" s="23"/>
      <c r="BT735" s="23"/>
      <c r="BU735" s="23"/>
      <c r="BV735" s="23"/>
      <c r="BW735" s="23"/>
      <c r="BX735" s="23"/>
      <c r="BY735" s="23"/>
      <c r="BZ735" s="23"/>
      <c r="CA735" s="23"/>
      <c r="CB735" s="23"/>
      <c r="CC735" s="23"/>
      <c r="CD735" s="23"/>
      <c r="CE735" s="23"/>
      <c r="CF735" s="23"/>
      <c r="CG735" s="23"/>
      <c r="CH735" s="23"/>
      <c r="CI735" s="23"/>
      <c r="CJ735" s="23"/>
      <c r="CK735" s="23"/>
      <c r="CL735" s="23"/>
      <c r="CO735" s="30"/>
    </row>
    <row r="736" spans="27:93" ht="12.75" x14ac:dyDescent="0.2"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  <c r="BB736" s="23"/>
      <c r="BC736" s="23"/>
      <c r="BD736" s="23"/>
      <c r="BE736" s="23"/>
      <c r="BF736" s="23"/>
      <c r="BG736" s="23"/>
      <c r="BH736" s="23"/>
      <c r="BI736" s="23"/>
      <c r="BJ736" s="23"/>
      <c r="BK736" s="23"/>
      <c r="BL736" s="23"/>
      <c r="BM736" s="23"/>
      <c r="BN736" s="23"/>
      <c r="BO736" s="23"/>
      <c r="BP736" s="23"/>
      <c r="BQ736" s="23"/>
      <c r="BR736" s="23"/>
      <c r="BS736" s="23"/>
      <c r="BT736" s="23"/>
      <c r="BU736" s="23"/>
      <c r="BV736" s="23"/>
      <c r="BW736" s="23"/>
      <c r="BX736" s="23"/>
      <c r="BY736" s="23"/>
      <c r="BZ736" s="23"/>
      <c r="CA736" s="23"/>
      <c r="CB736" s="23"/>
      <c r="CC736" s="23"/>
      <c r="CD736" s="23"/>
      <c r="CE736" s="23"/>
      <c r="CF736" s="23"/>
      <c r="CG736" s="23"/>
      <c r="CH736" s="23"/>
      <c r="CI736" s="23"/>
      <c r="CJ736" s="23"/>
      <c r="CK736" s="23"/>
      <c r="CL736" s="23"/>
      <c r="CO736" s="30"/>
    </row>
    <row r="737" spans="27:93" ht="12.75" x14ac:dyDescent="0.2"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  <c r="BD737" s="23"/>
      <c r="BE737" s="23"/>
      <c r="BF737" s="23"/>
      <c r="BG737" s="23"/>
      <c r="BH737" s="23"/>
      <c r="BI737" s="23"/>
      <c r="BJ737" s="23"/>
      <c r="BK737" s="23"/>
      <c r="BL737" s="23"/>
      <c r="BM737" s="23"/>
      <c r="BN737" s="23"/>
      <c r="BO737" s="23"/>
      <c r="BP737" s="23"/>
      <c r="BQ737" s="23"/>
      <c r="BR737" s="23"/>
      <c r="BS737" s="23"/>
      <c r="BT737" s="23"/>
      <c r="BU737" s="23"/>
      <c r="BV737" s="23"/>
      <c r="BW737" s="23"/>
      <c r="BX737" s="23"/>
      <c r="BY737" s="23"/>
      <c r="BZ737" s="23"/>
      <c r="CA737" s="23"/>
      <c r="CB737" s="23"/>
      <c r="CC737" s="23"/>
      <c r="CD737" s="23"/>
      <c r="CE737" s="23"/>
      <c r="CF737" s="23"/>
      <c r="CG737" s="23"/>
      <c r="CH737" s="23"/>
      <c r="CI737" s="23"/>
      <c r="CJ737" s="23"/>
      <c r="CK737" s="23"/>
      <c r="CL737" s="23"/>
      <c r="CO737" s="30"/>
    </row>
    <row r="738" spans="27:93" ht="12.75" x14ac:dyDescent="0.2"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  <c r="BB738" s="23"/>
      <c r="BC738" s="23"/>
      <c r="BD738" s="23"/>
      <c r="BE738" s="23"/>
      <c r="BF738" s="23"/>
      <c r="BG738" s="23"/>
      <c r="BH738" s="23"/>
      <c r="BI738" s="23"/>
      <c r="BJ738" s="23"/>
      <c r="BK738" s="23"/>
      <c r="BL738" s="23"/>
      <c r="BM738" s="23"/>
      <c r="BN738" s="23"/>
      <c r="BO738" s="23"/>
      <c r="BP738" s="23"/>
      <c r="BQ738" s="23"/>
      <c r="BR738" s="23"/>
      <c r="BS738" s="23"/>
      <c r="BT738" s="23"/>
      <c r="BU738" s="23"/>
      <c r="BV738" s="23"/>
      <c r="BW738" s="23"/>
      <c r="BX738" s="23"/>
      <c r="BY738" s="23"/>
      <c r="BZ738" s="23"/>
      <c r="CA738" s="23"/>
      <c r="CB738" s="23"/>
      <c r="CC738" s="23"/>
      <c r="CD738" s="23"/>
      <c r="CE738" s="23"/>
      <c r="CF738" s="23"/>
      <c r="CG738" s="23"/>
      <c r="CH738" s="23"/>
      <c r="CI738" s="23"/>
      <c r="CJ738" s="23"/>
      <c r="CK738" s="23"/>
      <c r="CL738" s="23"/>
      <c r="CO738" s="30"/>
    </row>
    <row r="739" spans="27:93" ht="12.75" x14ac:dyDescent="0.2"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  <c r="BD739" s="23"/>
      <c r="BE739" s="23"/>
      <c r="BF739" s="23"/>
      <c r="BG739" s="23"/>
      <c r="BH739" s="23"/>
      <c r="BI739" s="23"/>
      <c r="BJ739" s="23"/>
      <c r="BK739" s="23"/>
      <c r="BL739" s="23"/>
      <c r="BM739" s="23"/>
      <c r="BN739" s="23"/>
      <c r="BO739" s="23"/>
      <c r="BP739" s="23"/>
      <c r="BQ739" s="23"/>
      <c r="BR739" s="23"/>
      <c r="BS739" s="23"/>
      <c r="BT739" s="23"/>
      <c r="BU739" s="23"/>
      <c r="BV739" s="23"/>
      <c r="BW739" s="23"/>
      <c r="BX739" s="23"/>
      <c r="BY739" s="23"/>
      <c r="BZ739" s="23"/>
      <c r="CA739" s="23"/>
      <c r="CB739" s="23"/>
      <c r="CC739" s="23"/>
      <c r="CD739" s="23"/>
      <c r="CE739" s="23"/>
      <c r="CF739" s="23"/>
      <c r="CG739" s="23"/>
      <c r="CH739" s="23"/>
      <c r="CI739" s="23"/>
      <c r="CJ739" s="23"/>
      <c r="CK739" s="23"/>
      <c r="CL739" s="23"/>
      <c r="CO739" s="30"/>
    </row>
    <row r="740" spans="27:93" ht="12.75" x14ac:dyDescent="0.2"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  <c r="BB740" s="23"/>
      <c r="BC740" s="23"/>
      <c r="BD740" s="23"/>
      <c r="BE740" s="23"/>
      <c r="BF740" s="23"/>
      <c r="BG740" s="23"/>
      <c r="BH740" s="23"/>
      <c r="BI740" s="23"/>
      <c r="BJ740" s="23"/>
      <c r="BK740" s="23"/>
      <c r="BL740" s="23"/>
      <c r="BM740" s="23"/>
      <c r="BN740" s="23"/>
      <c r="BO740" s="23"/>
      <c r="BP740" s="23"/>
      <c r="BQ740" s="23"/>
      <c r="BR740" s="23"/>
      <c r="BS740" s="23"/>
      <c r="BT740" s="23"/>
      <c r="BU740" s="23"/>
      <c r="BV740" s="23"/>
      <c r="BW740" s="23"/>
      <c r="BX740" s="23"/>
      <c r="BY740" s="23"/>
      <c r="BZ740" s="23"/>
      <c r="CA740" s="23"/>
      <c r="CB740" s="23"/>
      <c r="CC740" s="23"/>
      <c r="CD740" s="23"/>
      <c r="CE740" s="23"/>
      <c r="CF740" s="23"/>
      <c r="CG740" s="23"/>
      <c r="CH740" s="23"/>
      <c r="CI740" s="23"/>
      <c r="CJ740" s="23"/>
      <c r="CK740" s="23"/>
      <c r="CL740" s="23"/>
      <c r="CO740" s="30"/>
    </row>
    <row r="741" spans="27:93" ht="12.75" x14ac:dyDescent="0.2"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  <c r="BD741" s="23"/>
      <c r="BE741" s="23"/>
      <c r="BF741" s="23"/>
      <c r="BG741" s="23"/>
      <c r="BH741" s="23"/>
      <c r="BI741" s="23"/>
      <c r="BJ741" s="23"/>
      <c r="BK741" s="23"/>
      <c r="BL741" s="23"/>
      <c r="BM741" s="23"/>
      <c r="BN741" s="23"/>
      <c r="BO741" s="23"/>
      <c r="BP741" s="23"/>
      <c r="BQ741" s="23"/>
      <c r="BR741" s="23"/>
      <c r="BS741" s="23"/>
      <c r="BT741" s="23"/>
      <c r="BU741" s="23"/>
      <c r="BV741" s="23"/>
      <c r="BW741" s="23"/>
      <c r="BX741" s="23"/>
      <c r="BY741" s="23"/>
      <c r="BZ741" s="23"/>
      <c r="CA741" s="23"/>
      <c r="CB741" s="23"/>
      <c r="CC741" s="23"/>
      <c r="CD741" s="23"/>
      <c r="CE741" s="23"/>
      <c r="CF741" s="23"/>
      <c r="CG741" s="23"/>
      <c r="CH741" s="23"/>
      <c r="CI741" s="23"/>
      <c r="CJ741" s="23"/>
      <c r="CK741" s="23"/>
      <c r="CL741" s="23"/>
      <c r="CO741" s="30"/>
    </row>
    <row r="742" spans="27:93" ht="12.75" x14ac:dyDescent="0.2"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  <c r="BD742" s="23"/>
      <c r="BE742" s="23"/>
      <c r="BF742" s="23"/>
      <c r="BG742" s="23"/>
      <c r="BH742" s="23"/>
      <c r="BI742" s="23"/>
      <c r="BJ742" s="23"/>
      <c r="BK742" s="23"/>
      <c r="BL742" s="23"/>
      <c r="BM742" s="23"/>
      <c r="BN742" s="23"/>
      <c r="BO742" s="23"/>
      <c r="BP742" s="23"/>
      <c r="BQ742" s="23"/>
      <c r="BR742" s="23"/>
      <c r="BS742" s="23"/>
      <c r="BT742" s="23"/>
      <c r="BU742" s="23"/>
      <c r="BV742" s="23"/>
      <c r="BW742" s="23"/>
      <c r="BX742" s="23"/>
      <c r="BY742" s="23"/>
      <c r="BZ742" s="23"/>
      <c r="CA742" s="23"/>
      <c r="CB742" s="23"/>
      <c r="CC742" s="23"/>
      <c r="CD742" s="23"/>
      <c r="CE742" s="23"/>
      <c r="CF742" s="23"/>
      <c r="CG742" s="23"/>
      <c r="CH742" s="23"/>
      <c r="CI742" s="23"/>
      <c r="CJ742" s="23"/>
      <c r="CK742" s="23"/>
      <c r="CL742" s="23"/>
      <c r="CO742" s="30"/>
    </row>
    <row r="743" spans="27:93" ht="12.75" x14ac:dyDescent="0.2"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  <c r="BD743" s="23"/>
      <c r="BE743" s="23"/>
      <c r="BF743" s="23"/>
      <c r="BG743" s="23"/>
      <c r="BH743" s="23"/>
      <c r="BI743" s="23"/>
      <c r="BJ743" s="23"/>
      <c r="BK743" s="23"/>
      <c r="BL743" s="23"/>
      <c r="BM743" s="23"/>
      <c r="BN743" s="23"/>
      <c r="BO743" s="23"/>
      <c r="BP743" s="23"/>
      <c r="BQ743" s="23"/>
      <c r="BR743" s="23"/>
      <c r="BS743" s="23"/>
      <c r="BT743" s="23"/>
      <c r="BU743" s="23"/>
      <c r="BV743" s="23"/>
      <c r="BW743" s="23"/>
      <c r="BX743" s="23"/>
      <c r="BY743" s="23"/>
      <c r="BZ743" s="23"/>
      <c r="CA743" s="23"/>
      <c r="CB743" s="23"/>
      <c r="CC743" s="23"/>
      <c r="CD743" s="23"/>
      <c r="CE743" s="23"/>
      <c r="CF743" s="23"/>
      <c r="CG743" s="23"/>
      <c r="CH743" s="23"/>
      <c r="CI743" s="23"/>
      <c r="CJ743" s="23"/>
      <c r="CK743" s="23"/>
      <c r="CL743" s="23"/>
      <c r="CO743" s="30"/>
    </row>
    <row r="744" spans="27:93" ht="12.75" x14ac:dyDescent="0.2"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/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3"/>
      <c r="CA744" s="23"/>
      <c r="CB744" s="23"/>
      <c r="CC744" s="23"/>
      <c r="CD744" s="23"/>
      <c r="CE744" s="23"/>
      <c r="CF744" s="23"/>
      <c r="CG744" s="23"/>
      <c r="CH744" s="23"/>
      <c r="CI744" s="23"/>
      <c r="CJ744" s="23"/>
      <c r="CK744" s="23"/>
      <c r="CL744" s="23"/>
      <c r="CO744" s="30"/>
    </row>
    <row r="745" spans="27:93" ht="12.75" x14ac:dyDescent="0.2"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/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3"/>
      <c r="CA745" s="23"/>
      <c r="CB745" s="23"/>
      <c r="CC745" s="23"/>
      <c r="CD745" s="23"/>
      <c r="CE745" s="23"/>
      <c r="CF745" s="23"/>
      <c r="CG745" s="23"/>
      <c r="CH745" s="23"/>
      <c r="CI745" s="23"/>
      <c r="CJ745" s="23"/>
      <c r="CK745" s="23"/>
      <c r="CL745" s="23"/>
      <c r="CO745" s="30"/>
    </row>
    <row r="746" spans="27:93" ht="12.75" x14ac:dyDescent="0.2"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/>
      <c r="BP746" s="23"/>
      <c r="BQ746" s="23"/>
      <c r="BR746" s="23"/>
      <c r="BS746" s="23"/>
      <c r="BT746" s="23"/>
      <c r="BU746" s="23"/>
      <c r="BV746" s="23"/>
      <c r="BW746" s="23"/>
      <c r="BX746" s="23"/>
      <c r="BY746" s="23"/>
      <c r="BZ746" s="23"/>
      <c r="CA746" s="23"/>
      <c r="CB746" s="23"/>
      <c r="CC746" s="23"/>
      <c r="CD746" s="23"/>
      <c r="CE746" s="23"/>
      <c r="CF746" s="23"/>
      <c r="CG746" s="23"/>
      <c r="CH746" s="23"/>
      <c r="CI746" s="23"/>
      <c r="CJ746" s="23"/>
      <c r="CK746" s="23"/>
      <c r="CL746" s="23"/>
      <c r="CO746" s="30"/>
    </row>
    <row r="747" spans="27:93" ht="12.75" x14ac:dyDescent="0.2"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/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3"/>
      <c r="CA747" s="23"/>
      <c r="CB747" s="23"/>
      <c r="CC747" s="23"/>
      <c r="CD747" s="23"/>
      <c r="CE747" s="23"/>
      <c r="CF747" s="23"/>
      <c r="CG747" s="23"/>
      <c r="CH747" s="23"/>
      <c r="CI747" s="23"/>
      <c r="CJ747" s="23"/>
      <c r="CK747" s="23"/>
      <c r="CL747" s="23"/>
      <c r="CO747" s="30"/>
    </row>
    <row r="748" spans="27:93" ht="12.75" x14ac:dyDescent="0.2"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s="23"/>
      <c r="BC748" s="23"/>
      <c r="BD748" s="23"/>
      <c r="BE748" s="23"/>
      <c r="BF748" s="23"/>
      <c r="BG748" s="23"/>
      <c r="BH748" s="23"/>
      <c r="BI748" s="23"/>
      <c r="BJ748" s="23"/>
      <c r="BK748" s="23"/>
      <c r="BL748" s="23"/>
      <c r="BM748" s="23"/>
      <c r="BN748" s="23"/>
      <c r="BO748" s="23"/>
      <c r="BP748" s="23"/>
      <c r="BQ748" s="23"/>
      <c r="BR748" s="23"/>
      <c r="BS748" s="23"/>
      <c r="BT748" s="23"/>
      <c r="BU748" s="23"/>
      <c r="BV748" s="23"/>
      <c r="BW748" s="23"/>
      <c r="BX748" s="23"/>
      <c r="BY748" s="23"/>
      <c r="BZ748" s="23"/>
      <c r="CA748" s="23"/>
      <c r="CB748" s="23"/>
      <c r="CC748" s="23"/>
      <c r="CD748" s="23"/>
      <c r="CE748" s="23"/>
      <c r="CF748" s="23"/>
      <c r="CG748" s="23"/>
      <c r="CH748" s="23"/>
      <c r="CI748" s="23"/>
      <c r="CJ748" s="23"/>
      <c r="CK748" s="23"/>
      <c r="CL748" s="23"/>
      <c r="CO748" s="30"/>
    </row>
    <row r="749" spans="27:93" ht="12.75" x14ac:dyDescent="0.2"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/>
      <c r="BP749" s="23"/>
      <c r="BQ749" s="23"/>
      <c r="BR749" s="23"/>
      <c r="BS749" s="23"/>
      <c r="BT749" s="23"/>
      <c r="BU749" s="23"/>
      <c r="BV749" s="23"/>
      <c r="BW749" s="23"/>
      <c r="BX749" s="23"/>
      <c r="BY749" s="23"/>
      <c r="BZ749" s="23"/>
      <c r="CA749" s="23"/>
      <c r="CB749" s="23"/>
      <c r="CC749" s="23"/>
      <c r="CD749" s="23"/>
      <c r="CE749" s="23"/>
      <c r="CF749" s="23"/>
      <c r="CG749" s="23"/>
      <c r="CH749" s="23"/>
      <c r="CI749" s="23"/>
      <c r="CJ749" s="23"/>
      <c r="CK749" s="23"/>
      <c r="CL749" s="23"/>
      <c r="CO749" s="30"/>
    </row>
    <row r="750" spans="27:93" ht="12.75" x14ac:dyDescent="0.2"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3"/>
      <c r="BC750" s="23"/>
      <c r="BD750" s="23"/>
      <c r="BE750" s="23"/>
      <c r="BF750" s="23"/>
      <c r="BG750" s="23"/>
      <c r="BH750" s="23"/>
      <c r="BI750" s="23"/>
      <c r="BJ750" s="23"/>
      <c r="BK750" s="23"/>
      <c r="BL750" s="23"/>
      <c r="BM750" s="23"/>
      <c r="BN750" s="23"/>
      <c r="BO750" s="23"/>
      <c r="BP750" s="23"/>
      <c r="BQ750" s="23"/>
      <c r="BR750" s="23"/>
      <c r="BS750" s="23"/>
      <c r="BT750" s="23"/>
      <c r="BU750" s="23"/>
      <c r="BV750" s="23"/>
      <c r="BW750" s="23"/>
      <c r="BX750" s="23"/>
      <c r="BY750" s="23"/>
      <c r="BZ750" s="23"/>
      <c r="CA750" s="23"/>
      <c r="CB750" s="23"/>
      <c r="CC750" s="23"/>
      <c r="CD750" s="23"/>
      <c r="CE750" s="23"/>
      <c r="CF750" s="23"/>
      <c r="CG750" s="23"/>
      <c r="CH750" s="23"/>
      <c r="CI750" s="23"/>
      <c r="CJ750" s="23"/>
      <c r="CK750" s="23"/>
      <c r="CL750" s="23"/>
      <c r="CO750" s="30"/>
    </row>
    <row r="751" spans="27:93" ht="12.75" x14ac:dyDescent="0.2"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  <c r="BD751" s="23"/>
      <c r="BE751" s="23"/>
      <c r="BF751" s="23"/>
      <c r="BG751" s="23"/>
      <c r="BH751" s="23"/>
      <c r="BI751" s="23"/>
      <c r="BJ751" s="23"/>
      <c r="BK751" s="23"/>
      <c r="BL751" s="23"/>
      <c r="BM751" s="23"/>
      <c r="BN751" s="23"/>
      <c r="BO751" s="23"/>
      <c r="BP751" s="23"/>
      <c r="BQ751" s="23"/>
      <c r="BR751" s="23"/>
      <c r="BS751" s="23"/>
      <c r="BT751" s="23"/>
      <c r="BU751" s="23"/>
      <c r="BV751" s="23"/>
      <c r="BW751" s="23"/>
      <c r="BX751" s="23"/>
      <c r="BY751" s="23"/>
      <c r="BZ751" s="23"/>
      <c r="CA751" s="23"/>
      <c r="CB751" s="23"/>
      <c r="CC751" s="23"/>
      <c r="CD751" s="23"/>
      <c r="CE751" s="23"/>
      <c r="CF751" s="23"/>
      <c r="CG751" s="23"/>
      <c r="CH751" s="23"/>
      <c r="CI751" s="23"/>
      <c r="CJ751" s="23"/>
      <c r="CK751" s="23"/>
      <c r="CL751" s="23"/>
      <c r="CO751" s="30"/>
    </row>
    <row r="752" spans="27:93" ht="12.75" x14ac:dyDescent="0.2"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  <c r="BD752" s="23"/>
      <c r="BE752" s="23"/>
      <c r="BF752" s="23"/>
      <c r="BG752" s="23"/>
      <c r="BH752" s="23"/>
      <c r="BI752" s="23"/>
      <c r="BJ752" s="23"/>
      <c r="BK752" s="23"/>
      <c r="BL752" s="23"/>
      <c r="BM752" s="23"/>
      <c r="BN752" s="23"/>
      <c r="BO752" s="23"/>
      <c r="BP752" s="23"/>
      <c r="BQ752" s="23"/>
      <c r="BR752" s="23"/>
      <c r="BS752" s="23"/>
      <c r="BT752" s="23"/>
      <c r="BU752" s="23"/>
      <c r="BV752" s="23"/>
      <c r="BW752" s="23"/>
      <c r="BX752" s="23"/>
      <c r="BY752" s="23"/>
      <c r="BZ752" s="23"/>
      <c r="CA752" s="23"/>
      <c r="CB752" s="23"/>
      <c r="CC752" s="23"/>
      <c r="CD752" s="23"/>
      <c r="CE752" s="23"/>
      <c r="CF752" s="23"/>
      <c r="CG752" s="23"/>
      <c r="CH752" s="23"/>
      <c r="CI752" s="23"/>
      <c r="CJ752" s="23"/>
      <c r="CK752" s="23"/>
      <c r="CL752" s="23"/>
      <c r="CO752" s="30"/>
    </row>
    <row r="753" spans="27:93" ht="12.75" x14ac:dyDescent="0.2"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  <c r="BE753" s="23"/>
      <c r="BF753" s="23"/>
      <c r="BG753" s="23"/>
      <c r="BH753" s="23"/>
      <c r="BI753" s="23"/>
      <c r="BJ753" s="23"/>
      <c r="BK753" s="23"/>
      <c r="BL753" s="23"/>
      <c r="BM753" s="23"/>
      <c r="BN753" s="23"/>
      <c r="BO753" s="23"/>
      <c r="BP753" s="23"/>
      <c r="BQ753" s="23"/>
      <c r="BR753" s="23"/>
      <c r="BS753" s="23"/>
      <c r="BT753" s="23"/>
      <c r="BU753" s="23"/>
      <c r="BV753" s="23"/>
      <c r="BW753" s="23"/>
      <c r="BX753" s="23"/>
      <c r="BY753" s="23"/>
      <c r="BZ753" s="23"/>
      <c r="CA753" s="23"/>
      <c r="CB753" s="23"/>
      <c r="CC753" s="23"/>
      <c r="CD753" s="23"/>
      <c r="CE753" s="23"/>
      <c r="CF753" s="23"/>
      <c r="CG753" s="23"/>
      <c r="CH753" s="23"/>
      <c r="CI753" s="23"/>
      <c r="CJ753" s="23"/>
      <c r="CK753" s="23"/>
      <c r="CL753" s="23"/>
      <c r="CO753" s="30"/>
    </row>
    <row r="754" spans="27:93" ht="12.75" x14ac:dyDescent="0.2"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  <c r="BB754" s="23"/>
      <c r="BC754" s="23"/>
      <c r="BD754" s="23"/>
      <c r="BE754" s="23"/>
      <c r="BF754" s="23"/>
      <c r="BG754" s="23"/>
      <c r="BH754" s="23"/>
      <c r="BI754" s="23"/>
      <c r="BJ754" s="23"/>
      <c r="BK754" s="23"/>
      <c r="BL754" s="23"/>
      <c r="BM754" s="23"/>
      <c r="BN754" s="23"/>
      <c r="BO754" s="23"/>
      <c r="BP754" s="23"/>
      <c r="BQ754" s="23"/>
      <c r="BR754" s="23"/>
      <c r="BS754" s="23"/>
      <c r="BT754" s="23"/>
      <c r="BU754" s="23"/>
      <c r="BV754" s="23"/>
      <c r="BW754" s="23"/>
      <c r="BX754" s="23"/>
      <c r="BY754" s="23"/>
      <c r="BZ754" s="23"/>
      <c r="CA754" s="23"/>
      <c r="CB754" s="23"/>
      <c r="CC754" s="23"/>
      <c r="CD754" s="23"/>
      <c r="CE754" s="23"/>
      <c r="CF754" s="23"/>
      <c r="CG754" s="23"/>
      <c r="CH754" s="23"/>
      <c r="CI754" s="23"/>
      <c r="CJ754" s="23"/>
      <c r="CK754" s="23"/>
      <c r="CL754" s="23"/>
      <c r="CO754" s="30"/>
    </row>
    <row r="755" spans="27:93" ht="12.75" x14ac:dyDescent="0.2"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  <c r="BD755" s="23"/>
      <c r="BE755" s="23"/>
      <c r="BF755" s="23"/>
      <c r="BG755" s="23"/>
      <c r="BH755" s="23"/>
      <c r="BI755" s="23"/>
      <c r="BJ755" s="23"/>
      <c r="BK755" s="23"/>
      <c r="BL755" s="23"/>
      <c r="BM755" s="23"/>
      <c r="BN755" s="23"/>
      <c r="BO755" s="23"/>
      <c r="BP755" s="23"/>
      <c r="BQ755" s="23"/>
      <c r="BR755" s="23"/>
      <c r="BS755" s="23"/>
      <c r="BT755" s="23"/>
      <c r="BU755" s="23"/>
      <c r="BV755" s="23"/>
      <c r="BW755" s="23"/>
      <c r="BX755" s="23"/>
      <c r="BY755" s="23"/>
      <c r="BZ755" s="23"/>
      <c r="CA755" s="23"/>
      <c r="CB755" s="23"/>
      <c r="CC755" s="23"/>
      <c r="CD755" s="23"/>
      <c r="CE755" s="23"/>
      <c r="CF755" s="23"/>
      <c r="CG755" s="23"/>
      <c r="CH755" s="23"/>
      <c r="CI755" s="23"/>
      <c r="CJ755" s="23"/>
      <c r="CK755" s="23"/>
      <c r="CL755" s="23"/>
      <c r="CO755" s="30"/>
    </row>
    <row r="756" spans="27:93" ht="12.75" x14ac:dyDescent="0.2"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  <c r="BB756" s="23"/>
      <c r="BC756" s="23"/>
      <c r="BD756" s="23"/>
      <c r="BE756" s="23"/>
      <c r="BF756" s="23"/>
      <c r="BG756" s="23"/>
      <c r="BH756" s="23"/>
      <c r="BI756" s="23"/>
      <c r="BJ756" s="23"/>
      <c r="BK756" s="23"/>
      <c r="BL756" s="23"/>
      <c r="BM756" s="23"/>
      <c r="BN756" s="23"/>
      <c r="BO756" s="23"/>
      <c r="BP756" s="23"/>
      <c r="BQ756" s="23"/>
      <c r="BR756" s="23"/>
      <c r="BS756" s="23"/>
      <c r="BT756" s="23"/>
      <c r="BU756" s="23"/>
      <c r="BV756" s="23"/>
      <c r="BW756" s="23"/>
      <c r="BX756" s="23"/>
      <c r="BY756" s="23"/>
      <c r="BZ756" s="23"/>
      <c r="CA756" s="23"/>
      <c r="CB756" s="23"/>
      <c r="CC756" s="23"/>
      <c r="CD756" s="23"/>
      <c r="CE756" s="23"/>
      <c r="CF756" s="23"/>
      <c r="CG756" s="23"/>
      <c r="CH756" s="23"/>
      <c r="CI756" s="23"/>
      <c r="CJ756" s="23"/>
      <c r="CK756" s="23"/>
      <c r="CL756" s="23"/>
      <c r="CO756" s="30"/>
    </row>
    <row r="757" spans="27:93" ht="12.75" x14ac:dyDescent="0.2"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  <c r="BD757" s="23"/>
      <c r="BE757" s="23"/>
      <c r="BF757" s="23"/>
      <c r="BG757" s="23"/>
      <c r="BH757" s="23"/>
      <c r="BI757" s="23"/>
      <c r="BJ757" s="23"/>
      <c r="BK757" s="23"/>
      <c r="BL757" s="23"/>
      <c r="BM757" s="23"/>
      <c r="BN757" s="23"/>
      <c r="BO757" s="23"/>
      <c r="BP757" s="23"/>
      <c r="BQ757" s="23"/>
      <c r="BR757" s="23"/>
      <c r="BS757" s="23"/>
      <c r="BT757" s="23"/>
      <c r="BU757" s="23"/>
      <c r="BV757" s="23"/>
      <c r="BW757" s="23"/>
      <c r="BX757" s="23"/>
      <c r="BY757" s="23"/>
      <c r="BZ757" s="23"/>
      <c r="CA757" s="23"/>
      <c r="CB757" s="23"/>
      <c r="CC757" s="23"/>
      <c r="CD757" s="23"/>
      <c r="CE757" s="23"/>
      <c r="CF757" s="23"/>
      <c r="CG757" s="23"/>
      <c r="CH757" s="23"/>
      <c r="CI757" s="23"/>
      <c r="CJ757" s="23"/>
      <c r="CK757" s="23"/>
      <c r="CL757" s="23"/>
      <c r="CO757" s="30"/>
    </row>
    <row r="758" spans="27:93" ht="12.75" x14ac:dyDescent="0.2"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  <c r="BB758" s="23"/>
      <c r="BC758" s="23"/>
      <c r="BD758" s="23"/>
      <c r="BE758" s="23"/>
      <c r="BF758" s="23"/>
      <c r="BG758" s="23"/>
      <c r="BH758" s="23"/>
      <c r="BI758" s="23"/>
      <c r="BJ758" s="23"/>
      <c r="BK758" s="23"/>
      <c r="BL758" s="23"/>
      <c r="BM758" s="23"/>
      <c r="BN758" s="23"/>
      <c r="BO758" s="23"/>
      <c r="BP758" s="23"/>
      <c r="BQ758" s="23"/>
      <c r="BR758" s="23"/>
      <c r="BS758" s="23"/>
      <c r="BT758" s="23"/>
      <c r="BU758" s="23"/>
      <c r="BV758" s="23"/>
      <c r="BW758" s="23"/>
      <c r="BX758" s="23"/>
      <c r="BY758" s="23"/>
      <c r="BZ758" s="23"/>
      <c r="CA758" s="23"/>
      <c r="CB758" s="23"/>
      <c r="CC758" s="23"/>
      <c r="CD758" s="23"/>
      <c r="CE758" s="23"/>
      <c r="CF758" s="23"/>
      <c r="CG758" s="23"/>
      <c r="CH758" s="23"/>
      <c r="CI758" s="23"/>
      <c r="CJ758" s="23"/>
      <c r="CK758" s="23"/>
      <c r="CL758" s="23"/>
      <c r="CO758" s="30"/>
    </row>
    <row r="759" spans="27:93" ht="12.75" x14ac:dyDescent="0.2"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  <c r="BF759" s="23"/>
      <c r="BG759" s="23"/>
      <c r="BH759" s="23"/>
      <c r="BI759" s="23"/>
      <c r="BJ759" s="23"/>
      <c r="BK759" s="23"/>
      <c r="BL759" s="23"/>
      <c r="BM759" s="23"/>
      <c r="BN759" s="23"/>
      <c r="BO759" s="23"/>
      <c r="BP759" s="23"/>
      <c r="BQ759" s="23"/>
      <c r="BR759" s="23"/>
      <c r="BS759" s="23"/>
      <c r="BT759" s="23"/>
      <c r="BU759" s="23"/>
      <c r="BV759" s="23"/>
      <c r="BW759" s="23"/>
      <c r="BX759" s="23"/>
      <c r="BY759" s="23"/>
      <c r="BZ759" s="23"/>
      <c r="CA759" s="23"/>
      <c r="CB759" s="23"/>
      <c r="CC759" s="23"/>
      <c r="CD759" s="23"/>
      <c r="CE759" s="23"/>
      <c r="CF759" s="23"/>
      <c r="CG759" s="23"/>
      <c r="CH759" s="23"/>
      <c r="CI759" s="23"/>
      <c r="CJ759" s="23"/>
      <c r="CK759" s="23"/>
      <c r="CL759" s="23"/>
      <c r="CO759" s="30"/>
    </row>
    <row r="760" spans="27:93" ht="12.75" x14ac:dyDescent="0.2"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s="23"/>
      <c r="BC760" s="23"/>
      <c r="BD760" s="23"/>
      <c r="BE760" s="23"/>
      <c r="BF760" s="23"/>
      <c r="BG760" s="23"/>
      <c r="BH760" s="23"/>
      <c r="BI760" s="23"/>
      <c r="BJ760" s="23"/>
      <c r="BK760" s="23"/>
      <c r="BL760" s="23"/>
      <c r="BM760" s="23"/>
      <c r="BN760" s="23"/>
      <c r="BO760" s="23"/>
      <c r="BP760" s="23"/>
      <c r="BQ760" s="23"/>
      <c r="BR760" s="23"/>
      <c r="BS760" s="23"/>
      <c r="BT760" s="23"/>
      <c r="BU760" s="23"/>
      <c r="BV760" s="23"/>
      <c r="BW760" s="23"/>
      <c r="BX760" s="23"/>
      <c r="BY760" s="23"/>
      <c r="BZ760" s="23"/>
      <c r="CA760" s="23"/>
      <c r="CB760" s="23"/>
      <c r="CC760" s="23"/>
      <c r="CD760" s="23"/>
      <c r="CE760" s="23"/>
      <c r="CF760" s="23"/>
      <c r="CG760" s="23"/>
      <c r="CH760" s="23"/>
      <c r="CI760" s="23"/>
      <c r="CJ760" s="23"/>
      <c r="CK760" s="23"/>
      <c r="CL760" s="23"/>
      <c r="CO760" s="30"/>
    </row>
    <row r="761" spans="27:93" ht="12.75" x14ac:dyDescent="0.2"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  <c r="BD761" s="23"/>
      <c r="BE761" s="23"/>
      <c r="BF761" s="23"/>
      <c r="BG761" s="23"/>
      <c r="BH761" s="23"/>
      <c r="BI761" s="23"/>
      <c r="BJ761" s="23"/>
      <c r="BK761" s="23"/>
      <c r="BL761" s="23"/>
      <c r="BM761" s="23"/>
      <c r="BN761" s="23"/>
      <c r="BO761" s="23"/>
      <c r="BP761" s="23"/>
      <c r="BQ761" s="23"/>
      <c r="BR761" s="23"/>
      <c r="BS761" s="23"/>
      <c r="BT761" s="23"/>
      <c r="BU761" s="23"/>
      <c r="BV761" s="23"/>
      <c r="BW761" s="23"/>
      <c r="BX761" s="23"/>
      <c r="BY761" s="23"/>
      <c r="BZ761" s="23"/>
      <c r="CA761" s="23"/>
      <c r="CB761" s="23"/>
      <c r="CC761" s="23"/>
      <c r="CD761" s="23"/>
      <c r="CE761" s="23"/>
      <c r="CF761" s="23"/>
      <c r="CG761" s="23"/>
      <c r="CH761" s="23"/>
      <c r="CI761" s="23"/>
      <c r="CJ761" s="23"/>
      <c r="CK761" s="23"/>
      <c r="CL761" s="23"/>
      <c r="CO761" s="30"/>
    </row>
    <row r="762" spans="27:93" ht="12.75" x14ac:dyDescent="0.2"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  <c r="BB762" s="23"/>
      <c r="BC762" s="23"/>
      <c r="BD762" s="23"/>
      <c r="BE762" s="23"/>
      <c r="BF762" s="23"/>
      <c r="BG762" s="23"/>
      <c r="BH762" s="23"/>
      <c r="BI762" s="23"/>
      <c r="BJ762" s="23"/>
      <c r="BK762" s="23"/>
      <c r="BL762" s="23"/>
      <c r="BM762" s="23"/>
      <c r="BN762" s="23"/>
      <c r="BO762" s="23"/>
      <c r="BP762" s="23"/>
      <c r="BQ762" s="23"/>
      <c r="BR762" s="23"/>
      <c r="BS762" s="23"/>
      <c r="BT762" s="23"/>
      <c r="BU762" s="23"/>
      <c r="BV762" s="23"/>
      <c r="BW762" s="23"/>
      <c r="BX762" s="23"/>
      <c r="BY762" s="23"/>
      <c r="BZ762" s="23"/>
      <c r="CA762" s="23"/>
      <c r="CB762" s="23"/>
      <c r="CC762" s="23"/>
      <c r="CD762" s="23"/>
      <c r="CE762" s="23"/>
      <c r="CF762" s="23"/>
      <c r="CG762" s="23"/>
      <c r="CH762" s="23"/>
      <c r="CI762" s="23"/>
      <c r="CJ762" s="23"/>
      <c r="CK762" s="23"/>
      <c r="CL762" s="23"/>
      <c r="CO762" s="30"/>
    </row>
    <row r="763" spans="27:93" ht="12.75" x14ac:dyDescent="0.2"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3"/>
      <c r="BC763" s="23"/>
      <c r="BD763" s="23"/>
      <c r="BE763" s="23"/>
      <c r="BF763" s="23"/>
      <c r="BG763" s="23"/>
      <c r="BH763" s="23"/>
      <c r="BI763" s="23"/>
      <c r="BJ763" s="23"/>
      <c r="BK763" s="23"/>
      <c r="BL763" s="23"/>
      <c r="BM763" s="23"/>
      <c r="BN763" s="23"/>
      <c r="BO763" s="23"/>
      <c r="BP763" s="23"/>
      <c r="BQ763" s="23"/>
      <c r="BR763" s="23"/>
      <c r="BS763" s="23"/>
      <c r="BT763" s="23"/>
      <c r="BU763" s="23"/>
      <c r="BV763" s="23"/>
      <c r="BW763" s="23"/>
      <c r="BX763" s="23"/>
      <c r="BY763" s="23"/>
      <c r="BZ763" s="23"/>
      <c r="CA763" s="23"/>
      <c r="CB763" s="23"/>
      <c r="CC763" s="23"/>
      <c r="CD763" s="23"/>
      <c r="CE763" s="23"/>
      <c r="CF763" s="23"/>
      <c r="CG763" s="23"/>
      <c r="CH763" s="23"/>
      <c r="CI763" s="23"/>
      <c r="CJ763" s="23"/>
      <c r="CK763" s="23"/>
      <c r="CL763" s="23"/>
      <c r="CO763" s="30"/>
    </row>
    <row r="764" spans="27:93" ht="12.75" x14ac:dyDescent="0.2"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3"/>
      <c r="BC764" s="23"/>
      <c r="BD764" s="23"/>
      <c r="BE764" s="23"/>
      <c r="BF764" s="23"/>
      <c r="BG764" s="23"/>
      <c r="BH764" s="23"/>
      <c r="BI764" s="23"/>
      <c r="BJ764" s="23"/>
      <c r="BK764" s="23"/>
      <c r="BL764" s="23"/>
      <c r="BM764" s="23"/>
      <c r="BN764" s="23"/>
      <c r="BO764" s="23"/>
      <c r="BP764" s="23"/>
      <c r="BQ764" s="23"/>
      <c r="BR764" s="23"/>
      <c r="BS764" s="23"/>
      <c r="BT764" s="23"/>
      <c r="BU764" s="23"/>
      <c r="BV764" s="23"/>
      <c r="BW764" s="23"/>
      <c r="BX764" s="23"/>
      <c r="BY764" s="23"/>
      <c r="BZ764" s="23"/>
      <c r="CA764" s="23"/>
      <c r="CB764" s="23"/>
      <c r="CC764" s="23"/>
      <c r="CD764" s="23"/>
      <c r="CE764" s="23"/>
      <c r="CF764" s="23"/>
      <c r="CG764" s="23"/>
      <c r="CH764" s="23"/>
      <c r="CI764" s="23"/>
      <c r="CJ764" s="23"/>
      <c r="CK764" s="23"/>
      <c r="CL764" s="23"/>
      <c r="CO764" s="30"/>
    </row>
    <row r="765" spans="27:93" ht="12.75" x14ac:dyDescent="0.2"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  <c r="BD765" s="23"/>
      <c r="BE765" s="23"/>
      <c r="BF765" s="23"/>
      <c r="BG765" s="23"/>
      <c r="BH765" s="23"/>
      <c r="BI765" s="23"/>
      <c r="BJ765" s="23"/>
      <c r="BK765" s="23"/>
      <c r="BL765" s="23"/>
      <c r="BM765" s="23"/>
      <c r="BN765" s="23"/>
      <c r="BO765" s="23"/>
      <c r="BP765" s="23"/>
      <c r="BQ765" s="23"/>
      <c r="BR765" s="23"/>
      <c r="BS765" s="23"/>
      <c r="BT765" s="23"/>
      <c r="BU765" s="23"/>
      <c r="BV765" s="23"/>
      <c r="BW765" s="23"/>
      <c r="BX765" s="23"/>
      <c r="BY765" s="23"/>
      <c r="BZ765" s="23"/>
      <c r="CA765" s="23"/>
      <c r="CB765" s="23"/>
      <c r="CC765" s="23"/>
      <c r="CD765" s="23"/>
      <c r="CE765" s="23"/>
      <c r="CF765" s="23"/>
      <c r="CG765" s="23"/>
      <c r="CH765" s="23"/>
      <c r="CI765" s="23"/>
      <c r="CJ765" s="23"/>
      <c r="CK765" s="23"/>
      <c r="CL765" s="23"/>
      <c r="CO765" s="30"/>
    </row>
    <row r="766" spans="27:93" ht="12.75" x14ac:dyDescent="0.2"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  <c r="BB766" s="23"/>
      <c r="BC766" s="23"/>
      <c r="BD766" s="23"/>
      <c r="BE766" s="23"/>
      <c r="BF766" s="23"/>
      <c r="BG766" s="23"/>
      <c r="BH766" s="23"/>
      <c r="BI766" s="23"/>
      <c r="BJ766" s="23"/>
      <c r="BK766" s="23"/>
      <c r="BL766" s="23"/>
      <c r="BM766" s="23"/>
      <c r="BN766" s="23"/>
      <c r="BO766" s="23"/>
      <c r="BP766" s="23"/>
      <c r="BQ766" s="23"/>
      <c r="BR766" s="23"/>
      <c r="BS766" s="23"/>
      <c r="BT766" s="23"/>
      <c r="BU766" s="23"/>
      <c r="BV766" s="23"/>
      <c r="BW766" s="23"/>
      <c r="BX766" s="23"/>
      <c r="BY766" s="23"/>
      <c r="BZ766" s="23"/>
      <c r="CA766" s="23"/>
      <c r="CB766" s="23"/>
      <c r="CC766" s="23"/>
      <c r="CD766" s="23"/>
      <c r="CE766" s="23"/>
      <c r="CF766" s="23"/>
      <c r="CG766" s="23"/>
      <c r="CH766" s="23"/>
      <c r="CI766" s="23"/>
      <c r="CJ766" s="23"/>
      <c r="CK766" s="23"/>
      <c r="CL766" s="23"/>
      <c r="CO766" s="30"/>
    </row>
    <row r="767" spans="27:93" ht="12.75" x14ac:dyDescent="0.2"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  <c r="BE767" s="23"/>
      <c r="BF767" s="23"/>
      <c r="BG767" s="23"/>
      <c r="BH767" s="23"/>
      <c r="BI767" s="23"/>
      <c r="BJ767" s="23"/>
      <c r="BK767" s="23"/>
      <c r="BL767" s="23"/>
      <c r="BM767" s="23"/>
      <c r="BN767" s="23"/>
      <c r="BO767" s="23"/>
      <c r="BP767" s="23"/>
      <c r="BQ767" s="23"/>
      <c r="BR767" s="23"/>
      <c r="BS767" s="23"/>
      <c r="BT767" s="23"/>
      <c r="BU767" s="23"/>
      <c r="BV767" s="23"/>
      <c r="BW767" s="23"/>
      <c r="BX767" s="23"/>
      <c r="BY767" s="23"/>
      <c r="BZ767" s="23"/>
      <c r="CA767" s="23"/>
      <c r="CB767" s="23"/>
      <c r="CC767" s="23"/>
      <c r="CD767" s="23"/>
      <c r="CE767" s="23"/>
      <c r="CF767" s="23"/>
      <c r="CG767" s="23"/>
      <c r="CH767" s="23"/>
      <c r="CI767" s="23"/>
      <c r="CJ767" s="23"/>
      <c r="CK767" s="23"/>
      <c r="CL767" s="23"/>
      <c r="CO767" s="30"/>
    </row>
    <row r="768" spans="27:93" ht="12.75" x14ac:dyDescent="0.2"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  <c r="BB768" s="23"/>
      <c r="BC768" s="23"/>
      <c r="BD768" s="23"/>
      <c r="BE768" s="23"/>
      <c r="BF768" s="23"/>
      <c r="BG768" s="23"/>
      <c r="BH768" s="23"/>
      <c r="BI768" s="23"/>
      <c r="BJ768" s="23"/>
      <c r="BK768" s="23"/>
      <c r="BL768" s="23"/>
      <c r="BM768" s="23"/>
      <c r="BN768" s="23"/>
      <c r="BO768" s="23"/>
      <c r="BP768" s="23"/>
      <c r="BQ768" s="23"/>
      <c r="BR768" s="23"/>
      <c r="BS768" s="23"/>
      <c r="BT768" s="23"/>
      <c r="BU768" s="23"/>
      <c r="BV768" s="23"/>
      <c r="BW768" s="23"/>
      <c r="BX768" s="23"/>
      <c r="BY768" s="23"/>
      <c r="BZ768" s="23"/>
      <c r="CA768" s="23"/>
      <c r="CB768" s="23"/>
      <c r="CC768" s="23"/>
      <c r="CD768" s="23"/>
      <c r="CE768" s="23"/>
      <c r="CF768" s="23"/>
      <c r="CG768" s="23"/>
      <c r="CH768" s="23"/>
      <c r="CI768" s="23"/>
      <c r="CJ768" s="23"/>
      <c r="CK768" s="23"/>
      <c r="CL768" s="23"/>
      <c r="CO768" s="30"/>
    </row>
    <row r="769" spans="27:93" ht="12.75" x14ac:dyDescent="0.2"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  <c r="BB769" s="23"/>
      <c r="BC769" s="23"/>
      <c r="BD769" s="23"/>
      <c r="BE769" s="23"/>
      <c r="BF769" s="23"/>
      <c r="BG769" s="23"/>
      <c r="BH769" s="23"/>
      <c r="BI769" s="23"/>
      <c r="BJ769" s="23"/>
      <c r="BK769" s="23"/>
      <c r="BL769" s="23"/>
      <c r="BM769" s="23"/>
      <c r="BN769" s="23"/>
      <c r="BO769" s="23"/>
      <c r="BP769" s="23"/>
      <c r="BQ769" s="23"/>
      <c r="BR769" s="23"/>
      <c r="BS769" s="23"/>
      <c r="BT769" s="23"/>
      <c r="BU769" s="23"/>
      <c r="BV769" s="23"/>
      <c r="BW769" s="23"/>
      <c r="BX769" s="23"/>
      <c r="BY769" s="23"/>
      <c r="BZ769" s="23"/>
      <c r="CA769" s="23"/>
      <c r="CB769" s="23"/>
      <c r="CC769" s="23"/>
      <c r="CD769" s="23"/>
      <c r="CE769" s="23"/>
      <c r="CF769" s="23"/>
      <c r="CG769" s="23"/>
      <c r="CH769" s="23"/>
      <c r="CI769" s="23"/>
      <c r="CJ769" s="23"/>
      <c r="CK769" s="23"/>
      <c r="CL769" s="23"/>
      <c r="CO769" s="30"/>
    </row>
    <row r="770" spans="27:93" ht="12.75" x14ac:dyDescent="0.2"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  <c r="BB770" s="23"/>
      <c r="BC770" s="23"/>
      <c r="BD770" s="23"/>
      <c r="BE770" s="23"/>
      <c r="BF770" s="23"/>
      <c r="BG770" s="23"/>
      <c r="BH770" s="23"/>
      <c r="BI770" s="23"/>
      <c r="BJ770" s="23"/>
      <c r="BK770" s="23"/>
      <c r="BL770" s="23"/>
      <c r="BM770" s="23"/>
      <c r="BN770" s="23"/>
      <c r="BO770" s="23"/>
      <c r="BP770" s="23"/>
      <c r="BQ770" s="23"/>
      <c r="BR770" s="23"/>
      <c r="BS770" s="23"/>
      <c r="BT770" s="23"/>
      <c r="BU770" s="23"/>
      <c r="BV770" s="23"/>
      <c r="BW770" s="23"/>
      <c r="BX770" s="23"/>
      <c r="BY770" s="23"/>
      <c r="BZ770" s="23"/>
      <c r="CA770" s="23"/>
      <c r="CB770" s="23"/>
      <c r="CC770" s="23"/>
      <c r="CD770" s="23"/>
      <c r="CE770" s="23"/>
      <c r="CF770" s="23"/>
      <c r="CG770" s="23"/>
      <c r="CH770" s="23"/>
      <c r="CI770" s="23"/>
      <c r="CJ770" s="23"/>
      <c r="CK770" s="23"/>
      <c r="CL770" s="23"/>
      <c r="CO770" s="30"/>
    </row>
    <row r="771" spans="27:93" ht="12.75" x14ac:dyDescent="0.2"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  <c r="BD771" s="23"/>
      <c r="BE771" s="23"/>
      <c r="BF771" s="23"/>
      <c r="BG771" s="23"/>
      <c r="BH771" s="23"/>
      <c r="BI771" s="23"/>
      <c r="BJ771" s="23"/>
      <c r="BK771" s="23"/>
      <c r="BL771" s="23"/>
      <c r="BM771" s="23"/>
      <c r="BN771" s="23"/>
      <c r="BO771" s="23"/>
      <c r="BP771" s="23"/>
      <c r="BQ771" s="23"/>
      <c r="BR771" s="23"/>
      <c r="BS771" s="23"/>
      <c r="BT771" s="23"/>
      <c r="BU771" s="23"/>
      <c r="BV771" s="23"/>
      <c r="BW771" s="23"/>
      <c r="BX771" s="23"/>
      <c r="BY771" s="23"/>
      <c r="BZ771" s="23"/>
      <c r="CA771" s="23"/>
      <c r="CB771" s="23"/>
      <c r="CC771" s="23"/>
      <c r="CD771" s="23"/>
      <c r="CE771" s="23"/>
      <c r="CF771" s="23"/>
      <c r="CG771" s="23"/>
      <c r="CH771" s="23"/>
      <c r="CI771" s="23"/>
      <c r="CJ771" s="23"/>
      <c r="CK771" s="23"/>
      <c r="CL771" s="23"/>
      <c r="CO771" s="30"/>
    </row>
    <row r="772" spans="27:93" ht="12.75" x14ac:dyDescent="0.2"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  <c r="AY772" s="23"/>
      <c r="AZ772" s="23"/>
      <c r="BA772" s="23"/>
      <c r="BB772" s="23"/>
      <c r="BC772" s="23"/>
      <c r="BD772" s="23"/>
      <c r="BE772" s="23"/>
      <c r="BF772" s="23"/>
      <c r="BG772" s="23"/>
      <c r="BH772" s="23"/>
      <c r="BI772" s="23"/>
      <c r="BJ772" s="23"/>
      <c r="BK772" s="23"/>
      <c r="BL772" s="23"/>
      <c r="BM772" s="23"/>
      <c r="BN772" s="23"/>
      <c r="BO772" s="23"/>
      <c r="BP772" s="23"/>
      <c r="BQ772" s="23"/>
      <c r="BR772" s="23"/>
      <c r="BS772" s="23"/>
      <c r="BT772" s="23"/>
      <c r="BU772" s="23"/>
      <c r="BV772" s="23"/>
      <c r="BW772" s="23"/>
      <c r="BX772" s="23"/>
      <c r="BY772" s="23"/>
      <c r="BZ772" s="23"/>
      <c r="CA772" s="23"/>
      <c r="CB772" s="23"/>
      <c r="CC772" s="23"/>
      <c r="CD772" s="23"/>
      <c r="CE772" s="23"/>
      <c r="CF772" s="23"/>
      <c r="CG772" s="23"/>
      <c r="CH772" s="23"/>
      <c r="CI772" s="23"/>
      <c r="CJ772" s="23"/>
      <c r="CK772" s="23"/>
      <c r="CL772" s="23"/>
      <c r="CO772" s="30"/>
    </row>
    <row r="773" spans="27:93" ht="12.75" x14ac:dyDescent="0.2"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s="23"/>
      <c r="BC773" s="23"/>
      <c r="BD773" s="23"/>
      <c r="BE773" s="23"/>
      <c r="BF773" s="23"/>
      <c r="BG773" s="23"/>
      <c r="BH773" s="23"/>
      <c r="BI773" s="23"/>
      <c r="BJ773" s="23"/>
      <c r="BK773" s="23"/>
      <c r="BL773" s="23"/>
      <c r="BM773" s="23"/>
      <c r="BN773" s="23"/>
      <c r="BO773" s="23"/>
      <c r="BP773" s="23"/>
      <c r="BQ773" s="23"/>
      <c r="BR773" s="23"/>
      <c r="BS773" s="23"/>
      <c r="BT773" s="23"/>
      <c r="BU773" s="23"/>
      <c r="BV773" s="23"/>
      <c r="BW773" s="23"/>
      <c r="BX773" s="23"/>
      <c r="BY773" s="23"/>
      <c r="BZ773" s="23"/>
      <c r="CA773" s="23"/>
      <c r="CB773" s="23"/>
      <c r="CC773" s="23"/>
      <c r="CD773" s="23"/>
      <c r="CE773" s="23"/>
      <c r="CF773" s="23"/>
      <c r="CG773" s="23"/>
      <c r="CH773" s="23"/>
      <c r="CI773" s="23"/>
      <c r="CJ773" s="23"/>
      <c r="CK773" s="23"/>
      <c r="CL773" s="23"/>
      <c r="CO773" s="30"/>
    </row>
    <row r="774" spans="27:93" ht="12.75" x14ac:dyDescent="0.2"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  <c r="BB774" s="23"/>
      <c r="BC774" s="23"/>
      <c r="BD774" s="23"/>
      <c r="BE774" s="23"/>
      <c r="BF774" s="23"/>
      <c r="BG774" s="23"/>
      <c r="BH774" s="23"/>
      <c r="BI774" s="23"/>
      <c r="BJ774" s="23"/>
      <c r="BK774" s="23"/>
      <c r="BL774" s="23"/>
      <c r="BM774" s="23"/>
      <c r="BN774" s="23"/>
      <c r="BO774" s="23"/>
      <c r="BP774" s="23"/>
      <c r="BQ774" s="23"/>
      <c r="BR774" s="23"/>
      <c r="BS774" s="23"/>
      <c r="BT774" s="23"/>
      <c r="BU774" s="23"/>
      <c r="BV774" s="23"/>
      <c r="BW774" s="23"/>
      <c r="BX774" s="23"/>
      <c r="BY774" s="23"/>
      <c r="BZ774" s="23"/>
      <c r="CA774" s="23"/>
      <c r="CB774" s="23"/>
      <c r="CC774" s="23"/>
      <c r="CD774" s="23"/>
      <c r="CE774" s="23"/>
      <c r="CF774" s="23"/>
      <c r="CG774" s="23"/>
      <c r="CH774" s="23"/>
      <c r="CI774" s="23"/>
      <c r="CJ774" s="23"/>
      <c r="CK774" s="23"/>
      <c r="CL774" s="23"/>
      <c r="CO774" s="30"/>
    </row>
    <row r="775" spans="27:93" ht="12.75" x14ac:dyDescent="0.2"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  <c r="BB775" s="23"/>
      <c r="BC775" s="23"/>
      <c r="BD775" s="23"/>
      <c r="BE775" s="23"/>
      <c r="BF775" s="23"/>
      <c r="BG775" s="23"/>
      <c r="BH775" s="23"/>
      <c r="BI775" s="23"/>
      <c r="BJ775" s="23"/>
      <c r="BK775" s="23"/>
      <c r="BL775" s="23"/>
      <c r="BM775" s="23"/>
      <c r="BN775" s="23"/>
      <c r="BO775" s="23"/>
      <c r="BP775" s="23"/>
      <c r="BQ775" s="23"/>
      <c r="BR775" s="23"/>
      <c r="BS775" s="23"/>
      <c r="BT775" s="23"/>
      <c r="BU775" s="23"/>
      <c r="BV775" s="23"/>
      <c r="BW775" s="23"/>
      <c r="BX775" s="23"/>
      <c r="BY775" s="23"/>
      <c r="BZ775" s="23"/>
      <c r="CA775" s="23"/>
      <c r="CB775" s="23"/>
      <c r="CC775" s="23"/>
      <c r="CD775" s="23"/>
      <c r="CE775" s="23"/>
      <c r="CF775" s="23"/>
      <c r="CG775" s="23"/>
      <c r="CH775" s="23"/>
      <c r="CI775" s="23"/>
      <c r="CJ775" s="23"/>
      <c r="CK775" s="23"/>
      <c r="CL775" s="23"/>
      <c r="CO775" s="30"/>
    </row>
    <row r="776" spans="27:93" ht="12.75" x14ac:dyDescent="0.2"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  <c r="BB776" s="23"/>
      <c r="BC776" s="23"/>
      <c r="BD776" s="23"/>
      <c r="BE776" s="23"/>
      <c r="BF776" s="23"/>
      <c r="BG776" s="23"/>
      <c r="BH776" s="23"/>
      <c r="BI776" s="23"/>
      <c r="BJ776" s="23"/>
      <c r="BK776" s="23"/>
      <c r="BL776" s="23"/>
      <c r="BM776" s="23"/>
      <c r="BN776" s="23"/>
      <c r="BO776" s="23"/>
      <c r="BP776" s="23"/>
      <c r="BQ776" s="23"/>
      <c r="BR776" s="23"/>
      <c r="BS776" s="23"/>
      <c r="BT776" s="23"/>
      <c r="BU776" s="23"/>
      <c r="BV776" s="23"/>
      <c r="BW776" s="23"/>
      <c r="BX776" s="23"/>
      <c r="BY776" s="23"/>
      <c r="BZ776" s="23"/>
      <c r="CA776" s="23"/>
      <c r="CB776" s="23"/>
      <c r="CC776" s="23"/>
      <c r="CD776" s="23"/>
      <c r="CE776" s="23"/>
      <c r="CF776" s="23"/>
      <c r="CG776" s="23"/>
      <c r="CH776" s="23"/>
      <c r="CI776" s="23"/>
      <c r="CJ776" s="23"/>
      <c r="CK776" s="23"/>
      <c r="CL776" s="23"/>
      <c r="CO776" s="30"/>
    </row>
    <row r="777" spans="27:93" ht="12.75" x14ac:dyDescent="0.2"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  <c r="BB777" s="23"/>
      <c r="BC777" s="23"/>
      <c r="BD777" s="23"/>
      <c r="BE777" s="23"/>
      <c r="BF777" s="23"/>
      <c r="BG777" s="23"/>
      <c r="BH777" s="23"/>
      <c r="BI777" s="23"/>
      <c r="BJ777" s="23"/>
      <c r="BK777" s="23"/>
      <c r="BL777" s="23"/>
      <c r="BM777" s="23"/>
      <c r="BN777" s="23"/>
      <c r="BO777" s="23"/>
      <c r="BP777" s="23"/>
      <c r="BQ777" s="23"/>
      <c r="BR777" s="23"/>
      <c r="BS777" s="23"/>
      <c r="BT777" s="23"/>
      <c r="BU777" s="23"/>
      <c r="BV777" s="23"/>
      <c r="BW777" s="23"/>
      <c r="BX777" s="23"/>
      <c r="BY777" s="23"/>
      <c r="BZ777" s="23"/>
      <c r="CA777" s="23"/>
      <c r="CB777" s="23"/>
      <c r="CC777" s="23"/>
      <c r="CD777" s="23"/>
      <c r="CE777" s="23"/>
      <c r="CF777" s="23"/>
      <c r="CG777" s="23"/>
      <c r="CH777" s="23"/>
      <c r="CI777" s="23"/>
      <c r="CJ777" s="23"/>
      <c r="CK777" s="23"/>
      <c r="CL777" s="23"/>
      <c r="CO777" s="30"/>
    </row>
    <row r="778" spans="27:93" ht="12.75" x14ac:dyDescent="0.2"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  <c r="AY778" s="23"/>
      <c r="AZ778" s="23"/>
      <c r="BA778" s="23"/>
      <c r="BB778" s="23"/>
      <c r="BC778" s="23"/>
      <c r="BD778" s="23"/>
      <c r="BE778" s="23"/>
      <c r="BF778" s="23"/>
      <c r="BG778" s="23"/>
      <c r="BH778" s="23"/>
      <c r="BI778" s="23"/>
      <c r="BJ778" s="23"/>
      <c r="BK778" s="23"/>
      <c r="BL778" s="23"/>
      <c r="BM778" s="23"/>
      <c r="BN778" s="23"/>
      <c r="BO778" s="23"/>
      <c r="BP778" s="23"/>
      <c r="BQ778" s="23"/>
      <c r="BR778" s="23"/>
      <c r="BS778" s="23"/>
      <c r="BT778" s="23"/>
      <c r="BU778" s="23"/>
      <c r="BV778" s="23"/>
      <c r="BW778" s="23"/>
      <c r="BX778" s="23"/>
      <c r="BY778" s="23"/>
      <c r="BZ778" s="23"/>
      <c r="CA778" s="23"/>
      <c r="CB778" s="23"/>
      <c r="CC778" s="23"/>
      <c r="CD778" s="23"/>
      <c r="CE778" s="23"/>
      <c r="CF778" s="23"/>
      <c r="CG778" s="23"/>
      <c r="CH778" s="23"/>
      <c r="CI778" s="23"/>
      <c r="CJ778" s="23"/>
      <c r="CK778" s="23"/>
      <c r="CL778" s="23"/>
      <c r="CO778" s="30"/>
    </row>
    <row r="779" spans="27:93" ht="12.75" x14ac:dyDescent="0.2"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s="23"/>
      <c r="BC779" s="23"/>
      <c r="BD779" s="23"/>
      <c r="BE779" s="23"/>
      <c r="BF779" s="23"/>
      <c r="BG779" s="23"/>
      <c r="BH779" s="23"/>
      <c r="BI779" s="23"/>
      <c r="BJ779" s="23"/>
      <c r="BK779" s="23"/>
      <c r="BL779" s="23"/>
      <c r="BM779" s="23"/>
      <c r="BN779" s="23"/>
      <c r="BO779" s="23"/>
      <c r="BP779" s="23"/>
      <c r="BQ779" s="23"/>
      <c r="BR779" s="23"/>
      <c r="BS779" s="23"/>
      <c r="BT779" s="23"/>
      <c r="BU779" s="23"/>
      <c r="BV779" s="23"/>
      <c r="BW779" s="23"/>
      <c r="BX779" s="23"/>
      <c r="BY779" s="23"/>
      <c r="BZ779" s="23"/>
      <c r="CA779" s="23"/>
      <c r="CB779" s="23"/>
      <c r="CC779" s="23"/>
      <c r="CD779" s="23"/>
      <c r="CE779" s="23"/>
      <c r="CF779" s="23"/>
      <c r="CG779" s="23"/>
      <c r="CH779" s="23"/>
      <c r="CI779" s="23"/>
      <c r="CJ779" s="23"/>
      <c r="CK779" s="23"/>
      <c r="CL779" s="23"/>
      <c r="CO779" s="30"/>
    </row>
    <row r="780" spans="27:93" ht="12.75" x14ac:dyDescent="0.2"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  <c r="BA780" s="23"/>
      <c r="BB780" s="23"/>
      <c r="BC780" s="23"/>
      <c r="BD780" s="23"/>
      <c r="BE780" s="23"/>
      <c r="BF780" s="23"/>
      <c r="BG780" s="23"/>
      <c r="BH780" s="23"/>
      <c r="BI780" s="23"/>
      <c r="BJ780" s="23"/>
      <c r="BK780" s="23"/>
      <c r="BL780" s="23"/>
      <c r="BM780" s="23"/>
      <c r="BN780" s="23"/>
      <c r="BO780" s="23"/>
      <c r="BP780" s="23"/>
      <c r="BQ780" s="23"/>
      <c r="BR780" s="23"/>
      <c r="BS780" s="23"/>
      <c r="BT780" s="23"/>
      <c r="BU780" s="23"/>
      <c r="BV780" s="23"/>
      <c r="BW780" s="23"/>
      <c r="BX780" s="23"/>
      <c r="BY780" s="23"/>
      <c r="BZ780" s="23"/>
      <c r="CA780" s="23"/>
      <c r="CB780" s="23"/>
      <c r="CC780" s="23"/>
      <c r="CD780" s="23"/>
      <c r="CE780" s="23"/>
      <c r="CF780" s="23"/>
      <c r="CG780" s="23"/>
      <c r="CH780" s="23"/>
      <c r="CI780" s="23"/>
      <c r="CJ780" s="23"/>
      <c r="CK780" s="23"/>
      <c r="CL780" s="23"/>
      <c r="CO780" s="30"/>
    </row>
    <row r="781" spans="27:93" ht="12.75" x14ac:dyDescent="0.2"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  <c r="BB781" s="23"/>
      <c r="BC781" s="23"/>
      <c r="BD781" s="23"/>
      <c r="BE781" s="23"/>
      <c r="BF781" s="23"/>
      <c r="BG781" s="23"/>
      <c r="BH781" s="23"/>
      <c r="BI781" s="23"/>
      <c r="BJ781" s="23"/>
      <c r="BK781" s="23"/>
      <c r="BL781" s="23"/>
      <c r="BM781" s="23"/>
      <c r="BN781" s="23"/>
      <c r="BO781" s="23"/>
      <c r="BP781" s="23"/>
      <c r="BQ781" s="23"/>
      <c r="BR781" s="23"/>
      <c r="BS781" s="23"/>
      <c r="BT781" s="23"/>
      <c r="BU781" s="23"/>
      <c r="BV781" s="23"/>
      <c r="BW781" s="23"/>
      <c r="BX781" s="23"/>
      <c r="BY781" s="23"/>
      <c r="BZ781" s="23"/>
      <c r="CA781" s="23"/>
      <c r="CB781" s="23"/>
      <c r="CC781" s="23"/>
      <c r="CD781" s="23"/>
      <c r="CE781" s="23"/>
      <c r="CF781" s="23"/>
      <c r="CG781" s="23"/>
      <c r="CH781" s="23"/>
      <c r="CI781" s="23"/>
      <c r="CJ781" s="23"/>
      <c r="CK781" s="23"/>
      <c r="CL781" s="23"/>
      <c r="CO781" s="30"/>
    </row>
    <row r="782" spans="27:93" ht="12.75" x14ac:dyDescent="0.2"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  <c r="AY782" s="23"/>
      <c r="AZ782" s="23"/>
      <c r="BA782" s="23"/>
      <c r="BB782" s="23"/>
      <c r="BC782" s="23"/>
      <c r="BD782" s="23"/>
      <c r="BE782" s="23"/>
      <c r="BF782" s="23"/>
      <c r="BG782" s="23"/>
      <c r="BH782" s="23"/>
      <c r="BI782" s="23"/>
      <c r="BJ782" s="23"/>
      <c r="BK782" s="23"/>
      <c r="BL782" s="23"/>
      <c r="BM782" s="23"/>
      <c r="BN782" s="23"/>
      <c r="BO782" s="23"/>
      <c r="BP782" s="23"/>
      <c r="BQ782" s="23"/>
      <c r="BR782" s="23"/>
      <c r="BS782" s="23"/>
      <c r="BT782" s="23"/>
      <c r="BU782" s="23"/>
      <c r="BV782" s="23"/>
      <c r="BW782" s="23"/>
      <c r="BX782" s="23"/>
      <c r="BY782" s="23"/>
      <c r="BZ782" s="23"/>
      <c r="CA782" s="23"/>
      <c r="CB782" s="23"/>
      <c r="CC782" s="23"/>
      <c r="CD782" s="23"/>
      <c r="CE782" s="23"/>
      <c r="CF782" s="23"/>
      <c r="CG782" s="23"/>
      <c r="CH782" s="23"/>
      <c r="CI782" s="23"/>
      <c r="CJ782" s="23"/>
      <c r="CK782" s="23"/>
      <c r="CL782" s="23"/>
      <c r="CO782" s="30"/>
    </row>
    <row r="783" spans="27:93" ht="12.75" x14ac:dyDescent="0.2"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  <c r="BB783" s="23"/>
      <c r="BC783" s="23"/>
      <c r="BD783" s="23"/>
      <c r="BE783" s="23"/>
      <c r="BF783" s="23"/>
      <c r="BG783" s="23"/>
      <c r="BH783" s="23"/>
      <c r="BI783" s="23"/>
      <c r="BJ783" s="23"/>
      <c r="BK783" s="23"/>
      <c r="BL783" s="23"/>
      <c r="BM783" s="23"/>
      <c r="BN783" s="23"/>
      <c r="BO783" s="23"/>
      <c r="BP783" s="23"/>
      <c r="BQ783" s="23"/>
      <c r="BR783" s="23"/>
      <c r="BS783" s="23"/>
      <c r="BT783" s="23"/>
      <c r="BU783" s="23"/>
      <c r="BV783" s="23"/>
      <c r="BW783" s="23"/>
      <c r="BX783" s="23"/>
      <c r="BY783" s="23"/>
      <c r="BZ783" s="23"/>
      <c r="CA783" s="23"/>
      <c r="CB783" s="23"/>
      <c r="CC783" s="23"/>
      <c r="CD783" s="23"/>
      <c r="CE783" s="23"/>
      <c r="CF783" s="23"/>
      <c r="CG783" s="23"/>
      <c r="CH783" s="23"/>
      <c r="CI783" s="23"/>
      <c r="CJ783" s="23"/>
      <c r="CK783" s="23"/>
      <c r="CL783" s="23"/>
      <c r="CO783" s="30"/>
    </row>
    <row r="784" spans="27:93" ht="12.75" x14ac:dyDescent="0.2"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/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3"/>
      <c r="CA784" s="23"/>
      <c r="CB784" s="23"/>
      <c r="CC784" s="23"/>
      <c r="CD784" s="23"/>
      <c r="CE784" s="23"/>
      <c r="CF784" s="23"/>
      <c r="CG784" s="23"/>
      <c r="CH784" s="23"/>
      <c r="CI784" s="23"/>
      <c r="CJ784" s="23"/>
      <c r="CK784" s="23"/>
      <c r="CL784" s="23"/>
      <c r="CO784" s="30"/>
    </row>
    <row r="785" spans="27:93" ht="12.75" x14ac:dyDescent="0.2"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/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3"/>
      <c r="CA785" s="23"/>
      <c r="CB785" s="23"/>
      <c r="CC785" s="23"/>
      <c r="CD785" s="23"/>
      <c r="CE785" s="23"/>
      <c r="CF785" s="23"/>
      <c r="CG785" s="23"/>
      <c r="CH785" s="23"/>
      <c r="CI785" s="23"/>
      <c r="CJ785" s="23"/>
      <c r="CK785" s="23"/>
      <c r="CL785" s="23"/>
      <c r="CO785" s="30"/>
    </row>
    <row r="786" spans="27:93" ht="12.75" x14ac:dyDescent="0.2"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  <c r="BB786" s="23"/>
      <c r="BC786" s="23"/>
      <c r="BD786" s="23"/>
      <c r="BE786" s="23"/>
      <c r="BF786" s="23"/>
      <c r="BG786" s="23"/>
      <c r="BH786" s="23"/>
      <c r="BI786" s="23"/>
      <c r="BJ786" s="23"/>
      <c r="BK786" s="23"/>
      <c r="BL786" s="23"/>
      <c r="BM786" s="23"/>
      <c r="BN786" s="23"/>
      <c r="BO786" s="23"/>
      <c r="BP786" s="23"/>
      <c r="BQ786" s="23"/>
      <c r="BR786" s="23"/>
      <c r="BS786" s="23"/>
      <c r="BT786" s="23"/>
      <c r="BU786" s="23"/>
      <c r="BV786" s="23"/>
      <c r="BW786" s="23"/>
      <c r="BX786" s="23"/>
      <c r="BY786" s="23"/>
      <c r="BZ786" s="23"/>
      <c r="CA786" s="23"/>
      <c r="CB786" s="23"/>
      <c r="CC786" s="23"/>
      <c r="CD786" s="23"/>
      <c r="CE786" s="23"/>
      <c r="CF786" s="23"/>
      <c r="CG786" s="23"/>
      <c r="CH786" s="23"/>
      <c r="CI786" s="23"/>
      <c r="CJ786" s="23"/>
      <c r="CK786" s="23"/>
      <c r="CL786" s="23"/>
      <c r="CO786" s="30"/>
    </row>
    <row r="787" spans="27:93" ht="12.75" x14ac:dyDescent="0.2"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/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3"/>
      <c r="CA787" s="23"/>
      <c r="CB787" s="23"/>
      <c r="CC787" s="23"/>
      <c r="CD787" s="23"/>
      <c r="CE787" s="23"/>
      <c r="CF787" s="23"/>
      <c r="CG787" s="23"/>
      <c r="CH787" s="23"/>
      <c r="CI787" s="23"/>
      <c r="CJ787" s="23"/>
      <c r="CK787" s="23"/>
      <c r="CL787" s="23"/>
      <c r="CO787" s="30"/>
    </row>
    <row r="788" spans="27:93" ht="12.75" x14ac:dyDescent="0.2"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  <c r="AY788" s="23"/>
      <c r="AZ788" s="23"/>
      <c r="BA788" s="23"/>
      <c r="BB788" s="23"/>
      <c r="BC788" s="23"/>
      <c r="BD788" s="23"/>
      <c r="BE788" s="23"/>
      <c r="BF788" s="23"/>
      <c r="BG788" s="23"/>
      <c r="BH788" s="23"/>
      <c r="BI788" s="23"/>
      <c r="BJ788" s="23"/>
      <c r="BK788" s="23"/>
      <c r="BL788" s="23"/>
      <c r="BM788" s="23"/>
      <c r="BN788" s="23"/>
      <c r="BO788" s="23"/>
      <c r="BP788" s="23"/>
      <c r="BQ788" s="23"/>
      <c r="BR788" s="23"/>
      <c r="BS788" s="23"/>
      <c r="BT788" s="23"/>
      <c r="BU788" s="23"/>
      <c r="BV788" s="23"/>
      <c r="BW788" s="23"/>
      <c r="BX788" s="23"/>
      <c r="BY788" s="23"/>
      <c r="BZ788" s="23"/>
      <c r="CA788" s="23"/>
      <c r="CB788" s="23"/>
      <c r="CC788" s="23"/>
      <c r="CD788" s="23"/>
      <c r="CE788" s="23"/>
      <c r="CF788" s="23"/>
      <c r="CG788" s="23"/>
      <c r="CH788" s="23"/>
      <c r="CI788" s="23"/>
      <c r="CJ788" s="23"/>
      <c r="CK788" s="23"/>
      <c r="CL788" s="23"/>
      <c r="CO788" s="30"/>
    </row>
    <row r="789" spans="27:93" ht="12.75" x14ac:dyDescent="0.2"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  <c r="BB789" s="23"/>
      <c r="BC789" s="23"/>
      <c r="BD789" s="23"/>
      <c r="BE789" s="23"/>
      <c r="BF789" s="23"/>
      <c r="BG789" s="23"/>
      <c r="BH789" s="23"/>
      <c r="BI789" s="23"/>
      <c r="BJ789" s="23"/>
      <c r="BK789" s="23"/>
      <c r="BL789" s="23"/>
      <c r="BM789" s="23"/>
      <c r="BN789" s="23"/>
      <c r="BO789" s="23"/>
      <c r="BP789" s="23"/>
      <c r="BQ789" s="23"/>
      <c r="BR789" s="23"/>
      <c r="BS789" s="23"/>
      <c r="BT789" s="23"/>
      <c r="BU789" s="23"/>
      <c r="BV789" s="23"/>
      <c r="BW789" s="23"/>
      <c r="BX789" s="23"/>
      <c r="BY789" s="23"/>
      <c r="BZ789" s="23"/>
      <c r="CA789" s="23"/>
      <c r="CB789" s="23"/>
      <c r="CC789" s="23"/>
      <c r="CD789" s="23"/>
      <c r="CE789" s="23"/>
      <c r="CF789" s="23"/>
      <c r="CG789" s="23"/>
      <c r="CH789" s="23"/>
      <c r="CI789" s="23"/>
      <c r="CJ789" s="23"/>
      <c r="CK789" s="23"/>
      <c r="CL789" s="23"/>
      <c r="CO789" s="30"/>
    </row>
    <row r="790" spans="27:93" ht="12.75" x14ac:dyDescent="0.2"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3"/>
      <c r="BC790" s="23"/>
      <c r="BD790" s="23"/>
      <c r="BE790" s="23"/>
      <c r="BF790" s="23"/>
      <c r="BG790" s="23"/>
      <c r="BH790" s="23"/>
      <c r="BI790" s="23"/>
      <c r="BJ790" s="23"/>
      <c r="BK790" s="23"/>
      <c r="BL790" s="23"/>
      <c r="BM790" s="23"/>
      <c r="BN790" s="23"/>
      <c r="BO790" s="23"/>
      <c r="BP790" s="23"/>
      <c r="BQ790" s="23"/>
      <c r="BR790" s="23"/>
      <c r="BS790" s="23"/>
      <c r="BT790" s="23"/>
      <c r="BU790" s="23"/>
      <c r="BV790" s="23"/>
      <c r="BW790" s="23"/>
      <c r="BX790" s="23"/>
      <c r="BY790" s="23"/>
      <c r="BZ790" s="23"/>
      <c r="CA790" s="23"/>
      <c r="CB790" s="23"/>
      <c r="CC790" s="23"/>
      <c r="CD790" s="23"/>
      <c r="CE790" s="23"/>
      <c r="CF790" s="23"/>
      <c r="CG790" s="23"/>
      <c r="CH790" s="23"/>
      <c r="CI790" s="23"/>
      <c r="CJ790" s="23"/>
      <c r="CK790" s="23"/>
      <c r="CL790" s="23"/>
      <c r="CO790" s="30"/>
    </row>
    <row r="791" spans="27:93" ht="12.75" x14ac:dyDescent="0.2"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  <c r="BB791" s="23"/>
      <c r="BC791" s="23"/>
      <c r="BD791" s="23"/>
      <c r="BE791" s="23"/>
      <c r="BF791" s="23"/>
      <c r="BG791" s="23"/>
      <c r="BH791" s="23"/>
      <c r="BI791" s="23"/>
      <c r="BJ791" s="23"/>
      <c r="BK791" s="23"/>
      <c r="BL791" s="23"/>
      <c r="BM791" s="23"/>
      <c r="BN791" s="23"/>
      <c r="BO791" s="23"/>
      <c r="BP791" s="23"/>
      <c r="BQ791" s="23"/>
      <c r="BR791" s="23"/>
      <c r="BS791" s="23"/>
      <c r="BT791" s="23"/>
      <c r="BU791" s="23"/>
      <c r="BV791" s="23"/>
      <c r="BW791" s="23"/>
      <c r="BX791" s="23"/>
      <c r="BY791" s="23"/>
      <c r="BZ791" s="23"/>
      <c r="CA791" s="23"/>
      <c r="CB791" s="23"/>
      <c r="CC791" s="23"/>
      <c r="CD791" s="23"/>
      <c r="CE791" s="23"/>
      <c r="CF791" s="23"/>
      <c r="CG791" s="23"/>
      <c r="CH791" s="23"/>
      <c r="CI791" s="23"/>
      <c r="CJ791" s="23"/>
      <c r="CK791" s="23"/>
      <c r="CL791" s="23"/>
      <c r="CO791" s="30"/>
    </row>
    <row r="792" spans="27:93" ht="12.75" x14ac:dyDescent="0.2"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  <c r="AY792" s="23"/>
      <c r="AZ792" s="23"/>
      <c r="BA792" s="23"/>
      <c r="BB792" s="23"/>
      <c r="BC792" s="23"/>
      <c r="BD792" s="23"/>
      <c r="BE792" s="23"/>
      <c r="BF792" s="23"/>
      <c r="BG792" s="23"/>
      <c r="BH792" s="23"/>
      <c r="BI792" s="23"/>
      <c r="BJ792" s="23"/>
      <c r="BK792" s="23"/>
      <c r="BL792" s="23"/>
      <c r="BM792" s="23"/>
      <c r="BN792" s="23"/>
      <c r="BO792" s="23"/>
      <c r="BP792" s="23"/>
      <c r="BQ792" s="23"/>
      <c r="BR792" s="23"/>
      <c r="BS792" s="23"/>
      <c r="BT792" s="23"/>
      <c r="BU792" s="23"/>
      <c r="BV792" s="23"/>
      <c r="BW792" s="23"/>
      <c r="BX792" s="23"/>
      <c r="BY792" s="23"/>
      <c r="BZ792" s="23"/>
      <c r="CA792" s="23"/>
      <c r="CB792" s="23"/>
      <c r="CC792" s="23"/>
      <c r="CD792" s="23"/>
      <c r="CE792" s="23"/>
      <c r="CF792" s="23"/>
      <c r="CG792" s="23"/>
      <c r="CH792" s="23"/>
      <c r="CI792" s="23"/>
      <c r="CJ792" s="23"/>
      <c r="CK792" s="23"/>
      <c r="CL792" s="23"/>
      <c r="CO792" s="30"/>
    </row>
    <row r="793" spans="27:93" ht="12.75" x14ac:dyDescent="0.2"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3"/>
      <c r="BC793" s="23"/>
      <c r="BD793" s="23"/>
      <c r="BE793" s="23"/>
      <c r="BF793" s="23"/>
      <c r="BG793" s="23"/>
      <c r="BH793" s="23"/>
      <c r="BI793" s="23"/>
      <c r="BJ793" s="23"/>
      <c r="BK793" s="23"/>
      <c r="BL793" s="23"/>
      <c r="BM793" s="23"/>
      <c r="BN793" s="23"/>
      <c r="BO793" s="23"/>
      <c r="BP793" s="23"/>
      <c r="BQ793" s="23"/>
      <c r="BR793" s="23"/>
      <c r="BS793" s="23"/>
      <c r="BT793" s="23"/>
      <c r="BU793" s="23"/>
      <c r="BV793" s="23"/>
      <c r="BW793" s="23"/>
      <c r="BX793" s="23"/>
      <c r="BY793" s="23"/>
      <c r="BZ793" s="23"/>
      <c r="CA793" s="23"/>
      <c r="CB793" s="23"/>
      <c r="CC793" s="23"/>
      <c r="CD793" s="23"/>
      <c r="CE793" s="23"/>
      <c r="CF793" s="23"/>
      <c r="CG793" s="23"/>
      <c r="CH793" s="23"/>
      <c r="CI793" s="23"/>
      <c r="CJ793" s="23"/>
      <c r="CK793" s="23"/>
      <c r="CL793" s="23"/>
      <c r="CO793" s="30"/>
    </row>
    <row r="794" spans="27:93" ht="12.75" x14ac:dyDescent="0.2"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  <c r="BA794" s="23"/>
      <c r="BB794" s="23"/>
      <c r="BC794" s="23"/>
      <c r="BD794" s="23"/>
      <c r="BE794" s="23"/>
      <c r="BF794" s="23"/>
      <c r="BG794" s="23"/>
      <c r="BH794" s="23"/>
      <c r="BI794" s="23"/>
      <c r="BJ794" s="23"/>
      <c r="BK794" s="23"/>
      <c r="BL794" s="23"/>
      <c r="BM794" s="23"/>
      <c r="BN794" s="23"/>
      <c r="BO794" s="23"/>
      <c r="BP794" s="23"/>
      <c r="BQ794" s="23"/>
      <c r="BR794" s="23"/>
      <c r="BS794" s="23"/>
      <c r="BT794" s="23"/>
      <c r="BU794" s="23"/>
      <c r="BV794" s="23"/>
      <c r="BW794" s="23"/>
      <c r="BX794" s="23"/>
      <c r="BY794" s="23"/>
      <c r="BZ794" s="23"/>
      <c r="CA794" s="23"/>
      <c r="CB794" s="23"/>
      <c r="CC794" s="23"/>
      <c r="CD794" s="23"/>
      <c r="CE794" s="23"/>
      <c r="CF794" s="23"/>
      <c r="CG794" s="23"/>
      <c r="CH794" s="23"/>
      <c r="CI794" s="23"/>
      <c r="CJ794" s="23"/>
      <c r="CK794" s="23"/>
      <c r="CL794" s="23"/>
      <c r="CO794" s="30"/>
    </row>
    <row r="795" spans="27:93" ht="12.75" x14ac:dyDescent="0.2"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  <c r="BB795" s="23"/>
      <c r="BC795" s="23"/>
      <c r="BD795" s="23"/>
      <c r="BE795" s="23"/>
      <c r="BF795" s="23"/>
      <c r="BG795" s="23"/>
      <c r="BH795" s="23"/>
      <c r="BI795" s="23"/>
      <c r="BJ795" s="23"/>
      <c r="BK795" s="23"/>
      <c r="BL795" s="23"/>
      <c r="BM795" s="23"/>
      <c r="BN795" s="23"/>
      <c r="BO795" s="23"/>
      <c r="BP795" s="23"/>
      <c r="BQ795" s="23"/>
      <c r="BR795" s="23"/>
      <c r="BS795" s="23"/>
      <c r="BT795" s="23"/>
      <c r="BU795" s="23"/>
      <c r="BV795" s="23"/>
      <c r="BW795" s="23"/>
      <c r="BX795" s="23"/>
      <c r="BY795" s="23"/>
      <c r="BZ795" s="23"/>
      <c r="CA795" s="23"/>
      <c r="CB795" s="23"/>
      <c r="CC795" s="23"/>
      <c r="CD795" s="23"/>
      <c r="CE795" s="23"/>
      <c r="CF795" s="23"/>
      <c r="CG795" s="23"/>
      <c r="CH795" s="23"/>
      <c r="CI795" s="23"/>
      <c r="CJ795" s="23"/>
      <c r="CK795" s="23"/>
      <c r="CL795" s="23"/>
      <c r="CO795" s="30"/>
    </row>
    <row r="796" spans="27:93" ht="12.75" x14ac:dyDescent="0.2"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  <c r="AY796" s="23"/>
      <c r="AZ796" s="23"/>
      <c r="BA796" s="23"/>
      <c r="BB796" s="23"/>
      <c r="BC796" s="23"/>
      <c r="BD796" s="23"/>
      <c r="BE796" s="23"/>
      <c r="BF796" s="23"/>
      <c r="BG796" s="23"/>
      <c r="BH796" s="23"/>
      <c r="BI796" s="23"/>
      <c r="BJ796" s="23"/>
      <c r="BK796" s="23"/>
      <c r="BL796" s="23"/>
      <c r="BM796" s="23"/>
      <c r="BN796" s="23"/>
      <c r="BO796" s="23"/>
      <c r="BP796" s="23"/>
      <c r="BQ796" s="23"/>
      <c r="BR796" s="23"/>
      <c r="BS796" s="23"/>
      <c r="BT796" s="23"/>
      <c r="BU796" s="23"/>
      <c r="BV796" s="23"/>
      <c r="BW796" s="23"/>
      <c r="BX796" s="23"/>
      <c r="BY796" s="23"/>
      <c r="BZ796" s="23"/>
      <c r="CA796" s="23"/>
      <c r="CB796" s="23"/>
      <c r="CC796" s="23"/>
      <c r="CD796" s="23"/>
      <c r="CE796" s="23"/>
      <c r="CF796" s="23"/>
      <c r="CG796" s="23"/>
      <c r="CH796" s="23"/>
      <c r="CI796" s="23"/>
      <c r="CJ796" s="23"/>
      <c r="CK796" s="23"/>
      <c r="CL796" s="23"/>
      <c r="CO796" s="30"/>
    </row>
    <row r="797" spans="27:93" ht="12.75" x14ac:dyDescent="0.2"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  <c r="BB797" s="23"/>
      <c r="BC797" s="23"/>
      <c r="BD797" s="23"/>
      <c r="BE797" s="23"/>
      <c r="BF797" s="23"/>
      <c r="BG797" s="23"/>
      <c r="BH797" s="23"/>
      <c r="BI797" s="23"/>
      <c r="BJ797" s="23"/>
      <c r="BK797" s="23"/>
      <c r="BL797" s="23"/>
      <c r="BM797" s="23"/>
      <c r="BN797" s="23"/>
      <c r="BO797" s="23"/>
      <c r="BP797" s="23"/>
      <c r="BQ797" s="23"/>
      <c r="BR797" s="23"/>
      <c r="BS797" s="23"/>
      <c r="BT797" s="23"/>
      <c r="BU797" s="23"/>
      <c r="BV797" s="23"/>
      <c r="BW797" s="23"/>
      <c r="BX797" s="23"/>
      <c r="BY797" s="23"/>
      <c r="BZ797" s="23"/>
      <c r="CA797" s="23"/>
      <c r="CB797" s="23"/>
      <c r="CC797" s="23"/>
      <c r="CD797" s="23"/>
      <c r="CE797" s="23"/>
      <c r="CF797" s="23"/>
      <c r="CG797" s="23"/>
      <c r="CH797" s="23"/>
      <c r="CI797" s="23"/>
      <c r="CJ797" s="23"/>
      <c r="CK797" s="23"/>
      <c r="CL797" s="23"/>
      <c r="CO797" s="30"/>
    </row>
    <row r="798" spans="27:93" ht="12.75" x14ac:dyDescent="0.2"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  <c r="AY798" s="23"/>
      <c r="AZ798" s="23"/>
      <c r="BA798" s="23"/>
      <c r="BB798" s="23"/>
      <c r="BC798" s="23"/>
      <c r="BD798" s="23"/>
      <c r="BE798" s="23"/>
      <c r="BF798" s="23"/>
      <c r="BG798" s="23"/>
      <c r="BH798" s="23"/>
      <c r="BI798" s="23"/>
      <c r="BJ798" s="23"/>
      <c r="BK798" s="23"/>
      <c r="BL798" s="23"/>
      <c r="BM798" s="23"/>
      <c r="BN798" s="23"/>
      <c r="BO798" s="23"/>
      <c r="BP798" s="23"/>
      <c r="BQ798" s="23"/>
      <c r="BR798" s="23"/>
      <c r="BS798" s="23"/>
      <c r="BT798" s="23"/>
      <c r="BU798" s="23"/>
      <c r="BV798" s="23"/>
      <c r="BW798" s="23"/>
      <c r="BX798" s="23"/>
      <c r="BY798" s="23"/>
      <c r="BZ798" s="23"/>
      <c r="CA798" s="23"/>
      <c r="CB798" s="23"/>
      <c r="CC798" s="23"/>
      <c r="CD798" s="23"/>
      <c r="CE798" s="23"/>
      <c r="CF798" s="23"/>
      <c r="CG798" s="23"/>
      <c r="CH798" s="23"/>
      <c r="CI798" s="23"/>
      <c r="CJ798" s="23"/>
      <c r="CK798" s="23"/>
      <c r="CL798" s="23"/>
      <c r="CO798" s="30"/>
    </row>
    <row r="799" spans="27:93" ht="12.75" x14ac:dyDescent="0.2"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  <c r="BB799" s="23"/>
      <c r="BC799" s="23"/>
      <c r="BD799" s="23"/>
      <c r="BE799" s="23"/>
      <c r="BF799" s="23"/>
      <c r="BG799" s="23"/>
      <c r="BH799" s="23"/>
      <c r="BI799" s="23"/>
      <c r="BJ799" s="23"/>
      <c r="BK799" s="23"/>
      <c r="BL799" s="23"/>
      <c r="BM799" s="23"/>
      <c r="BN799" s="23"/>
      <c r="BO799" s="23"/>
      <c r="BP799" s="23"/>
      <c r="BQ799" s="23"/>
      <c r="BR799" s="23"/>
      <c r="BS799" s="23"/>
      <c r="BT799" s="23"/>
      <c r="BU799" s="23"/>
      <c r="BV799" s="23"/>
      <c r="BW799" s="23"/>
      <c r="BX799" s="23"/>
      <c r="BY799" s="23"/>
      <c r="BZ799" s="23"/>
      <c r="CA799" s="23"/>
      <c r="CB799" s="23"/>
      <c r="CC799" s="23"/>
      <c r="CD799" s="23"/>
      <c r="CE799" s="23"/>
      <c r="CF799" s="23"/>
      <c r="CG799" s="23"/>
      <c r="CH799" s="23"/>
      <c r="CI799" s="23"/>
      <c r="CJ799" s="23"/>
      <c r="CK799" s="23"/>
      <c r="CL799" s="23"/>
      <c r="CO799" s="30"/>
    </row>
    <row r="800" spans="27:93" ht="12.75" x14ac:dyDescent="0.2"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  <c r="BB800" s="23"/>
      <c r="BC800" s="23"/>
      <c r="BD800" s="23"/>
      <c r="BE800" s="23"/>
      <c r="BF800" s="23"/>
      <c r="BG800" s="23"/>
      <c r="BH800" s="23"/>
      <c r="BI800" s="23"/>
      <c r="BJ800" s="23"/>
      <c r="BK800" s="23"/>
      <c r="BL800" s="23"/>
      <c r="BM800" s="23"/>
      <c r="BN800" s="23"/>
      <c r="BO800" s="23"/>
      <c r="BP800" s="23"/>
      <c r="BQ800" s="23"/>
      <c r="BR800" s="23"/>
      <c r="BS800" s="23"/>
      <c r="BT800" s="23"/>
      <c r="BU800" s="23"/>
      <c r="BV800" s="23"/>
      <c r="BW800" s="23"/>
      <c r="BX800" s="23"/>
      <c r="BY800" s="23"/>
      <c r="BZ800" s="23"/>
      <c r="CA800" s="23"/>
      <c r="CB800" s="23"/>
      <c r="CC800" s="23"/>
      <c r="CD800" s="23"/>
      <c r="CE800" s="23"/>
      <c r="CF800" s="23"/>
      <c r="CG800" s="23"/>
      <c r="CH800" s="23"/>
      <c r="CI800" s="23"/>
      <c r="CJ800" s="23"/>
      <c r="CK800" s="23"/>
      <c r="CL800" s="23"/>
      <c r="CO800" s="30"/>
    </row>
    <row r="801" spans="27:93" ht="12.75" x14ac:dyDescent="0.2"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3"/>
      <c r="BC801" s="23"/>
      <c r="BD801" s="23"/>
      <c r="BE801" s="23"/>
      <c r="BF801" s="23"/>
      <c r="BG801" s="23"/>
      <c r="BH801" s="23"/>
      <c r="BI801" s="23"/>
      <c r="BJ801" s="23"/>
      <c r="BK801" s="23"/>
      <c r="BL801" s="23"/>
      <c r="BM801" s="23"/>
      <c r="BN801" s="23"/>
      <c r="BO801" s="23"/>
      <c r="BP801" s="23"/>
      <c r="BQ801" s="23"/>
      <c r="BR801" s="23"/>
      <c r="BS801" s="23"/>
      <c r="BT801" s="23"/>
      <c r="BU801" s="23"/>
      <c r="BV801" s="23"/>
      <c r="BW801" s="23"/>
      <c r="BX801" s="23"/>
      <c r="BY801" s="23"/>
      <c r="BZ801" s="23"/>
      <c r="CA801" s="23"/>
      <c r="CB801" s="23"/>
      <c r="CC801" s="23"/>
      <c r="CD801" s="23"/>
      <c r="CE801" s="23"/>
      <c r="CF801" s="23"/>
      <c r="CG801" s="23"/>
      <c r="CH801" s="23"/>
      <c r="CI801" s="23"/>
      <c r="CJ801" s="23"/>
      <c r="CK801" s="23"/>
      <c r="CL801" s="23"/>
      <c r="CO801" s="30"/>
    </row>
    <row r="802" spans="27:93" ht="12.75" x14ac:dyDescent="0.2"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  <c r="AY802" s="23"/>
      <c r="AZ802" s="23"/>
      <c r="BA802" s="23"/>
      <c r="BB802" s="23"/>
      <c r="BC802" s="23"/>
      <c r="BD802" s="23"/>
      <c r="BE802" s="23"/>
      <c r="BF802" s="23"/>
      <c r="BG802" s="23"/>
      <c r="BH802" s="23"/>
      <c r="BI802" s="23"/>
      <c r="BJ802" s="23"/>
      <c r="BK802" s="23"/>
      <c r="BL802" s="23"/>
      <c r="BM802" s="23"/>
      <c r="BN802" s="23"/>
      <c r="BO802" s="23"/>
      <c r="BP802" s="23"/>
      <c r="BQ802" s="23"/>
      <c r="BR802" s="23"/>
      <c r="BS802" s="23"/>
      <c r="BT802" s="23"/>
      <c r="BU802" s="23"/>
      <c r="BV802" s="23"/>
      <c r="BW802" s="23"/>
      <c r="BX802" s="23"/>
      <c r="BY802" s="23"/>
      <c r="BZ802" s="23"/>
      <c r="CA802" s="23"/>
      <c r="CB802" s="23"/>
      <c r="CC802" s="23"/>
      <c r="CD802" s="23"/>
      <c r="CE802" s="23"/>
      <c r="CF802" s="23"/>
      <c r="CG802" s="23"/>
      <c r="CH802" s="23"/>
      <c r="CI802" s="23"/>
      <c r="CJ802" s="23"/>
      <c r="CK802" s="23"/>
      <c r="CL802" s="23"/>
      <c r="CO802" s="30"/>
    </row>
    <row r="803" spans="27:93" ht="12.75" x14ac:dyDescent="0.2"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  <c r="BF803" s="23"/>
      <c r="BG803" s="23"/>
      <c r="BH803" s="23"/>
      <c r="BI803" s="23"/>
      <c r="BJ803" s="23"/>
      <c r="BK803" s="23"/>
      <c r="BL803" s="23"/>
      <c r="BM803" s="23"/>
      <c r="BN803" s="23"/>
      <c r="BO803" s="23"/>
      <c r="BP803" s="23"/>
      <c r="BQ803" s="23"/>
      <c r="BR803" s="23"/>
      <c r="BS803" s="23"/>
      <c r="BT803" s="23"/>
      <c r="BU803" s="23"/>
      <c r="BV803" s="23"/>
      <c r="BW803" s="23"/>
      <c r="BX803" s="23"/>
      <c r="BY803" s="23"/>
      <c r="BZ803" s="23"/>
      <c r="CA803" s="23"/>
      <c r="CB803" s="23"/>
      <c r="CC803" s="23"/>
      <c r="CD803" s="23"/>
      <c r="CE803" s="23"/>
      <c r="CF803" s="23"/>
      <c r="CG803" s="23"/>
      <c r="CH803" s="23"/>
      <c r="CI803" s="23"/>
      <c r="CJ803" s="23"/>
      <c r="CK803" s="23"/>
      <c r="CL803" s="23"/>
      <c r="CO803" s="30"/>
    </row>
    <row r="804" spans="27:93" ht="12.75" x14ac:dyDescent="0.2"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  <c r="AY804" s="23"/>
      <c r="AZ804" s="23"/>
      <c r="BA804" s="23"/>
      <c r="BB804" s="23"/>
      <c r="BC804" s="23"/>
      <c r="BD804" s="23"/>
      <c r="BE804" s="23"/>
      <c r="BF804" s="23"/>
      <c r="BG804" s="23"/>
      <c r="BH804" s="23"/>
      <c r="BI804" s="23"/>
      <c r="BJ804" s="23"/>
      <c r="BK804" s="23"/>
      <c r="BL804" s="23"/>
      <c r="BM804" s="23"/>
      <c r="BN804" s="23"/>
      <c r="BO804" s="23"/>
      <c r="BP804" s="23"/>
      <c r="BQ804" s="23"/>
      <c r="BR804" s="23"/>
      <c r="BS804" s="23"/>
      <c r="BT804" s="23"/>
      <c r="BU804" s="23"/>
      <c r="BV804" s="23"/>
      <c r="BW804" s="23"/>
      <c r="BX804" s="23"/>
      <c r="BY804" s="23"/>
      <c r="BZ804" s="23"/>
      <c r="CA804" s="23"/>
      <c r="CB804" s="23"/>
      <c r="CC804" s="23"/>
      <c r="CD804" s="23"/>
      <c r="CE804" s="23"/>
      <c r="CF804" s="23"/>
      <c r="CG804" s="23"/>
      <c r="CH804" s="23"/>
      <c r="CI804" s="23"/>
      <c r="CJ804" s="23"/>
      <c r="CK804" s="23"/>
      <c r="CL804" s="23"/>
      <c r="CO804" s="30"/>
    </row>
    <row r="805" spans="27:93" ht="12.75" x14ac:dyDescent="0.2"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  <c r="BB805" s="23"/>
      <c r="BC805" s="23"/>
      <c r="BD805" s="23"/>
      <c r="BE805" s="23"/>
      <c r="BF805" s="23"/>
      <c r="BG805" s="23"/>
      <c r="BH805" s="23"/>
      <c r="BI805" s="23"/>
      <c r="BJ805" s="23"/>
      <c r="BK805" s="23"/>
      <c r="BL805" s="23"/>
      <c r="BM805" s="23"/>
      <c r="BN805" s="23"/>
      <c r="BO805" s="23"/>
      <c r="BP805" s="23"/>
      <c r="BQ805" s="23"/>
      <c r="BR805" s="23"/>
      <c r="BS805" s="23"/>
      <c r="BT805" s="23"/>
      <c r="BU805" s="23"/>
      <c r="BV805" s="23"/>
      <c r="BW805" s="23"/>
      <c r="BX805" s="23"/>
      <c r="BY805" s="23"/>
      <c r="BZ805" s="23"/>
      <c r="CA805" s="23"/>
      <c r="CB805" s="23"/>
      <c r="CC805" s="23"/>
      <c r="CD805" s="23"/>
      <c r="CE805" s="23"/>
      <c r="CF805" s="23"/>
      <c r="CG805" s="23"/>
      <c r="CH805" s="23"/>
      <c r="CI805" s="23"/>
      <c r="CJ805" s="23"/>
      <c r="CK805" s="23"/>
      <c r="CL805" s="23"/>
      <c r="CO805" s="30"/>
    </row>
    <row r="806" spans="27:93" ht="12.75" x14ac:dyDescent="0.2"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  <c r="AY806" s="23"/>
      <c r="AZ806" s="23"/>
      <c r="BA806" s="23"/>
      <c r="BB806" s="23"/>
      <c r="BC806" s="23"/>
      <c r="BD806" s="23"/>
      <c r="BE806" s="23"/>
      <c r="BF806" s="23"/>
      <c r="BG806" s="23"/>
      <c r="BH806" s="23"/>
      <c r="BI806" s="23"/>
      <c r="BJ806" s="23"/>
      <c r="BK806" s="23"/>
      <c r="BL806" s="23"/>
      <c r="BM806" s="23"/>
      <c r="BN806" s="23"/>
      <c r="BO806" s="23"/>
      <c r="BP806" s="23"/>
      <c r="BQ806" s="23"/>
      <c r="BR806" s="23"/>
      <c r="BS806" s="23"/>
      <c r="BT806" s="23"/>
      <c r="BU806" s="23"/>
      <c r="BV806" s="23"/>
      <c r="BW806" s="23"/>
      <c r="BX806" s="23"/>
      <c r="BY806" s="23"/>
      <c r="BZ806" s="23"/>
      <c r="CA806" s="23"/>
      <c r="CB806" s="23"/>
      <c r="CC806" s="23"/>
      <c r="CD806" s="23"/>
      <c r="CE806" s="23"/>
      <c r="CF806" s="23"/>
      <c r="CG806" s="23"/>
      <c r="CH806" s="23"/>
      <c r="CI806" s="23"/>
      <c r="CJ806" s="23"/>
      <c r="CK806" s="23"/>
      <c r="CL806" s="23"/>
      <c r="CO806" s="30"/>
    </row>
    <row r="807" spans="27:93" ht="12.75" x14ac:dyDescent="0.2"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  <c r="BD807" s="23"/>
      <c r="BE807" s="23"/>
      <c r="BF807" s="23"/>
      <c r="BG807" s="23"/>
      <c r="BH807" s="23"/>
      <c r="BI807" s="23"/>
      <c r="BJ807" s="23"/>
      <c r="BK807" s="23"/>
      <c r="BL807" s="23"/>
      <c r="BM807" s="23"/>
      <c r="BN807" s="23"/>
      <c r="BO807" s="23"/>
      <c r="BP807" s="23"/>
      <c r="BQ807" s="23"/>
      <c r="BR807" s="23"/>
      <c r="BS807" s="23"/>
      <c r="BT807" s="23"/>
      <c r="BU807" s="23"/>
      <c r="BV807" s="23"/>
      <c r="BW807" s="23"/>
      <c r="BX807" s="23"/>
      <c r="BY807" s="23"/>
      <c r="BZ807" s="23"/>
      <c r="CA807" s="23"/>
      <c r="CB807" s="23"/>
      <c r="CC807" s="23"/>
      <c r="CD807" s="23"/>
      <c r="CE807" s="23"/>
      <c r="CF807" s="23"/>
      <c r="CG807" s="23"/>
      <c r="CH807" s="23"/>
      <c r="CI807" s="23"/>
      <c r="CJ807" s="23"/>
      <c r="CK807" s="23"/>
      <c r="CL807" s="23"/>
      <c r="CO807" s="30"/>
    </row>
    <row r="808" spans="27:93" ht="12.75" x14ac:dyDescent="0.2"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  <c r="BB808" s="23"/>
      <c r="BC808" s="23"/>
      <c r="BD808" s="23"/>
      <c r="BE808" s="23"/>
      <c r="BF808" s="23"/>
      <c r="BG808" s="23"/>
      <c r="BH808" s="23"/>
      <c r="BI808" s="23"/>
      <c r="BJ808" s="23"/>
      <c r="BK808" s="23"/>
      <c r="BL808" s="23"/>
      <c r="BM808" s="23"/>
      <c r="BN808" s="23"/>
      <c r="BO808" s="23"/>
      <c r="BP808" s="23"/>
      <c r="BQ808" s="23"/>
      <c r="BR808" s="23"/>
      <c r="BS808" s="23"/>
      <c r="BT808" s="23"/>
      <c r="BU808" s="23"/>
      <c r="BV808" s="23"/>
      <c r="BW808" s="23"/>
      <c r="BX808" s="23"/>
      <c r="BY808" s="23"/>
      <c r="BZ808" s="23"/>
      <c r="CA808" s="23"/>
      <c r="CB808" s="23"/>
      <c r="CC808" s="23"/>
      <c r="CD808" s="23"/>
      <c r="CE808" s="23"/>
      <c r="CF808" s="23"/>
      <c r="CG808" s="23"/>
      <c r="CH808" s="23"/>
      <c r="CI808" s="23"/>
      <c r="CJ808" s="23"/>
      <c r="CK808" s="23"/>
      <c r="CL808" s="23"/>
      <c r="CO808" s="30"/>
    </row>
    <row r="809" spans="27:93" ht="12.75" x14ac:dyDescent="0.2"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  <c r="BE809" s="23"/>
      <c r="BF809" s="23"/>
      <c r="BG809" s="23"/>
      <c r="BH809" s="23"/>
      <c r="BI809" s="23"/>
      <c r="BJ809" s="23"/>
      <c r="BK809" s="23"/>
      <c r="BL809" s="23"/>
      <c r="BM809" s="23"/>
      <c r="BN809" s="23"/>
      <c r="BO809" s="23"/>
      <c r="BP809" s="23"/>
      <c r="BQ809" s="23"/>
      <c r="BR809" s="23"/>
      <c r="BS809" s="23"/>
      <c r="BT809" s="23"/>
      <c r="BU809" s="23"/>
      <c r="BV809" s="23"/>
      <c r="BW809" s="23"/>
      <c r="BX809" s="23"/>
      <c r="BY809" s="23"/>
      <c r="BZ809" s="23"/>
      <c r="CA809" s="23"/>
      <c r="CB809" s="23"/>
      <c r="CC809" s="23"/>
      <c r="CD809" s="23"/>
      <c r="CE809" s="23"/>
      <c r="CF809" s="23"/>
      <c r="CG809" s="23"/>
      <c r="CH809" s="23"/>
      <c r="CI809" s="23"/>
      <c r="CJ809" s="23"/>
      <c r="CK809" s="23"/>
      <c r="CL809" s="23"/>
      <c r="CO809" s="30"/>
    </row>
    <row r="810" spans="27:93" ht="12.75" x14ac:dyDescent="0.2"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  <c r="BB810" s="23"/>
      <c r="BC810" s="23"/>
      <c r="BD810" s="23"/>
      <c r="BE810" s="23"/>
      <c r="BF810" s="23"/>
      <c r="BG810" s="23"/>
      <c r="BH810" s="23"/>
      <c r="BI810" s="23"/>
      <c r="BJ810" s="23"/>
      <c r="BK810" s="23"/>
      <c r="BL810" s="23"/>
      <c r="BM810" s="23"/>
      <c r="BN810" s="23"/>
      <c r="BO810" s="23"/>
      <c r="BP810" s="23"/>
      <c r="BQ810" s="23"/>
      <c r="BR810" s="23"/>
      <c r="BS810" s="23"/>
      <c r="BT810" s="23"/>
      <c r="BU810" s="23"/>
      <c r="BV810" s="23"/>
      <c r="BW810" s="23"/>
      <c r="BX810" s="23"/>
      <c r="BY810" s="23"/>
      <c r="BZ810" s="23"/>
      <c r="CA810" s="23"/>
      <c r="CB810" s="23"/>
      <c r="CC810" s="23"/>
      <c r="CD810" s="23"/>
      <c r="CE810" s="23"/>
      <c r="CF810" s="23"/>
      <c r="CG810" s="23"/>
      <c r="CH810" s="23"/>
      <c r="CI810" s="23"/>
      <c r="CJ810" s="23"/>
      <c r="CK810" s="23"/>
      <c r="CL810" s="23"/>
      <c r="CO810" s="30"/>
    </row>
    <row r="811" spans="27:93" ht="12.75" x14ac:dyDescent="0.2"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  <c r="BB811" s="23"/>
      <c r="BC811" s="23"/>
      <c r="BD811" s="23"/>
      <c r="BE811" s="23"/>
      <c r="BF811" s="23"/>
      <c r="BG811" s="23"/>
      <c r="BH811" s="23"/>
      <c r="BI811" s="23"/>
      <c r="BJ811" s="23"/>
      <c r="BK811" s="23"/>
      <c r="BL811" s="23"/>
      <c r="BM811" s="23"/>
      <c r="BN811" s="23"/>
      <c r="BO811" s="23"/>
      <c r="BP811" s="23"/>
      <c r="BQ811" s="23"/>
      <c r="BR811" s="23"/>
      <c r="BS811" s="23"/>
      <c r="BT811" s="23"/>
      <c r="BU811" s="23"/>
      <c r="BV811" s="23"/>
      <c r="BW811" s="23"/>
      <c r="BX811" s="23"/>
      <c r="BY811" s="23"/>
      <c r="BZ811" s="23"/>
      <c r="CA811" s="23"/>
      <c r="CB811" s="23"/>
      <c r="CC811" s="23"/>
      <c r="CD811" s="23"/>
      <c r="CE811" s="23"/>
      <c r="CF811" s="23"/>
      <c r="CG811" s="23"/>
      <c r="CH811" s="23"/>
      <c r="CI811" s="23"/>
      <c r="CJ811" s="23"/>
      <c r="CK811" s="23"/>
      <c r="CL811" s="23"/>
      <c r="CO811" s="30"/>
    </row>
    <row r="812" spans="27:93" ht="12.75" x14ac:dyDescent="0.2"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  <c r="AY812" s="23"/>
      <c r="AZ812" s="23"/>
      <c r="BA812" s="23"/>
      <c r="BB812" s="23"/>
      <c r="BC812" s="23"/>
      <c r="BD812" s="23"/>
      <c r="BE812" s="23"/>
      <c r="BF812" s="23"/>
      <c r="BG812" s="23"/>
      <c r="BH812" s="23"/>
      <c r="BI812" s="23"/>
      <c r="BJ812" s="23"/>
      <c r="BK812" s="23"/>
      <c r="BL812" s="23"/>
      <c r="BM812" s="23"/>
      <c r="BN812" s="23"/>
      <c r="BO812" s="23"/>
      <c r="BP812" s="23"/>
      <c r="BQ812" s="23"/>
      <c r="BR812" s="23"/>
      <c r="BS812" s="23"/>
      <c r="BT812" s="23"/>
      <c r="BU812" s="23"/>
      <c r="BV812" s="23"/>
      <c r="BW812" s="23"/>
      <c r="BX812" s="23"/>
      <c r="BY812" s="23"/>
      <c r="BZ812" s="23"/>
      <c r="CA812" s="23"/>
      <c r="CB812" s="23"/>
      <c r="CC812" s="23"/>
      <c r="CD812" s="23"/>
      <c r="CE812" s="23"/>
      <c r="CF812" s="23"/>
      <c r="CG812" s="23"/>
      <c r="CH812" s="23"/>
      <c r="CI812" s="23"/>
      <c r="CJ812" s="23"/>
      <c r="CK812" s="23"/>
      <c r="CL812" s="23"/>
      <c r="CO812" s="30"/>
    </row>
    <row r="813" spans="27:93" ht="12.75" x14ac:dyDescent="0.2"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  <c r="BB813" s="23"/>
      <c r="BC813" s="23"/>
      <c r="BD813" s="23"/>
      <c r="BE813" s="23"/>
      <c r="BF813" s="23"/>
      <c r="BG813" s="23"/>
      <c r="BH813" s="23"/>
      <c r="BI813" s="23"/>
      <c r="BJ813" s="23"/>
      <c r="BK813" s="23"/>
      <c r="BL813" s="23"/>
      <c r="BM813" s="23"/>
      <c r="BN813" s="23"/>
      <c r="BO813" s="23"/>
      <c r="BP813" s="23"/>
      <c r="BQ813" s="23"/>
      <c r="BR813" s="23"/>
      <c r="BS813" s="23"/>
      <c r="BT813" s="23"/>
      <c r="BU813" s="23"/>
      <c r="BV813" s="23"/>
      <c r="BW813" s="23"/>
      <c r="BX813" s="23"/>
      <c r="BY813" s="23"/>
      <c r="BZ813" s="23"/>
      <c r="CA813" s="23"/>
      <c r="CB813" s="23"/>
      <c r="CC813" s="23"/>
      <c r="CD813" s="23"/>
      <c r="CE813" s="23"/>
      <c r="CF813" s="23"/>
      <c r="CG813" s="23"/>
      <c r="CH813" s="23"/>
      <c r="CI813" s="23"/>
      <c r="CJ813" s="23"/>
      <c r="CK813" s="23"/>
      <c r="CL813" s="23"/>
      <c r="CO813" s="30"/>
    </row>
    <row r="814" spans="27:93" ht="12.75" x14ac:dyDescent="0.2"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  <c r="AY814" s="23"/>
      <c r="AZ814" s="23"/>
      <c r="BA814" s="23"/>
      <c r="BB814" s="23"/>
      <c r="BC814" s="23"/>
      <c r="BD814" s="23"/>
      <c r="BE814" s="23"/>
      <c r="BF814" s="23"/>
      <c r="BG814" s="23"/>
      <c r="BH814" s="23"/>
      <c r="BI814" s="23"/>
      <c r="BJ814" s="23"/>
      <c r="BK814" s="23"/>
      <c r="BL814" s="23"/>
      <c r="BM814" s="23"/>
      <c r="BN814" s="23"/>
      <c r="BO814" s="23"/>
      <c r="BP814" s="23"/>
      <c r="BQ814" s="23"/>
      <c r="BR814" s="23"/>
      <c r="BS814" s="23"/>
      <c r="BT814" s="23"/>
      <c r="BU814" s="23"/>
      <c r="BV814" s="23"/>
      <c r="BW814" s="23"/>
      <c r="BX814" s="23"/>
      <c r="BY814" s="23"/>
      <c r="BZ814" s="23"/>
      <c r="CA814" s="23"/>
      <c r="CB814" s="23"/>
      <c r="CC814" s="23"/>
      <c r="CD814" s="23"/>
      <c r="CE814" s="23"/>
      <c r="CF814" s="23"/>
      <c r="CG814" s="23"/>
      <c r="CH814" s="23"/>
      <c r="CI814" s="23"/>
      <c r="CJ814" s="23"/>
      <c r="CK814" s="23"/>
      <c r="CL814" s="23"/>
      <c r="CO814" s="30"/>
    </row>
    <row r="815" spans="27:93" ht="12.75" x14ac:dyDescent="0.2"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3"/>
      <c r="BC815" s="23"/>
      <c r="BD815" s="23"/>
      <c r="BE815" s="23"/>
      <c r="BF815" s="23"/>
      <c r="BG815" s="23"/>
      <c r="BH815" s="23"/>
      <c r="BI815" s="23"/>
      <c r="BJ815" s="23"/>
      <c r="BK815" s="23"/>
      <c r="BL815" s="23"/>
      <c r="BM815" s="23"/>
      <c r="BN815" s="23"/>
      <c r="BO815" s="23"/>
      <c r="BP815" s="23"/>
      <c r="BQ815" s="23"/>
      <c r="BR815" s="23"/>
      <c r="BS815" s="23"/>
      <c r="BT815" s="23"/>
      <c r="BU815" s="23"/>
      <c r="BV815" s="23"/>
      <c r="BW815" s="23"/>
      <c r="BX815" s="23"/>
      <c r="BY815" s="23"/>
      <c r="BZ815" s="23"/>
      <c r="CA815" s="23"/>
      <c r="CB815" s="23"/>
      <c r="CC815" s="23"/>
      <c r="CD815" s="23"/>
      <c r="CE815" s="23"/>
      <c r="CF815" s="23"/>
      <c r="CG815" s="23"/>
      <c r="CH815" s="23"/>
      <c r="CI815" s="23"/>
      <c r="CJ815" s="23"/>
      <c r="CK815" s="23"/>
      <c r="CL815" s="23"/>
      <c r="CO815" s="30"/>
    </row>
    <row r="816" spans="27:93" ht="12.75" x14ac:dyDescent="0.2"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  <c r="AY816" s="23"/>
      <c r="AZ816" s="23"/>
      <c r="BA816" s="23"/>
      <c r="BB816" s="23"/>
      <c r="BC816" s="23"/>
      <c r="BD816" s="23"/>
      <c r="BE816" s="23"/>
      <c r="BF816" s="23"/>
      <c r="BG816" s="23"/>
      <c r="BH816" s="23"/>
      <c r="BI816" s="23"/>
      <c r="BJ816" s="23"/>
      <c r="BK816" s="23"/>
      <c r="BL816" s="23"/>
      <c r="BM816" s="23"/>
      <c r="BN816" s="23"/>
      <c r="BO816" s="23"/>
      <c r="BP816" s="23"/>
      <c r="BQ816" s="23"/>
      <c r="BR816" s="23"/>
      <c r="BS816" s="23"/>
      <c r="BT816" s="23"/>
      <c r="BU816" s="23"/>
      <c r="BV816" s="23"/>
      <c r="BW816" s="23"/>
      <c r="BX816" s="23"/>
      <c r="BY816" s="23"/>
      <c r="BZ816" s="23"/>
      <c r="CA816" s="23"/>
      <c r="CB816" s="23"/>
      <c r="CC816" s="23"/>
      <c r="CD816" s="23"/>
      <c r="CE816" s="23"/>
      <c r="CF816" s="23"/>
      <c r="CG816" s="23"/>
      <c r="CH816" s="23"/>
      <c r="CI816" s="23"/>
      <c r="CJ816" s="23"/>
      <c r="CK816" s="23"/>
      <c r="CL816" s="23"/>
      <c r="CO816" s="30"/>
    </row>
    <row r="817" spans="27:93" ht="12.75" x14ac:dyDescent="0.2"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  <c r="BB817" s="23"/>
      <c r="BC817" s="23"/>
      <c r="BD817" s="23"/>
      <c r="BE817" s="23"/>
      <c r="BF817" s="23"/>
      <c r="BG817" s="23"/>
      <c r="BH817" s="23"/>
      <c r="BI817" s="23"/>
      <c r="BJ817" s="23"/>
      <c r="BK817" s="23"/>
      <c r="BL817" s="23"/>
      <c r="BM817" s="23"/>
      <c r="BN817" s="23"/>
      <c r="BO817" s="23"/>
      <c r="BP817" s="23"/>
      <c r="BQ817" s="23"/>
      <c r="BR817" s="23"/>
      <c r="BS817" s="23"/>
      <c r="BT817" s="23"/>
      <c r="BU817" s="23"/>
      <c r="BV817" s="23"/>
      <c r="BW817" s="23"/>
      <c r="BX817" s="23"/>
      <c r="BY817" s="23"/>
      <c r="BZ817" s="23"/>
      <c r="CA817" s="23"/>
      <c r="CB817" s="23"/>
      <c r="CC817" s="23"/>
      <c r="CD817" s="23"/>
      <c r="CE817" s="23"/>
      <c r="CF817" s="23"/>
      <c r="CG817" s="23"/>
      <c r="CH817" s="23"/>
      <c r="CI817" s="23"/>
      <c r="CJ817" s="23"/>
      <c r="CK817" s="23"/>
      <c r="CL817" s="23"/>
      <c r="CO817" s="30"/>
    </row>
    <row r="818" spans="27:93" ht="12.75" x14ac:dyDescent="0.2"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  <c r="BA818" s="23"/>
      <c r="BB818" s="23"/>
      <c r="BC818" s="23"/>
      <c r="BD818" s="23"/>
      <c r="BE818" s="23"/>
      <c r="BF818" s="23"/>
      <c r="BG818" s="23"/>
      <c r="BH818" s="23"/>
      <c r="BI818" s="23"/>
      <c r="BJ818" s="23"/>
      <c r="BK818" s="23"/>
      <c r="BL818" s="23"/>
      <c r="BM818" s="23"/>
      <c r="BN818" s="23"/>
      <c r="BO818" s="23"/>
      <c r="BP818" s="23"/>
      <c r="BQ818" s="23"/>
      <c r="BR818" s="23"/>
      <c r="BS818" s="23"/>
      <c r="BT818" s="23"/>
      <c r="BU818" s="23"/>
      <c r="BV818" s="23"/>
      <c r="BW818" s="23"/>
      <c r="BX818" s="23"/>
      <c r="BY818" s="23"/>
      <c r="BZ818" s="23"/>
      <c r="CA818" s="23"/>
      <c r="CB818" s="23"/>
      <c r="CC818" s="23"/>
      <c r="CD818" s="23"/>
      <c r="CE818" s="23"/>
      <c r="CF818" s="23"/>
      <c r="CG818" s="23"/>
      <c r="CH818" s="23"/>
      <c r="CI818" s="23"/>
      <c r="CJ818" s="23"/>
      <c r="CK818" s="23"/>
      <c r="CL818" s="23"/>
      <c r="CO818" s="30"/>
    </row>
    <row r="819" spans="27:93" ht="12.75" x14ac:dyDescent="0.2"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  <c r="BB819" s="23"/>
      <c r="BC819" s="23"/>
      <c r="BD819" s="23"/>
      <c r="BE819" s="23"/>
      <c r="BF819" s="23"/>
      <c r="BG819" s="23"/>
      <c r="BH819" s="23"/>
      <c r="BI819" s="23"/>
      <c r="BJ819" s="23"/>
      <c r="BK819" s="23"/>
      <c r="BL819" s="23"/>
      <c r="BM819" s="23"/>
      <c r="BN819" s="23"/>
      <c r="BO819" s="23"/>
      <c r="BP819" s="23"/>
      <c r="BQ819" s="23"/>
      <c r="BR819" s="23"/>
      <c r="BS819" s="23"/>
      <c r="BT819" s="23"/>
      <c r="BU819" s="23"/>
      <c r="BV819" s="23"/>
      <c r="BW819" s="23"/>
      <c r="BX819" s="23"/>
      <c r="BY819" s="23"/>
      <c r="BZ819" s="23"/>
      <c r="CA819" s="23"/>
      <c r="CB819" s="23"/>
      <c r="CC819" s="23"/>
      <c r="CD819" s="23"/>
      <c r="CE819" s="23"/>
      <c r="CF819" s="23"/>
      <c r="CG819" s="23"/>
      <c r="CH819" s="23"/>
      <c r="CI819" s="23"/>
      <c r="CJ819" s="23"/>
      <c r="CK819" s="23"/>
      <c r="CL819" s="23"/>
      <c r="CO819" s="30"/>
    </row>
    <row r="820" spans="27:93" ht="12.75" x14ac:dyDescent="0.2"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  <c r="AY820" s="23"/>
      <c r="AZ820" s="23"/>
      <c r="BA820" s="23"/>
      <c r="BB820" s="23"/>
      <c r="BC820" s="23"/>
      <c r="BD820" s="23"/>
      <c r="BE820" s="23"/>
      <c r="BF820" s="23"/>
      <c r="BG820" s="23"/>
      <c r="BH820" s="23"/>
      <c r="BI820" s="23"/>
      <c r="BJ820" s="23"/>
      <c r="BK820" s="23"/>
      <c r="BL820" s="23"/>
      <c r="BM820" s="23"/>
      <c r="BN820" s="23"/>
      <c r="BO820" s="23"/>
      <c r="BP820" s="23"/>
      <c r="BQ820" s="23"/>
      <c r="BR820" s="23"/>
      <c r="BS820" s="23"/>
      <c r="BT820" s="23"/>
      <c r="BU820" s="23"/>
      <c r="BV820" s="23"/>
      <c r="BW820" s="23"/>
      <c r="BX820" s="23"/>
      <c r="BY820" s="23"/>
      <c r="BZ820" s="23"/>
      <c r="CA820" s="23"/>
      <c r="CB820" s="23"/>
      <c r="CC820" s="23"/>
      <c r="CD820" s="23"/>
      <c r="CE820" s="23"/>
      <c r="CF820" s="23"/>
      <c r="CG820" s="23"/>
      <c r="CH820" s="23"/>
      <c r="CI820" s="23"/>
      <c r="CJ820" s="23"/>
      <c r="CK820" s="23"/>
      <c r="CL820" s="23"/>
      <c r="CO820" s="30"/>
    </row>
    <row r="821" spans="27:93" ht="12.75" x14ac:dyDescent="0.2"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  <c r="BB821" s="23"/>
      <c r="BC821" s="23"/>
      <c r="BD821" s="23"/>
      <c r="BE821" s="23"/>
      <c r="BF821" s="23"/>
      <c r="BG821" s="23"/>
      <c r="BH821" s="23"/>
      <c r="BI821" s="23"/>
      <c r="BJ821" s="23"/>
      <c r="BK821" s="23"/>
      <c r="BL821" s="23"/>
      <c r="BM821" s="23"/>
      <c r="BN821" s="23"/>
      <c r="BO821" s="23"/>
      <c r="BP821" s="23"/>
      <c r="BQ821" s="23"/>
      <c r="BR821" s="23"/>
      <c r="BS821" s="23"/>
      <c r="BT821" s="23"/>
      <c r="BU821" s="23"/>
      <c r="BV821" s="23"/>
      <c r="BW821" s="23"/>
      <c r="BX821" s="23"/>
      <c r="BY821" s="23"/>
      <c r="BZ821" s="23"/>
      <c r="CA821" s="23"/>
      <c r="CB821" s="23"/>
      <c r="CC821" s="23"/>
      <c r="CD821" s="23"/>
      <c r="CE821" s="23"/>
      <c r="CF821" s="23"/>
      <c r="CG821" s="23"/>
      <c r="CH821" s="23"/>
      <c r="CI821" s="23"/>
      <c r="CJ821" s="23"/>
      <c r="CK821" s="23"/>
      <c r="CL821" s="23"/>
      <c r="CO821" s="30"/>
    </row>
    <row r="822" spans="27:93" ht="12.75" x14ac:dyDescent="0.2"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/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3"/>
      <c r="BP822" s="23"/>
      <c r="BQ822" s="23"/>
      <c r="BR822" s="23"/>
      <c r="BS822" s="23"/>
      <c r="BT822" s="23"/>
      <c r="BU822" s="23"/>
      <c r="BV822" s="23"/>
      <c r="BW822" s="23"/>
      <c r="BX822" s="23"/>
      <c r="BY822" s="23"/>
      <c r="BZ822" s="23"/>
      <c r="CA822" s="23"/>
      <c r="CB822" s="23"/>
      <c r="CC822" s="23"/>
      <c r="CD822" s="23"/>
      <c r="CE822" s="23"/>
      <c r="CF822" s="23"/>
      <c r="CG822" s="23"/>
      <c r="CH822" s="23"/>
      <c r="CI822" s="23"/>
      <c r="CJ822" s="23"/>
      <c r="CK822" s="23"/>
      <c r="CL822" s="23"/>
      <c r="CO822" s="30"/>
    </row>
    <row r="823" spans="27:93" ht="12.75" x14ac:dyDescent="0.2"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3"/>
      <c r="BP823" s="23"/>
      <c r="BQ823" s="23"/>
      <c r="BR823" s="23"/>
      <c r="BS823" s="23"/>
      <c r="BT823" s="23"/>
      <c r="BU823" s="23"/>
      <c r="BV823" s="23"/>
      <c r="BW823" s="23"/>
      <c r="BX823" s="23"/>
      <c r="BY823" s="23"/>
      <c r="BZ823" s="23"/>
      <c r="CA823" s="23"/>
      <c r="CB823" s="23"/>
      <c r="CC823" s="23"/>
      <c r="CD823" s="23"/>
      <c r="CE823" s="23"/>
      <c r="CF823" s="23"/>
      <c r="CG823" s="23"/>
      <c r="CH823" s="23"/>
      <c r="CI823" s="23"/>
      <c r="CJ823" s="23"/>
      <c r="CK823" s="23"/>
      <c r="CL823" s="23"/>
      <c r="CO823" s="30"/>
    </row>
    <row r="824" spans="27:93" ht="12.75" x14ac:dyDescent="0.2"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/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/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3"/>
      <c r="CA824" s="23"/>
      <c r="CB824" s="23"/>
      <c r="CC824" s="23"/>
      <c r="CD824" s="23"/>
      <c r="CE824" s="23"/>
      <c r="CF824" s="23"/>
      <c r="CG824" s="23"/>
      <c r="CH824" s="23"/>
      <c r="CI824" s="23"/>
      <c r="CJ824" s="23"/>
      <c r="CK824" s="23"/>
      <c r="CL824" s="23"/>
      <c r="CO824" s="30"/>
    </row>
    <row r="825" spans="27:93" ht="12.75" x14ac:dyDescent="0.2"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/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3"/>
      <c r="CA825" s="23"/>
      <c r="CB825" s="23"/>
      <c r="CC825" s="23"/>
      <c r="CD825" s="23"/>
      <c r="CE825" s="23"/>
      <c r="CF825" s="23"/>
      <c r="CG825" s="23"/>
      <c r="CH825" s="23"/>
      <c r="CI825" s="23"/>
      <c r="CJ825" s="23"/>
      <c r="CK825" s="23"/>
      <c r="CL825" s="23"/>
      <c r="CO825" s="30"/>
    </row>
    <row r="826" spans="27:93" ht="12.75" x14ac:dyDescent="0.2"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  <c r="AY826" s="23"/>
      <c r="AZ826" s="23"/>
      <c r="BA826" s="23"/>
      <c r="BB826" s="23"/>
      <c r="BC826" s="23"/>
      <c r="BD826" s="23"/>
      <c r="BE826" s="23"/>
      <c r="BF826" s="23"/>
      <c r="BG826" s="23"/>
      <c r="BH826" s="23"/>
      <c r="BI826" s="23"/>
      <c r="BJ826" s="23"/>
      <c r="BK826" s="23"/>
      <c r="BL826" s="23"/>
      <c r="BM826" s="23"/>
      <c r="BN826" s="23"/>
      <c r="BO826" s="23"/>
      <c r="BP826" s="23"/>
      <c r="BQ826" s="23"/>
      <c r="BR826" s="23"/>
      <c r="BS826" s="23"/>
      <c r="BT826" s="23"/>
      <c r="BU826" s="23"/>
      <c r="BV826" s="23"/>
      <c r="BW826" s="23"/>
      <c r="BX826" s="23"/>
      <c r="BY826" s="23"/>
      <c r="BZ826" s="23"/>
      <c r="CA826" s="23"/>
      <c r="CB826" s="23"/>
      <c r="CC826" s="23"/>
      <c r="CD826" s="23"/>
      <c r="CE826" s="23"/>
      <c r="CF826" s="23"/>
      <c r="CG826" s="23"/>
      <c r="CH826" s="23"/>
      <c r="CI826" s="23"/>
      <c r="CJ826" s="23"/>
      <c r="CK826" s="23"/>
      <c r="CL826" s="23"/>
      <c r="CO826" s="30"/>
    </row>
    <row r="827" spans="27:93" ht="12.75" x14ac:dyDescent="0.2"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/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3"/>
      <c r="CA827" s="23"/>
      <c r="CB827" s="23"/>
      <c r="CC827" s="23"/>
      <c r="CD827" s="23"/>
      <c r="CE827" s="23"/>
      <c r="CF827" s="23"/>
      <c r="CG827" s="23"/>
      <c r="CH827" s="23"/>
      <c r="CI827" s="23"/>
      <c r="CJ827" s="23"/>
      <c r="CK827" s="23"/>
      <c r="CL827" s="23"/>
      <c r="CO827" s="30"/>
    </row>
    <row r="828" spans="27:93" ht="12.75" x14ac:dyDescent="0.2"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  <c r="BB828" s="23"/>
      <c r="BC828" s="23"/>
      <c r="BD828" s="23"/>
      <c r="BE828" s="23"/>
      <c r="BF828" s="23"/>
      <c r="BG828" s="23"/>
      <c r="BH828" s="23"/>
      <c r="BI828" s="23"/>
      <c r="BJ828" s="23"/>
      <c r="BK828" s="23"/>
      <c r="BL828" s="23"/>
      <c r="BM828" s="23"/>
      <c r="BN828" s="23"/>
      <c r="BO828" s="23"/>
      <c r="BP828" s="23"/>
      <c r="BQ828" s="23"/>
      <c r="BR828" s="23"/>
      <c r="BS828" s="23"/>
      <c r="BT828" s="23"/>
      <c r="BU828" s="23"/>
      <c r="BV828" s="23"/>
      <c r="BW828" s="23"/>
      <c r="BX828" s="23"/>
      <c r="BY828" s="23"/>
      <c r="BZ828" s="23"/>
      <c r="CA828" s="23"/>
      <c r="CB828" s="23"/>
      <c r="CC828" s="23"/>
      <c r="CD828" s="23"/>
      <c r="CE828" s="23"/>
      <c r="CF828" s="23"/>
      <c r="CG828" s="23"/>
      <c r="CH828" s="23"/>
      <c r="CI828" s="23"/>
      <c r="CJ828" s="23"/>
      <c r="CK828" s="23"/>
      <c r="CL828" s="23"/>
      <c r="CO828" s="30"/>
    </row>
    <row r="829" spans="27:93" ht="12.75" x14ac:dyDescent="0.2"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s="23"/>
      <c r="BC829" s="23"/>
      <c r="BD829" s="23"/>
      <c r="BE829" s="23"/>
      <c r="BF829" s="23"/>
      <c r="BG829" s="23"/>
      <c r="BH829" s="23"/>
      <c r="BI829" s="23"/>
      <c r="BJ829" s="23"/>
      <c r="BK829" s="23"/>
      <c r="BL829" s="23"/>
      <c r="BM829" s="23"/>
      <c r="BN829" s="23"/>
      <c r="BO829" s="23"/>
      <c r="BP829" s="23"/>
      <c r="BQ829" s="23"/>
      <c r="BR829" s="23"/>
      <c r="BS829" s="23"/>
      <c r="BT829" s="23"/>
      <c r="BU829" s="23"/>
      <c r="BV829" s="23"/>
      <c r="BW829" s="23"/>
      <c r="BX829" s="23"/>
      <c r="BY829" s="23"/>
      <c r="BZ829" s="23"/>
      <c r="CA829" s="23"/>
      <c r="CB829" s="23"/>
      <c r="CC829" s="23"/>
      <c r="CD829" s="23"/>
      <c r="CE829" s="23"/>
      <c r="CF829" s="23"/>
      <c r="CG829" s="23"/>
      <c r="CH829" s="23"/>
      <c r="CI829" s="23"/>
      <c r="CJ829" s="23"/>
      <c r="CK829" s="23"/>
      <c r="CL829" s="23"/>
      <c r="CO829" s="30"/>
    </row>
    <row r="830" spans="27:93" ht="12.75" x14ac:dyDescent="0.2"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  <c r="BA830" s="23"/>
      <c r="BB830" s="23"/>
      <c r="BC830" s="23"/>
      <c r="BD830" s="23"/>
      <c r="BE830" s="23"/>
      <c r="BF830" s="23"/>
      <c r="BG830" s="23"/>
      <c r="BH830" s="23"/>
      <c r="BI830" s="23"/>
      <c r="BJ830" s="23"/>
      <c r="BK830" s="23"/>
      <c r="BL830" s="23"/>
      <c r="BM830" s="23"/>
      <c r="BN830" s="23"/>
      <c r="BO830" s="23"/>
      <c r="BP830" s="23"/>
      <c r="BQ830" s="23"/>
      <c r="BR830" s="23"/>
      <c r="BS830" s="23"/>
      <c r="BT830" s="23"/>
      <c r="BU830" s="23"/>
      <c r="BV830" s="23"/>
      <c r="BW830" s="23"/>
      <c r="BX830" s="23"/>
      <c r="BY830" s="23"/>
      <c r="BZ830" s="23"/>
      <c r="CA830" s="23"/>
      <c r="CB830" s="23"/>
      <c r="CC830" s="23"/>
      <c r="CD830" s="23"/>
      <c r="CE830" s="23"/>
      <c r="CF830" s="23"/>
      <c r="CG830" s="23"/>
      <c r="CH830" s="23"/>
      <c r="CI830" s="23"/>
      <c r="CJ830" s="23"/>
      <c r="CK830" s="23"/>
      <c r="CL830" s="23"/>
      <c r="CO830" s="30"/>
    </row>
    <row r="831" spans="27:93" ht="12.75" x14ac:dyDescent="0.2"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  <c r="BB831" s="23"/>
      <c r="BC831" s="23"/>
      <c r="BD831" s="23"/>
      <c r="BE831" s="23"/>
      <c r="BF831" s="23"/>
      <c r="BG831" s="23"/>
      <c r="BH831" s="23"/>
      <c r="BI831" s="23"/>
      <c r="BJ831" s="23"/>
      <c r="BK831" s="23"/>
      <c r="BL831" s="23"/>
      <c r="BM831" s="23"/>
      <c r="BN831" s="23"/>
      <c r="BO831" s="23"/>
      <c r="BP831" s="23"/>
      <c r="BQ831" s="23"/>
      <c r="BR831" s="23"/>
      <c r="BS831" s="23"/>
      <c r="BT831" s="23"/>
      <c r="BU831" s="23"/>
      <c r="BV831" s="23"/>
      <c r="BW831" s="23"/>
      <c r="BX831" s="23"/>
      <c r="BY831" s="23"/>
      <c r="BZ831" s="23"/>
      <c r="CA831" s="23"/>
      <c r="CB831" s="23"/>
      <c r="CC831" s="23"/>
      <c r="CD831" s="23"/>
      <c r="CE831" s="23"/>
      <c r="CF831" s="23"/>
      <c r="CG831" s="23"/>
      <c r="CH831" s="23"/>
      <c r="CI831" s="23"/>
      <c r="CJ831" s="23"/>
      <c r="CK831" s="23"/>
      <c r="CL831" s="23"/>
      <c r="CO831" s="30"/>
    </row>
    <row r="832" spans="27:93" ht="12.75" x14ac:dyDescent="0.2"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  <c r="AY832" s="23"/>
      <c r="AZ832" s="23"/>
      <c r="BA832" s="23"/>
      <c r="BB832" s="23"/>
      <c r="BC832" s="23"/>
      <c r="BD832" s="23"/>
      <c r="BE832" s="23"/>
      <c r="BF832" s="23"/>
      <c r="BG832" s="23"/>
      <c r="BH832" s="23"/>
      <c r="BI832" s="23"/>
      <c r="BJ832" s="23"/>
      <c r="BK832" s="23"/>
      <c r="BL832" s="23"/>
      <c r="BM832" s="23"/>
      <c r="BN832" s="23"/>
      <c r="BO832" s="23"/>
      <c r="BP832" s="23"/>
      <c r="BQ832" s="23"/>
      <c r="BR832" s="23"/>
      <c r="BS832" s="23"/>
      <c r="BT832" s="23"/>
      <c r="BU832" s="23"/>
      <c r="BV832" s="23"/>
      <c r="BW832" s="23"/>
      <c r="BX832" s="23"/>
      <c r="BY832" s="23"/>
      <c r="BZ832" s="23"/>
      <c r="CA832" s="23"/>
      <c r="CB832" s="23"/>
      <c r="CC832" s="23"/>
      <c r="CD832" s="23"/>
      <c r="CE832" s="23"/>
      <c r="CF832" s="23"/>
      <c r="CG832" s="23"/>
      <c r="CH832" s="23"/>
      <c r="CI832" s="23"/>
      <c r="CJ832" s="23"/>
      <c r="CK832" s="23"/>
      <c r="CL832" s="23"/>
      <c r="CO832" s="30"/>
    </row>
    <row r="833" spans="27:93" ht="12.75" x14ac:dyDescent="0.2"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  <c r="BB833" s="23"/>
      <c r="BC833" s="23"/>
      <c r="BD833" s="23"/>
      <c r="BE833" s="23"/>
      <c r="BF833" s="23"/>
      <c r="BG833" s="23"/>
      <c r="BH833" s="23"/>
      <c r="BI833" s="23"/>
      <c r="BJ833" s="23"/>
      <c r="BK833" s="23"/>
      <c r="BL833" s="23"/>
      <c r="BM833" s="23"/>
      <c r="BN833" s="23"/>
      <c r="BO833" s="23"/>
      <c r="BP833" s="23"/>
      <c r="BQ833" s="23"/>
      <c r="BR833" s="23"/>
      <c r="BS833" s="23"/>
      <c r="BT833" s="23"/>
      <c r="BU833" s="23"/>
      <c r="BV833" s="23"/>
      <c r="BW833" s="23"/>
      <c r="BX833" s="23"/>
      <c r="BY833" s="23"/>
      <c r="BZ833" s="23"/>
      <c r="CA833" s="23"/>
      <c r="CB833" s="23"/>
      <c r="CC833" s="23"/>
      <c r="CD833" s="23"/>
      <c r="CE833" s="23"/>
      <c r="CF833" s="23"/>
      <c r="CG833" s="23"/>
      <c r="CH833" s="23"/>
      <c r="CI833" s="23"/>
      <c r="CJ833" s="23"/>
      <c r="CK833" s="23"/>
      <c r="CL833" s="23"/>
      <c r="CO833" s="30"/>
    </row>
    <row r="834" spans="27:93" ht="12.75" x14ac:dyDescent="0.2"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  <c r="BB834" s="23"/>
      <c r="BC834" s="23"/>
      <c r="BD834" s="23"/>
      <c r="BE834" s="23"/>
      <c r="BF834" s="23"/>
      <c r="BG834" s="23"/>
      <c r="BH834" s="23"/>
      <c r="BI834" s="23"/>
      <c r="BJ834" s="23"/>
      <c r="BK834" s="23"/>
      <c r="BL834" s="23"/>
      <c r="BM834" s="23"/>
      <c r="BN834" s="23"/>
      <c r="BO834" s="23"/>
      <c r="BP834" s="23"/>
      <c r="BQ834" s="23"/>
      <c r="BR834" s="23"/>
      <c r="BS834" s="23"/>
      <c r="BT834" s="23"/>
      <c r="BU834" s="23"/>
      <c r="BV834" s="23"/>
      <c r="BW834" s="23"/>
      <c r="BX834" s="23"/>
      <c r="BY834" s="23"/>
      <c r="BZ834" s="23"/>
      <c r="CA834" s="23"/>
      <c r="CB834" s="23"/>
      <c r="CC834" s="23"/>
      <c r="CD834" s="23"/>
      <c r="CE834" s="23"/>
      <c r="CF834" s="23"/>
      <c r="CG834" s="23"/>
      <c r="CH834" s="23"/>
      <c r="CI834" s="23"/>
      <c r="CJ834" s="23"/>
      <c r="CK834" s="23"/>
      <c r="CL834" s="23"/>
      <c r="CO834" s="30"/>
    </row>
    <row r="835" spans="27:93" ht="12.75" x14ac:dyDescent="0.2"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3"/>
      <c r="BC835" s="23"/>
      <c r="BD835" s="23"/>
      <c r="BE835" s="23"/>
      <c r="BF835" s="23"/>
      <c r="BG835" s="23"/>
      <c r="BH835" s="23"/>
      <c r="BI835" s="23"/>
      <c r="BJ835" s="23"/>
      <c r="BK835" s="23"/>
      <c r="BL835" s="23"/>
      <c r="BM835" s="23"/>
      <c r="BN835" s="23"/>
      <c r="BO835" s="23"/>
      <c r="BP835" s="23"/>
      <c r="BQ835" s="23"/>
      <c r="BR835" s="23"/>
      <c r="BS835" s="23"/>
      <c r="BT835" s="23"/>
      <c r="BU835" s="23"/>
      <c r="BV835" s="23"/>
      <c r="BW835" s="23"/>
      <c r="BX835" s="23"/>
      <c r="BY835" s="23"/>
      <c r="BZ835" s="23"/>
      <c r="CA835" s="23"/>
      <c r="CB835" s="23"/>
      <c r="CC835" s="23"/>
      <c r="CD835" s="23"/>
      <c r="CE835" s="23"/>
      <c r="CF835" s="23"/>
      <c r="CG835" s="23"/>
      <c r="CH835" s="23"/>
      <c r="CI835" s="23"/>
      <c r="CJ835" s="23"/>
      <c r="CK835" s="23"/>
      <c r="CL835" s="23"/>
      <c r="CO835" s="30"/>
    </row>
    <row r="836" spans="27:93" ht="12.75" x14ac:dyDescent="0.2"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  <c r="BB836" s="23"/>
      <c r="BC836" s="23"/>
      <c r="BD836" s="23"/>
      <c r="BE836" s="23"/>
      <c r="BF836" s="23"/>
      <c r="BG836" s="23"/>
      <c r="BH836" s="23"/>
      <c r="BI836" s="23"/>
      <c r="BJ836" s="23"/>
      <c r="BK836" s="23"/>
      <c r="BL836" s="23"/>
      <c r="BM836" s="23"/>
      <c r="BN836" s="23"/>
      <c r="BO836" s="23"/>
      <c r="BP836" s="23"/>
      <c r="BQ836" s="23"/>
      <c r="BR836" s="23"/>
      <c r="BS836" s="23"/>
      <c r="BT836" s="23"/>
      <c r="BU836" s="23"/>
      <c r="BV836" s="23"/>
      <c r="BW836" s="23"/>
      <c r="BX836" s="23"/>
      <c r="BY836" s="23"/>
      <c r="BZ836" s="23"/>
      <c r="CA836" s="23"/>
      <c r="CB836" s="23"/>
      <c r="CC836" s="23"/>
      <c r="CD836" s="23"/>
      <c r="CE836" s="23"/>
      <c r="CF836" s="23"/>
      <c r="CG836" s="23"/>
      <c r="CH836" s="23"/>
      <c r="CI836" s="23"/>
      <c r="CJ836" s="23"/>
      <c r="CK836" s="23"/>
      <c r="CL836" s="23"/>
      <c r="CO836" s="30"/>
    </row>
    <row r="837" spans="27:93" ht="12.75" x14ac:dyDescent="0.2"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  <c r="BB837" s="23"/>
      <c r="BC837" s="23"/>
      <c r="BD837" s="23"/>
      <c r="BE837" s="23"/>
      <c r="BF837" s="23"/>
      <c r="BG837" s="23"/>
      <c r="BH837" s="23"/>
      <c r="BI837" s="23"/>
      <c r="BJ837" s="23"/>
      <c r="BK837" s="23"/>
      <c r="BL837" s="23"/>
      <c r="BM837" s="23"/>
      <c r="BN837" s="23"/>
      <c r="BO837" s="23"/>
      <c r="BP837" s="23"/>
      <c r="BQ837" s="23"/>
      <c r="BR837" s="23"/>
      <c r="BS837" s="23"/>
      <c r="BT837" s="23"/>
      <c r="BU837" s="23"/>
      <c r="BV837" s="23"/>
      <c r="BW837" s="23"/>
      <c r="BX837" s="23"/>
      <c r="BY837" s="23"/>
      <c r="BZ837" s="23"/>
      <c r="CA837" s="23"/>
      <c r="CB837" s="23"/>
      <c r="CC837" s="23"/>
      <c r="CD837" s="23"/>
      <c r="CE837" s="23"/>
      <c r="CF837" s="23"/>
      <c r="CG837" s="23"/>
      <c r="CH837" s="23"/>
      <c r="CI837" s="23"/>
      <c r="CJ837" s="23"/>
      <c r="CK837" s="23"/>
      <c r="CL837" s="23"/>
      <c r="CO837" s="30"/>
    </row>
    <row r="838" spans="27:93" ht="12.75" x14ac:dyDescent="0.2"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3"/>
      <c r="BC838" s="23"/>
      <c r="BD838" s="23"/>
      <c r="BE838" s="23"/>
      <c r="BF838" s="23"/>
      <c r="BG838" s="23"/>
      <c r="BH838" s="23"/>
      <c r="BI838" s="23"/>
      <c r="BJ838" s="23"/>
      <c r="BK838" s="23"/>
      <c r="BL838" s="23"/>
      <c r="BM838" s="23"/>
      <c r="BN838" s="23"/>
      <c r="BO838" s="23"/>
      <c r="BP838" s="23"/>
      <c r="BQ838" s="23"/>
      <c r="BR838" s="23"/>
      <c r="BS838" s="23"/>
      <c r="BT838" s="23"/>
      <c r="BU838" s="23"/>
      <c r="BV838" s="23"/>
      <c r="BW838" s="23"/>
      <c r="BX838" s="23"/>
      <c r="BY838" s="23"/>
      <c r="BZ838" s="23"/>
      <c r="CA838" s="23"/>
      <c r="CB838" s="23"/>
      <c r="CC838" s="23"/>
      <c r="CD838" s="23"/>
      <c r="CE838" s="23"/>
      <c r="CF838" s="23"/>
      <c r="CG838" s="23"/>
      <c r="CH838" s="23"/>
      <c r="CI838" s="23"/>
      <c r="CJ838" s="23"/>
      <c r="CK838" s="23"/>
      <c r="CL838" s="23"/>
      <c r="CO838" s="30"/>
    </row>
    <row r="839" spans="27:93" ht="12.75" x14ac:dyDescent="0.2"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3"/>
      <c r="BC839" s="23"/>
      <c r="BD839" s="23"/>
      <c r="BE839" s="23"/>
      <c r="BF839" s="23"/>
      <c r="BG839" s="23"/>
      <c r="BH839" s="23"/>
      <c r="BI839" s="23"/>
      <c r="BJ839" s="23"/>
      <c r="BK839" s="23"/>
      <c r="BL839" s="23"/>
      <c r="BM839" s="23"/>
      <c r="BN839" s="23"/>
      <c r="BO839" s="23"/>
      <c r="BP839" s="23"/>
      <c r="BQ839" s="23"/>
      <c r="BR839" s="23"/>
      <c r="BS839" s="23"/>
      <c r="BT839" s="23"/>
      <c r="BU839" s="23"/>
      <c r="BV839" s="23"/>
      <c r="BW839" s="23"/>
      <c r="BX839" s="23"/>
      <c r="BY839" s="23"/>
      <c r="BZ839" s="23"/>
      <c r="CA839" s="23"/>
      <c r="CB839" s="23"/>
      <c r="CC839" s="23"/>
      <c r="CD839" s="23"/>
      <c r="CE839" s="23"/>
      <c r="CF839" s="23"/>
      <c r="CG839" s="23"/>
      <c r="CH839" s="23"/>
      <c r="CI839" s="23"/>
      <c r="CJ839" s="23"/>
      <c r="CK839" s="23"/>
      <c r="CL839" s="23"/>
      <c r="CO839" s="30"/>
    </row>
    <row r="840" spans="27:93" ht="12.75" x14ac:dyDescent="0.2"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  <c r="BB840" s="23"/>
      <c r="BC840" s="23"/>
      <c r="BD840" s="23"/>
      <c r="BE840" s="23"/>
      <c r="BF840" s="23"/>
      <c r="BG840" s="23"/>
      <c r="BH840" s="23"/>
      <c r="BI840" s="23"/>
      <c r="BJ840" s="23"/>
      <c r="BK840" s="23"/>
      <c r="BL840" s="23"/>
      <c r="BM840" s="23"/>
      <c r="BN840" s="23"/>
      <c r="BO840" s="23"/>
      <c r="BP840" s="23"/>
      <c r="BQ840" s="23"/>
      <c r="BR840" s="23"/>
      <c r="BS840" s="23"/>
      <c r="BT840" s="23"/>
      <c r="BU840" s="23"/>
      <c r="BV840" s="23"/>
      <c r="BW840" s="23"/>
      <c r="BX840" s="23"/>
      <c r="BY840" s="23"/>
      <c r="BZ840" s="23"/>
      <c r="CA840" s="23"/>
      <c r="CB840" s="23"/>
      <c r="CC840" s="23"/>
      <c r="CD840" s="23"/>
      <c r="CE840" s="23"/>
      <c r="CF840" s="23"/>
      <c r="CG840" s="23"/>
      <c r="CH840" s="23"/>
      <c r="CI840" s="23"/>
      <c r="CJ840" s="23"/>
      <c r="CK840" s="23"/>
      <c r="CL840" s="23"/>
      <c r="CO840" s="30"/>
    </row>
    <row r="841" spans="27:93" ht="12.75" x14ac:dyDescent="0.2"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3"/>
      <c r="BC841" s="23"/>
      <c r="BD841" s="23"/>
      <c r="BE841" s="23"/>
      <c r="BF841" s="23"/>
      <c r="BG841" s="23"/>
      <c r="BH841" s="23"/>
      <c r="BI841" s="23"/>
      <c r="BJ841" s="23"/>
      <c r="BK841" s="23"/>
      <c r="BL841" s="23"/>
      <c r="BM841" s="23"/>
      <c r="BN841" s="23"/>
      <c r="BO841" s="23"/>
      <c r="BP841" s="23"/>
      <c r="BQ841" s="23"/>
      <c r="BR841" s="23"/>
      <c r="BS841" s="23"/>
      <c r="BT841" s="23"/>
      <c r="BU841" s="23"/>
      <c r="BV841" s="23"/>
      <c r="BW841" s="23"/>
      <c r="BX841" s="23"/>
      <c r="BY841" s="23"/>
      <c r="BZ841" s="23"/>
      <c r="CA841" s="23"/>
      <c r="CB841" s="23"/>
      <c r="CC841" s="23"/>
      <c r="CD841" s="23"/>
      <c r="CE841" s="23"/>
      <c r="CF841" s="23"/>
      <c r="CG841" s="23"/>
      <c r="CH841" s="23"/>
      <c r="CI841" s="23"/>
      <c r="CJ841" s="23"/>
      <c r="CK841" s="23"/>
      <c r="CL841" s="23"/>
      <c r="CO841" s="30"/>
    </row>
    <row r="842" spans="27:93" ht="12.75" x14ac:dyDescent="0.2"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  <c r="AY842" s="23"/>
      <c r="AZ842" s="23"/>
      <c r="BA842" s="23"/>
      <c r="BB842" s="23"/>
      <c r="BC842" s="23"/>
      <c r="BD842" s="23"/>
      <c r="BE842" s="23"/>
      <c r="BF842" s="23"/>
      <c r="BG842" s="23"/>
      <c r="BH842" s="23"/>
      <c r="BI842" s="23"/>
      <c r="BJ842" s="23"/>
      <c r="BK842" s="23"/>
      <c r="BL842" s="23"/>
      <c r="BM842" s="23"/>
      <c r="BN842" s="23"/>
      <c r="BO842" s="23"/>
      <c r="BP842" s="23"/>
      <c r="BQ842" s="23"/>
      <c r="BR842" s="23"/>
      <c r="BS842" s="23"/>
      <c r="BT842" s="23"/>
      <c r="BU842" s="23"/>
      <c r="BV842" s="23"/>
      <c r="BW842" s="23"/>
      <c r="BX842" s="23"/>
      <c r="BY842" s="23"/>
      <c r="BZ842" s="23"/>
      <c r="CA842" s="23"/>
      <c r="CB842" s="23"/>
      <c r="CC842" s="23"/>
      <c r="CD842" s="23"/>
      <c r="CE842" s="23"/>
      <c r="CF842" s="23"/>
      <c r="CG842" s="23"/>
      <c r="CH842" s="23"/>
      <c r="CI842" s="23"/>
      <c r="CJ842" s="23"/>
      <c r="CK842" s="23"/>
      <c r="CL842" s="23"/>
      <c r="CO842" s="30"/>
    </row>
    <row r="843" spans="27:93" ht="12.75" x14ac:dyDescent="0.2"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3"/>
      <c r="BC843" s="23"/>
      <c r="BD843" s="23"/>
      <c r="BE843" s="23"/>
      <c r="BF843" s="23"/>
      <c r="BG843" s="23"/>
      <c r="BH843" s="23"/>
      <c r="BI843" s="23"/>
      <c r="BJ843" s="23"/>
      <c r="BK843" s="23"/>
      <c r="BL843" s="23"/>
      <c r="BM843" s="23"/>
      <c r="BN843" s="23"/>
      <c r="BO843" s="23"/>
      <c r="BP843" s="23"/>
      <c r="BQ843" s="23"/>
      <c r="BR843" s="23"/>
      <c r="BS843" s="23"/>
      <c r="BT843" s="23"/>
      <c r="BU843" s="23"/>
      <c r="BV843" s="23"/>
      <c r="BW843" s="23"/>
      <c r="BX843" s="23"/>
      <c r="BY843" s="23"/>
      <c r="BZ843" s="23"/>
      <c r="CA843" s="23"/>
      <c r="CB843" s="23"/>
      <c r="CC843" s="23"/>
      <c r="CD843" s="23"/>
      <c r="CE843" s="23"/>
      <c r="CF843" s="23"/>
      <c r="CG843" s="23"/>
      <c r="CH843" s="23"/>
      <c r="CI843" s="23"/>
      <c r="CJ843" s="23"/>
      <c r="CK843" s="23"/>
      <c r="CL843" s="23"/>
      <c r="CO843" s="30"/>
    </row>
    <row r="844" spans="27:93" ht="12.75" x14ac:dyDescent="0.2"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  <c r="AY844" s="23"/>
      <c r="AZ844" s="23"/>
      <c r="BA844" s="23"/>
      <c r="BB844" s="23"/>
      <c r="BC844" s="23"/>
      <c r="BD844" s="23"/>
      <c r="BE844" s="23"/>
      <c r="BF844" s="23"/>
      <c r="BG844" s="23"/>
      <c r="BH844" s="23"/>
      <c r="BI844" s="23"/>
      <c r="BJ844" s="23"/>
      <c r="BK844" s="23"/>
      <c r="BL844" s="23"/>
      <c r="BM844" s="23"/>
      <c r="BN844" s="23"/>
      <c r="BO844" s="23"/>
      <c r="BP844" s="23"/>
      <c r="BQ844" s="23"/>
      <c r="BR844" s="23"/>
      <c r="BS844" s="23"/>
      <c r="BT844" s="23"/>
      <c r="BU844" s="23"/>
      <c r="BV844" s="23"/>
      <c r="BW844" s="23"/>
      <c r="BX844" s="23"/>
      <c r="BY844" s="23"/>
      <c r="BZ844" s="23"/>
      <c r="CA844" s="23"/>
      <c r="CB844" s="23"/>
      <c r="CC844" s="23"/>
      <c r="CD844" s="23"/>
      <c r="CE844" s="23"/>
      <c r="CF844" s="23"/>
      <c r="CG844" s="23"/>
      <c r="CH844" s="23"/>
      <c r="CI844" s="23"/>
      <c r="CJ844" s="23"/>
      <c r="CK844" s="23"/>
      <c r="CL844" s="23"/>
      <c r="CO844" s="30"/>
    </row>
    <row r="845" spans="27:93" ht="12.75" x14ac:dyDescent="0.2"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s="23"/>
      <c r="BC845" s="23"/>
      <c r="BD845" s="23"/>
      <c r="BE845" s="23"/>
      <c r="BF845" s="23"/>
      <c r="BG845" s="23"/>
      <c r="BH845" s="23"/>
      <c r="BI845" s="23"/>
      <c r="BJ845" s="23"/>
      <c r="BK845" s="23"/>
      <c r="BL845" s="23"/>
      <c r="BM845" s="23"/>
      <c r="BN845" s="23"/>
      <c r="BO845" s="23"/>
      <c r="BP845" s="23"/>
      <c r="BQ845" s="23"/>
      <c r="BR845" s="23"/>
      <c r="BS845" s="23"/>
      <c r="BT845" s="23"/>
      <c r="BU845" s="23"/>
      <c r="BV845" s="23"/>
      <c r="BW845" s="23"/>
      <c r="BX845" s="23"/>
      <c r="BY845" s="23"/>
      <c r="BZ845" s="23"/>
      <c r="CA845" s="23"/>
      <c r="CB845" s="23"/>
      <c r="CC845" s="23"/>
      <c r="CD845" s="23"/>
      <c r="CE845" s="23"/>
      <c r="CF845" s="23"/>
      <c r="CG845" s="23"/>
      <c r="CH845" s="23"/>
      <c r="CI845" s="23"/>
      <c r="CJ845" s="23"/>
      <c r="CK845" s="23"/>
      <c r="CL845" s="23"/>
      <c r="CO845" s="30"/>
    </row>
    <row r="846" spans="27:93" ht="12.75" x14ac:dyDescent="0.2"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  <c r="AY846" s="23"/>
      <c r="AZ846" s="23"/>
      <c r="BA846" s="23"/>
      <c r="BB846" s="23"/>
      <c r="BC846" s="23"/>
      <c r="BD846" s="23"/>
      <c r="BE846" s="23"/>
      <c r="BF846" s="23"/>
      <c r="BG846" s="23"/>
      <c r="BH846" s="23"/>
      <c r="BI846" s="23"/>
      <c r="BJ846" s="23"/>
      <c r="BK846" s="23"/>
      <c r="BL846" s="23"/>
      <c r="BM846" s="23"/>
      <c r="BN846" s="23"/>
      <c r="BO846" s="23"/>
      <c r="BP846" s="23"/>
      <c r="BQ846" s="23"/>
      <c r="BR846" s="23"/>
      <c r="BS846" s="23"/>
      <c r="BT846" s="23"/>
      <c r="BU846" s="23"/>
      <c r="BV846" s="23"/>
      <c r="BW846" s="23"/>
      <c r="BX846" s="23"/>
      <c r="BY846" s="23"/>
      <c r="BZ846" s="23"/>
      <c r="CA846" s="23"/>
      <c r="CB846" s="23"/>
      <c r="CC846" s="23"/>
      <c r="CD846" s="23"/>
      <c r="CE846" s="23"/>
      <c r="CF846" s="23"/>
      <c r="CG846" s="23"/>
      <c r="CH846" s="23"/>
      <c r="CI846" s="23"/>
      <c r="CJ846" s="23"/>
      <c r="CK846" s="23"/>
      <c r="CL846" s="23"/>
      <c r="CO846" s="30"/>
    </row>
    <row r="847" spans="27:93" ht="12.75" x14ac:dyDescent="0.2"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  <c r="BD847" s="23"/>
      <c r="BE847" s="23"/>
      <c r="BF847" s="23"/>
      <c r="BG847" s="23"/>
      <c r="BH847" s="23"/>
      <c r="BI847" s="23"/>
      <c r="BJ847" s="23"/>
      <c r="BK847" s="23"/>
      <c r="BL847" s="23"/>
      <c r="BM847" s="23"/>
      <c r="BN847" s="23"/>
      <c r="BO847" s="23"/>
      <c r="BP847" s="23"/>
      <c r="BQ847" s="23"/>
      <c r="BR847" s="23"/>
      <c r="BS847" s="23"/>
      <c r="BT847" s="23"/>
      <c r="BU847" s="23"/>
      <c r="BV847" s="23"/>
      <c r="BW847" s="23"/>
      <c r="BX847" s="23"/>
      <c r="BY847" s="23"/>
      <c r="BZ847" s="23"/>
      <c r="CA847" s="23"/>
      <c r="CB847" s="23"/>
      <c r="CC847" s="23"/>
      <c r="CD847" s="23"/>
      <c r="CE847" s="23"/>
      <c r="CF847" s="23"/>
      <c r="CG847" s="23"/>
      <c r="CH847" s="23"/>
      <c r="CI847" s="23"/>
      <c r="CJ847" s="23"/>
      <c r="CK847" s="23"/>
      <c r="CL847" s="23"/>
      <c r="CO847" s="30"/>
    </row>
    <row r="848" spans="27:93" ht="12.75" x14ac:dyDescent="0.2"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  <c r="BA848" s="23"/>
      <c r="BB848" s="23"/>
      <c r="BC848" s="23"/>
      <c r="BD848" s="23"/>
      <c r="BE848" s="23"/>
      <c r="BF848" s="23"/>
      <c r="BG848" s="23"/>
      <c r="BH848" s="23"/>
      <c r="BI848" s="23"/>
      <c r="BJ848" s="23"/>
      <c r="BK848" s="23"/>
      <c r="BL848" s="23"/>
      <c r="BM848" s="23"/>
      <c r="BN848" s="23"/>
      <c r="BO848" s="23"/>
      <c r="BP848" s="23"/>
      <c r="BQ848" s="23"/>
      <c r="BR848" s="23"/>
      <c r="BS848" s="23"/>
      <c r="BT848" s="23"/>
      <c r="BU848" s="23"/>
      <c r="BV848" s="23"/>
      <c r="BW848" s="23"/>
      <c r="BX848" s="23"/>
      <c r="BY848" s="23"/>
      <c r="BZ848" s="23"/>
      <c r="CA848" s="23"/>
      <c r="CB848" s="23"/>
      <c r="CC848" s="23"/>
      <c r="CD848" s="23"/>
      <c r="CE848" s="23"/>
      <c r="CF848" s="23"/>
      <c r="CG848" s="23"/>
      <c r="CH848" s="23"/>
      <c r="CI848" s="23"/>
      <c r="CJ848" s="23"/>
      <c r="CK848" s="23"/>
      <c r="CL848" s="23"/>
      <c r="CO848" s="30"/>
    </row>
    <row r="849" spans="27:93" ht="12.75" x14ac:dyDescent="0.2"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  <c r="BD849" s="23"/>
      <c r="BE849" s="23"/>
      <c r="BF849" s="23"/>
      <c r="BG849" s="23"/>
      <c r="BH849" s="23"/>
      <c r="BI849" s="23"/>
      <c r="BJ849" s="23"/>
      <c r="BK849" s="23"/>
      <c r="BL849" s="23"/>
      <c r="BM849" s="23"/>
      <c r="BN849" s="23"/>
      <c r="BO849" s="23"/>
      <c r="BP849" s="23"/>
      <c r="BQ849" s="23"/>
      <c r="BR849" s="23"/>
      <c r="BS849" s="23"/>
      <c r="BT849" s="23"/>
      <c r="BU849" s="23"/>
      <c r="BV849" s="23"/>
      <c r="BW849" s="23"/>
      <c r="BX849" s="23"/>
      <c r="BY849" s="23"/>
      <c r="BZ849" s="23"/>
      <c r="CA849" s="23"/>
      <c r="CB849" s="23"/>
      <c r="CC849" s="23"/>
      <c r="CD849" s="23"/>
      <c r="CE849" s="23"/>
      <c r="CF849" s="23"/>
      <c r="CG849" s="23"/>
      <c r="CH849" s="23"/>
      <c r="CI849" s="23"/>
      <c r="CJ849" s="23"/>
      <c r="CK849" s="23"/>
      <c r="CL849" s="23"/>
      <c r="CO849" s="30"/>
    </row>
    <row r="850" spans="27:93" ht="12.75" x14ac:dyDescent="0.2"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  <c r="AY850" s="23"/>
      <c r="AZ850" s="23"/>
      <c r="BA850" s="23"/>
      <c r="BB850" s="23"/>
      <c r="BC850" s="23"/>
      <c r="BD850" s="23"/>
      <c r="BE850" s="23"/>
      <c r="BF850" s="23"/>
      <c r="BG850" s="23"/>
      <c r="BH850" s="23"/>
      <c r="BI850" s="23"/>
      <c r="BJ850" s="23"/>
      <c r="BK850" s="23"/>
      <c r="BL850" s="23"/>
      <c r="BM850" s="23"/>
      <c r="BN850" s="23"/>
      <c r="BO850" s="23"/>
      <c r="BP850" s="23"/>
      <c r="BQ850" s="23"/>
      <c r="BR850" s="23"/>
      <c r="BS850" s="23"/>
      <c r="BT850" s="23"/>
      <c r="BU850" s="23"/>
      <c r="BV850" s="23"/>
      <c r="BW850" s="23"/>
      <c r="BX850" s="23"/>
      <c r="BY850" s="23"/>
      <c r="BZ850" s="23"/>
      <c r="CA850" s="23"/>
      <c r="CB850" s="23"/>
      <c r="CC850" s="23"/>
      <c r="CD850" s="23"/>
      <c r="CE850" s="23"/>
      <c r="CF850" s="23"/>
      <c r="CG850" s="23"/>
      <c r="CH850" s="23"/>
      <c r="CI850" s="23"/>
      <c r="CJ850" s="23"/>
      <c r="CK850" s="23"/>
      <c r="CL850" s="23"/>
      <c r="CO850" s="30"/>
    </row>
    <row r="851" spans="27:93" ht="12.75" x14ac:dyDescent="0.2"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  <c r="BB851" s="23"/>
      <c r="BC851" s="23"/>
      <c r="BD851" s="23"/>
      <c r="BE851" s="23"/>
      <c r="BF851" s="23"/>
      <c r="BG851" s="23"/>
      <c r="BH851" s="23"/>
      <c r="BI851" s="23"/>
      <c r="BJ851" s="23"/>
      <c r="BK851" s="23"/>
      <c r="BL851" s="23"/>
      <c r="BM851" s="23"/>
      <c r="BN851" s="23"/>
      <c r="BO851" s="23"/>
      <c r="BP851" s="23"/>
      <c r="BQ851" s="23"/>
      <c r="BR851" s="23"/>
      <c r="BS851" s="23"/>
      <c r="BT851" s="23"/>
      <c r="BU851" s="23"/>
      <c r="BV851" s="23"/>
      <c r="BW851" s="23"/>
      <c r="BX851" s="23"/>
      <c r="BY851" s="23"/>
      <c r="BZ851" s="23"/>
      <c r="CA851" s="23"/>
      <c r="CB851" s="23"/>
      <c r="CC851" s="23"/>
      <c r="CD851" s="23"/>
      <c r="CE851" s="23"/>
      <c r="CF851" s="23"/>
      <c r="CG851" s="23"/>
      <c r="CH851" s="23"/>
      <c r="CI851" s="23"/>
      <c r="CJ851" s="23"/>
      <c r="CK851" s="23"/>
      <c r="CL851" s="23"/>
      <c r="CO851" s="30"/>
    </row>
    <row r="852" spans="27:93" ht="12.75" x14ac:dyDescent="0.2"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  <c r="AY852" s="23"/>
      <c r="AZ852" s="23"/>
      <c r="BA852" s="23"/>
      <c r="BB852" s="23"/>
      <c r="BC852" s="23"/>
      <c r="BD852" s="23"/>
      <c r="BE852" s="23"/>
      <c r="BF852" s="23"/>
      <c r="BG852" s="23"/>
      <c r="BH852" s="23"/>
      <c r="BI852" s="23"/>
      <c r="BJ852" s="23"/>
      <c r="BK852" s="23"/>
      <c r="BL852" s="23"/>
      <c r="BM852" s="23"/>
      <c r="BN852" s="23"/>
      <c r="BO852" s="23"/>
      <c r="BP852" s="23"/>
      <c r="BQ852" s="23"/>
      <c r="BR852" s="23"/>
      <c r="BS852" s="23"/>
      <c r="BT852" s="23"/>
      <c r="BU852" s="23"/>
      <c r="BV852" s="23"/>
      <c r="BW852" s="23"/>
      <c r="BX852" s="23"/>
      <c r="BY852" s="23"/>
      <c r="BZ852" s="23"/>
      <c r="CA852" s="23"/>
      <c r="CB852" s="23"/>
      <c r="CC852" s="23"/>
      <c r="CD852" s="23"/>
      <c r="CE852" s="23"/>
      <c r="CF852" s="23"/>
      <c r="CG852" s="23"/>
      <c r="CH852" s="23"/>
      <c r="CI852" s="23"/>
      <c r="CJ852" s="23"/>
      <c r="CK852" s="23"/>
      <c r="CL852" s="23"/>
      <c r="CO852" s="30"/>
    </row>
    <row r="853" spans="27:93" ht="12.75" x14ac:dyDescent="0.2"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  <c r="BB853" s="23"/>
      <c r="BC853" s="23"/>
      <c r="BD853" s="23"/>
      <c r="BE853" s="23"/>
      <c r="BF853" s="23"/>
      <c r="BG853" s="23"/>
      <c r="BH853" s="23"/>
      <c r="BI853" s="23"/>
      <c r="BJ853" s="23"/>
      <c r="BK853" s="23"/>
      <c r="BL853" s="23"/>
      <c r="BM853" s="23"/>
      <c r="BN853" s="23"/>
      <c r="BO853" s="23"/>
      <c r="BP853" s="23"/>
      <c r="BQ853" s="23"/>
      <c r="BR853" s="23"/>
      <c r="BS853" s="23"/>
      <c r="BT853" s="23"/>
      <c r="BU853" s="23"/>
      <c r="BV853" s="23"/>
      <c r="BW853" s="23"/>
      <c r="BX853" s="23"/>
      <c r="BY853" s="23"/>
      <c r="BZ853" s="23"/>
      <c r="CA853" s="23"/>
      <c r="CB853" s="23"/>
      <c r="CC853" s="23"/>
      <c r="CD853" s="23"/>
      <c r="CE853" s="23"/>
      <c r="CF853" s="23"/>
      <c r="CG853" s="23"/>
      <c r="CH853" s="23"/>
      <c r="CI853" s="23"/>
      <c r="CJ853" s="23"/>
      <c r="CK853" s="23"/>
      <c r="CL853" s="23"/>
      <c r="CO853" s="30"/>
    </row>
    <row r="854" spans="27:93" ht="12.75" x14ac:dyDescent="0.2"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  <c r="AY854" s="23"/>
      <c r="AZ854" s="23"/>
      <c r="BA854" s="23"/>
      <c r="BB854" s="23"/>
      <c r="BC854" s="23"/>
      <c r="BD854" s="23"/>
      <c r="BE854" s="23"/>
      <c r="BF854" s="23"/>
      <c r="BG854" s="23"/>
      <c r="BH854" s="23"/>
      <c r="BI854" s="23"/>
      <c r="BJ854" s="23"/>
      <c r="BK854" s="23"/>
      <c r="BL854" s="23"/>
      <c r="BM854" s="23"/>
      <c r="BN854" s="23"/>
      <c r="BO854" s="23"/>
      <c r="BP854" s="23"/>
      <c r="BQ854" s="23"/>
      <c r="BR854" s="23"/>
      <c r="BS854" s="23"/>
      <c r="BT854" s="23"/>
      <c r="BU854" s="23"/>
      <c r="BV854" s="23"/>
      <c r="BW854" s="23"/>
      <c r="BX854" s="23"/>
      <c r="BY854" s="23"/>
      <c r="BZ854" s="23"/>
      <c r="CA854" s="23"/>
      <c r="CB854" s="23"/>
      <c r="CC854" s="23"/>
      <c r="CD854" s="23"/>
      <c r="CE854" s="23"/>
      <c r="CF854" s="23"/>
      <c r="CG854" s="23"/>
      <c r="CH854" s="23"/>
      <c r="CI854" s="23"/>
      <c r="CJ854" s="23"/>
      <c r="CK854" s="23"/>
      <c r="CL854" s="23"/>
      <c r="CO854" s="30"/>
    </row>
    <row r="855" spans="27:93" ht="12.75" x14ac:dyDescent="0.2"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  <c r="BF855" s="23"/>
      <c r="BG855" s="23"/>
      <c r="BH855" s="23"/>
      <c r="BI855" s="23"/>
      <c r="BJ855" s="23"/>
      <c r="BK855" s="23"/>
      <c r="BL855" s="23"/>
      <c r="BM855" s="23"/>
      <c r="BN855" s="23"/>
      <c r="BO855" s="23"/>
      <c r="BP855" s="23"/>
      <c r="BQ855" s="23"/>
      <c r="BR855" s="23"/>
      <c r="BS855" s="23"/>
      <c r="BT855" s="23"/>
      <c r="BU855" s="23"/>
      <c r="BV855" s="23"/>
      <c r="BW855" s="23"/>
      <c r="BX855" s="23"/>
      <c r="BY855" s="23"/>
      <c r="BZ855" s="23"/>
      <c r="CA855" s="23"/>
      <c r="CB855" s="23"/>
      <c r="CC855" s="23"/>
      <c r="CD855" s="23"/>
      <c r="CE855" s="23"/>
      <c r="CF855" s="23"/>
      <c r="CG855" s="23"/>
      <c r="CH855" s="23"/>
      <c r="CI855" s="23"/>
      <c r="CJ855" s="23"/>
      <c r="CK855" s="23"/>
      <c r="CL855" s="23"/>
      <c r="CO855" s="30"/>
    </row>
    <row r="856" spans="27:93" ht="12.75" x14ac:dyDescent="0.2"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  <c r="AY856" s="23"/>
      <c r="AZ856" s="23"/>
      <c r="BA856" s="23"/>
      <c r="BB856" s="23"/>
      <c r="BC856" s="23"/>
      <c r="BD856" s="23"/>
      <c r="BE856" s="23"/>
      <c r="BF856" s="23"/>
      <c r="BG856" s="23"/>
      <c r="BH856" s="23"/>
      <c r="BI856" s="23"/>
      <c r="BJ856" s="23"/>
      <c r="BK856" s="23"/>
      <c r="BL856" s="23"/>
      <c r="BM856" s="23"/>
      <c r="BN856" s="23"/>
      <c r="BO856" s="23"/>
      <c r="BP856" s="23"/>
      <c r="BQ856" s="23"/>
      <c r="BR856" s="23"/>
      <c r="BS856" s="23"/>
      <c r="BT856" s="23"/>
      <c r="BU856" s="23"/>
      <c r="BV856" s="23"/>
      <c r="BW856" s="23"/>
      <c r="BX856" s="23"/>
      <c r="BY856" s="23"/>
      <c r="BZ856" s="23"/>
      <c r="CA856" s="23"/>
      <c r="CB856" s="23"/>
      <c r="CC856" s="23"/>
      <c r="CD856" s="23"/>
      <c r="CE856" s="23"/>
      <c r="CF856" s="23"/>
      <c r="CG856" s="23"/>
      <c r="CH856" s="23"/>
      <c r="CI856" s="23"/>
      <c r="CJ856" s="23"/>
      <c r="CK856" s="23"/>
      <c r="CL856" s="23"/>
      <c r="CO856" s="30"/>
    </row>
    <row r="857" spans="27:93" ht="12.75" x14ac:dyDescent="0.2"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  <c r="BF857" s="23"/>
      <c r="BG857" s="23"/>
      <c r="BH857" s="23"/>
      <c r="BI857" s="23"/>
      <c r="BJ857" s="23"/>
      <c r="BK857" s="23"/>
      <c r="BL857" s="23"/>
      <c r="BM857" s="23"/>
      <c r="BN857" s="23"/>
      <c r="BO857" s="23"/>
      <c r="BP857" s="23"/>
      <c r="BQ857" s="23"/>
      <c r="BR857" s="23"/>
      <c r="BS857" s="23"/>
      <c r="BT857" s="23"/>
      <c r="BU857" s="23"/>
      <c r="BV857" s="23"/>
      <c r="BW857" s="23"/>
      <c r="BX857" s="23"/>
      <c r="BY857" s="23"/>
      <c r="BZ857" s="23"/>
      <c r="CA857" s="23"/>
      <c r="CB857" s="23"/>
      <c r="CC857" s="23"/>
      <c r="CD857" s="23"/>
      <c r="CE857" s="23"/>
      <c r="CF857" s="23"/>
      <c r="CG857" s="23"/>
      <c r="CH857" s="23"/>
      <c r="CI857" s="23"/>
      <c r="CJ857" s="23"/>
      <c r="CK857" s="23"/>
      <c r="CL857" s="23"/>
      <c r="CO857" s="30"/>
    </row>
    <row r="858" spans="27:93" ht="12.75" x14ac:dyDescent="0.2"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  <c r="AZ858" s="23"/>
      <c r="BA858" s="23"/>
      <c r="BB858" s="23"/>
      <c r="BC858" s="23"/>
      <c r="BD858" s="23"/>
      <c r="BE858" s="23"/>
      <c r="BF858" s="23"/>
      <c r="BG858" s="23"/>
      <c r="BH858" s="23"/>
      <c r="BI858" s="23"/>
      <c r="BJ858" s="23"/>
      <c r="BK858" s="23"/>
      <c r="BL858" s="23"/>
      <c r="BM858" s="23"/>
      <c r="BN858" s="23"/>
      <c r="BO858" s="23"/>
      <c r="BP858" s="23"/>
      <c r="BQ858" s="23"/>
      <c r="BR858" s="23"/>
      <c r="BS858" s="23"/>
      <c r="BT858" s="23"/>
      <c r="BU858" s="23"/>
      <c r="BV858" s="23"/>
      <c r="BW858" s="23"/>
      <c r="BX858" s="23"/>
      <c r="BY858" s="23"/>
      <c r="BZ858" s="23"/>
      <c r="CA858" s="23"/>
      <c r="CB858" s="23"/>
      <c r="CC858" s="23"/>
      <c r="CD858" s="23"/>
      <c r="CE858" s="23"/>
      <c r="CF858" s="23"/>
      <c r="CG858" s="23"/>
      <c r="CH858" s="23"/>
      <c r="CI858" s="23"/>
      <c r="CJ858" s="23"/>
      <c r="CK858" s="23"/>
      <c r="CL858" s="23"/>
      <c r="CO858" s="30"/>
    </row>
    <row r="859" spans="27:93" ht="12.75" x14ac:dyDescent="0.2"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  <c r="BB859" s="23"/>
      <c r="BC859" s="23"/>
      <c r="BD859" s="23"/>
      <c r="BE859" s="23"/>
      <c r="BF859" s="23"/>
      <c r="BG859" s="23"/>
      <c r="BH859" s="23"/>
      <c r="BI859" s="23"/>
      <c r="BJ859" s="23"/>
      <c r="BK859" s="23"/>
      <c r="BL859" s="23"/>
      <c r="BM859" s="23"/>
      <c r="BN859" s="23"/>
      <c r="BO859" s="23"/>
      <c r="BP859" s="23"/>
      <c r="BQ859" s="23"/>
      <c r="BR859" s="23"/>
      <c r="BS859" s="23"/>
      <c r="BT859" s="23"/>
      <c r="BU859" s="23"/>
      <c r="BV859" s="23"/>
      <c r="BW859" s="23"/>
      <c r="BX859" s="23"/>
      <c r="BY859" s="23"/>
      <c r="BZ859" s="23"/>
      <c r="CA859" s="23"/>
      <c r="CB859" s="23"/>
      <c r="CC859" s="23"/>
      <c r="CD859" s="23"/>
      <c r="CE859" s="23"/>
      <c r="CF859" s="23"/>
      <c r="CG859" s="23"/>
      <c r="CH859" s="23"/>
      <c r="CI859" s="23"/>
      <c r="CJ859" s="23"/>
      <c r="CK859" s="23"/>
      <c r="CL859" s="23"/>
      <c r="CO859" s="30"/>
    </row>
    <row r="860" spans="27:93" ht="12.75" x14ac:dyDescent="0.2"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/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  <c r="BM860" s="23"/>
      <c r="BN860" s="23"/>
      <c r="BO860" s="23"/>
      <c r="BP860" s="23"/>
      <c r="BQ860" s="23"/>
      <c r="BR860" s="23"/>
      <c r="BS860" s="23"/>
      <c r="BT860" s="23"/>
      <c r="BU860" s="23"/>
      <c r="BV860" s="23"/>
      <c r="BW860" s="23"/>
      <c r="BX860" s="23"/>
      <c r="BY860" s="23"/>
      <c r="BZ860" s="23"/>
      <c r="CA860" s="23"/>
      <c r="CB860" s="23"/>
      <c r="CC860" s="23"/>
      <c r="CD860" s="23"/>
      <c r="CE860" s="23"/>
      <c r="CF860" s="23"/>
      <c r="CG860" s="23"/>
      <c r="CH860" s="23"/>
      <c r="CI860" s="23"/>
      <c r="CJ860" s="23"/>
      <c r="CK860" s="23"/>
      <c r="CL860" s="23"/>
      <c r="CO860" s="30"/>
    </row>
    <row r="861" spans="27:93" ht="12.75" x14ac:dyDescent="0.2"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  <c r="BM861" s="23"/>
      <c r="BN861" s="23"/>
      <c r="BO861" s="23"/>
      <c r="BP861" s="23"/>
      <c r="BQ861" s="23"/>
      <c r="BR861" s="23"/>
      <c r="BS861" s="23"/>
      <c r="BT861" s="23"/>
      <c r="BU861" s="23"/>
      <c r="BV861" s="23"/>
      <c r="BW861" s="23"/>
      <c r="BX861" s="23"/>
      <c r="BY861" s="23"/>
      <c r="BZ861" s="23"/>
      <c r="CA861" s="23"/>
      <c r="CB861" s="23"/>
      <c r="CC861" s="23"/>
      <c r="CD861" s="23"/>
      <c r="CE861" s="23"/>
      <c r="CF861" s="23"/>
      <c r="CG861" s="23"/>
      <c r="CH861" s="23"/>
      <c r="CI861" s="23"/>
      <c r="CJ861" s="23"/>
      <c r="CK861" s="23"/>
      <c r="CL861" s="23"/>
      <c r="CO861" s="30"/>
    </row>
    <row r="862" spans="27:93" ht="12.75" x14ac:dyDescent="0.2"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  <c r="AY862" s="23"/>
      <c r="AZ862" s="23"/>
      <c r="BA862" s="23"/>
      <c r="BB862" s="23"/>
      <c r="BC862" s="23"/>
      <c r="BD862" s="23"/>
      <c r="BE862" s="23"/>
      <c r="BF862" s="23"/>
      <c r="BG862" s="23"/>
      <c r="BH862" s="23"/>
      <c r="BI862" s="23"/>
      <c r="BJ862" s="23"/>
      <c r="BK862" s="23"/>
      <c r="BL862" s="23"/>
      <c r="BM862" s="23"/>
      <c r="BN862" s="23"/>
      <c r="BO862" s="23"/>
      <c r="BP862" s="23"/>
      <c r="BQ862" s="23"/>
      <c r="BR862" s="23"/>
      <c r="BS862" s="23"/>
      <c r="BT862" s="23"/>
      <c r="BU862" s="23"/>
      <c r="BV862" s="23"/>
      <c r="BW862" s="23"/>
      <c r="BX862" s="23"/>
      <c r="BY862" s="23"/>
      <c r="BZ862" s="23"/>
      <c r="CA862" s="23"/>
      <c r="CB862" s="23"/>
      <c r="CC862" s="23"/>
      <c r="CD862" s="23"/>
      <c r="CE862" s="23"/>
      <c r="CF862" s="23"/>
      <c r="CG862" s="23"/>
      <c r="CH862" s="23"/>
      <c r="CI862" s="23"/>
      <c r="CJ862" s="23"/>
      <c r="CK862" s="23"/>
      <c r="CL862" s="23"/>
      <c r="CO862" s="30"/>
    </row>
    <row r="863" spans="27:93" ht="12.75" x14ac:dyDescent="0.2"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/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  <c r="BM863" s="23"/>
      <c r="BN863" s="23"/>
      <c r="BO863" s="23"/>
      <c r="BP863" s="23"/>
      <c r="BQ863" s="23"/>
      <c r="BR863" s="23"/>
      <c r="BS863" s="23"/>
      <c r="BT863" s="23"/>
      <c r="BU863" s="23"/>
      <c r="BV863" s="23"/>
      <c r="BW863" s="23"/>
      <c r="BX863" s="23"/>
      <c r="BY863" s="23"/>
      <c r="BZ863" s="23"/>
      <c r="CA863" s="23"/>
      <c r="CB863" s="23"/>
      <c r="CC863" s="23"/>
      <c r="CD863" s="23"/>
      <c r="CE863" s="23"/>
      <c r="CF863" s="23"/>
      <c r="CG863" s="23"/>
      <c r="CH863" s="23"/>
      <c r="CI863" s="23"/>
      <c r="CJ863" s="23"/>
      <c r="CK863" s="23"/>
      <c r="CL863" s="23"/>
      <c r="CO863" s="30"/>
    </row>
    <row r="864" spans="27:93" ht="12.75" x14ac:dyDescent="0.2"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/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/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3"/>
      <c r="CA864" s="23"/>
      <c r="CB864" s="23"/>
      <c r="CC864" s="23"/>
      <c r="CD864" s="23"/>
      <c r="CE864" s="23"/>
      <c r="CF864" s="23"/>
      <c r="CG864" s="23"/>
      <c r="CH864" s="23"/>
      <c r="CI864" s="23"/>
      <c r="CJ864" s="23"/>
      <c r="CK864" s="23"/>
      <c r="CL864" s="23"/>
      <c r="CO864" s="30"/>
    </row>
    <row r="865" spans="27:93" ht="12.75" x14ac:dyDescent="0.2"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/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/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3"/>
      <c r="CA865" s="23"/>
      <c r="CB865" s="23"/>
      <c r="CC865" s="23"/>
      <c r="CD865" s="23"/>
      <c r="CE865" s="23"/>
      <c r="CF865" s="23"/>
      <c r="CG865" s="23"/>
      <c r="CH865" s="23"/>
      <c r="CI865" s="23"/>
      <c r="CJ865" s="23"/>
      <c r="CK865" s="23"/>
      <c r="CL865" s="23"/>
      <c r="CO865" s="30"/>
    </row>
    <row r="866" spans="27:93" ht="12.75" x14ac:dyDescent="0.2"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  <c r="BA866" s="23"/>
      <c r="BB866" s="23"/>
      <c r="BC866" s="23"/>
      <c r="BD866" s="23"/>
      <c r="BE866" s="23"/>
      <c r="BF866" s="23"/>
      <c r="BG866" s="23"/>
      <c r="BH866" s="23"/>
      <c r="BI866" s="23"/>
      <c r="BJ866" s="23"/>
      <c r="BK866" s="23"/>
      <c r="BL866" s="23"/>
      <c r="BM866" s="23"/>
      <c r="BN866" s="23"/>
      <c r="BO866" s="23"/>
      <c r="BP866" s="23"/>
      <c r="BQ866" s="23"/>
      <c r="BR866" s="23"/>
      <c r="BS866" s="23"/>
      <c r="BT866" s="23"/>
      <c r="BU866" s="23"/>
      <c r="BV866" s="23"/>
      <c r="BW866" s="23"/>
      <c r="BX866" s="23"/>
      <c r="BY866" s="23"/>
      <c r="BZ866" s="23"/>
      <c r="CA866" s="23"/>
      <c r="CB866" s="23"/>
      <c r="CC866" s="23"/>
      <c r="CD866" s="23"/>
      <c r="CE866" s="23"/>
      <c r="CF866" s="23"/>
      <c r="CG866" s="23"/>
      <c r="CH866" s="23"/>
      <c r="CI866" s="23"/>
      <c r="CJ866" s="23"/>
      <c r="CK866" s="23"/>
      <c r="CL866" s="23"/>
      <c r="CO866" s="30"/>
    </row>
    <row r="867" spans="27:93" ht="12.75" x14ac:dyDescent="0.2"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/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3"/>
      <c r="CA867" s="23"/>
      <c r="CB867" s="23"/>
      <c r="CC867" s="23"/>
      <c r="CD867" s="23"/>
      <c r="CE867" s="23"/>
      <c r="CF867" s="23"/>
      <c r="CG867" s="23"/>
      <c r="CH867" s="23"/>
      <c r="CI867" s="23"/>
      <c r="CJ867" s="23"/>
      <c r="CK867" s="23"/>
      <c r="CL867" s="23"/>
      <c r="CO867" s="30"/>
    </row>
    <row r="868" spans="27:93" ht="12.75" x14ac:dyDescent="0.2"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  <c r="AY868" s="23"/>
      <c r="AZ868" s="23"/>
      <c r="BA868" s="23"/>
      <c r="BB868" s="23"/>
      <c r="BC868" s="23"/>
      <c r="BD868" s="23"/>
      <c r="BE868" s="23"/>
      <c r="BF868" s="23"/>
      <c r="BG868" s="23"/>
      <c r="BH868" s="23"/>
      <c r="BI868" s="23"/>
      <c r="BJ868" s="23"/>
      <c r="BK868" s="23"/>
      <c r="BL868" s="23"/>
      <c r="BM868" s="23"/>
      <c r="BN868" s="23"/>
      <c r="BO868" s="23"/>
      <c r="BP868" s="23"/>
      <c r="BQ868" s="23"/>
      <c r="BR868" s="23"/>
      <c r="BS868" s="23"/>
      <c r="BT868" s="23"/>
      <c r="BU868" s="23"/>
      <c r="BV868" s="23"/>
      <c r="BW868" s="23"/>
      <c r="BX868" s="23"/>
      <c r="BY868" s="23"/>
      <c r="BZ868" s="23"/>
      <c r="CA868" s="23"/>
      <c r="CB868" s="23"/>
      <c r="CC868" s="23"/>
      <c r="CD868" s="23"/>
      <c r="CE868" s="23"/>
      <c r="CF868" s="23"/>
      <c r="CG868" s="23"/>
      <c r="CH868" s="23"/>
      <c r="CI868" s="23"/>
      <c r="CJ868" s="23"/>
      <c r="CK868" s="23"/>
      <c r="CL868" s="23"/>
      <c r="CO868" s="30"/>
    </row>
    <row r="869" spans="27:93" ht="12.75" x14ac:dyDescent="0.2"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  <c r="BB869" s="23"/>
      <c r="BC869" s="23"/>
      <c r="BD869" s="23"/>
      <c r="BE869" s="23"/>
      <c r="BF869" s="23"/>
      <c r="BG869" s="23"/>
      <c r="BH869" s="23"/>
      <c r="BI869" s="23"/>
      <c r="BJ869" s="23"/>
      <c r="BK869" s="23"/>
      <c r="BL869" s="23"/>
      <c r="BM869" s="23"/>
      <c r="BN869" s="23"/>
      <c r="BO869" s="23"/>
      <c r="BP869" s="23"/>
      <c r="BQ869" s="23"/>
      <c r="BR869" s="23"/>
      <c r="BS869" s="23"/>
      <c r="BT869" s="23"/>
      <c r="BU869" s="23"/>
      <c r="BV869" s="23"/>
      <c r="BW869" s="23"/>
      <c r="BX869" s="23"/>
      <c r="BY869" s="23"/>
      <c r="BZ869" s="23"/>
      <c r="CA869" s="23"/>
      <c r="CB869" s="23"/>
      <c r="CC869" s="23"/>
      <c r="CD869" s="23"/>
      <c r="CE869" s="23"/>
      <c r="CF869" s="23"/>
      <c r="CG869" s="23"/>
      <c r="CH869" s="23"/>
      <c r="CI869" s="23"/>
      <c r="CJ869" s="23"/>
      <c r="CK869" s="23"/>
      <c r="CL869" s="23"/>
      <c r="CO869" s="30"/>
    </row>
    <row r="870" spans="27:93" ht="12.75" x14ac:dyDescent="0.2"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  <c r="AY870" s="23"/>
      <c r="AZ870" s="23"/>
      <c r="BA870" s="23"/>
      <c r="BB870" s="23"/>
      <c r="BC870" s="23"/>
      <c r="BD870" s="23"/>
      <c r="BE870" s="23"/>
      <c r="BF870" s="23"/>
      <c r="BG870" s="23"/>
      <c r="BH870" s="23"/>
      <c r="BI870" s="23"/>
      <c r="BJ870" s="23"/>
      <c r="BK870" s="23"/>
      <c r="BL870" s="23"/>
      <c r="BM870" s="23"/>
      <c r="BN870" s="23"/>
      <c r="BO870" s="23"/>
      <c r="BP870" s="23"/>
      <c r="BQ870" s="23"/>
      <c r="BR870" s="23"/>
      <c r="BS870" s="23"/>
      <c r="BT870" s="23"/>
      <c r="BU870" s="23"/>
      <c r="BV870" s="23"/>
      <c r="BW870" s="23"/>
      <c r="BX870" s="23"/>
      <c r="BY870" s="23"/>
      <c r="BZ870" s="23"/>
      <c r="CA870" s="23"/>
      <c r="CB870" s="23"/>
      <c r="CC870" s="23"/>
      <c r="CD870" s="23"/>
      <c r="CE870" s="23"/>
      <c r="CF870" s="23"/>
      <c r="CG870" s="23"/>
      <c r="CH870" s="23"/>
      <c r="CI870" s="23"/>
      <c r="CJ870" s="23"/>
      <c r="CK870" s="23"/>
      <c r="CL870" s="23"/>
      <c r="CO870" s="30"/>
    </row>
    <row r="871" spans="27:93" ht="12.75" x14ac:dyDescent="0.2"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  <c r="AY871" s="23"/>
      <c r="AZ871" s="23"/>
      <c r="BA871" s="23"/>
      <c r="BB871" s="23"/>
      <c r="BC871" s="23"/>
      <c r="BD871" s="23"/>
      <c r="BE871" s="23"/>
      <c r="BF871" s="23"/>
      <c r="BG871" s="23"/>
      <c r="BH871" s="23"/>
      <c r="BI871" s="23"/>
      <c r="BJ871" s="23"/>
      <c r="BK871" s="23"/>
      <c r="BL871" s="23"/>
      <c r="BM871" s="23"/>
      <c r="BN871" s="23"/>
      <c r="BO871" s="23"/>
      <c r="BP871" s="23"/>
      <c r="BQ871" s="23"/>
      <c r="BR871" s="23"/>
      <c r="BS871" s="23"/>
      <c r="BT871" s="23"/>
      <c r="BU871" s="23"/>
      <c r="BV871" s="23"/>
      <c r="BW871" s="23"/>
      <c r="BX871" s="23"/>
      <c r="BY871" s="23"/>
      <c r="BZ871" s="23"/>
      <c r="CA871" s="23"/>
      <c r="CB871" s="23"/>
      <c r="CC871" s="23"/>
      <c r="CD871" s="23"/>
      <c r="CE871" s="23"/>
      <c r="CF871" s="23"/>
      <c r="CG871" s="23"/>
      <c r="CH871" s="23"/>
      <c r="CI871" s="23"/>
      <c r="CJ871" s="23"/>
      <c r="CK871" s="23"/>
      <c r="CL871" s="23"/>
      <c r="CO871" s="30"/>
    </row>
    <row r="872" spans="27:93" ht="12.75" x14ac:dyDescent="0.2"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  <c r="AY872" s="23"/>
      <c r="AZ872" s="23"/>
      <c r="BA872" s="23"/>
      <c r="BB872" s="23"/>
      <c r="BC872" s="23"/>
      <c r="BD872" s="23"/>
      <c r="BE872" s="23"/>
      <c r="BF872" s="23"/>
      <c r="BG872" s="23"/>
      <c r="BH872" s="23"/>
      <c r="BI872" s="23"/>
      <c r="BJ872" s="23"/>
      <c r="BK872" s="23"/>
      <c r="BL872" s="23"/>
      <c r="BM872" s="23"/>
      <c r="BN872" s="23"/>
      <c r="BO872" s="23"/>
      <c r="BP872" s="23"/>
      <c r="BQ872" s="23"/>
      <c r="BR872" s="23"/>
      <c r="BS872" s="23"/>
      <c r="BT872" s="23"/>
      <c r="BU872" s="23"/>
      <c r="BV872" s="23"/>
      <c r="BW872" s="23"/>
      <c r="BX872" s="23"/>
      <c r="BY872" s="23"/>
      <c r="BZ872" s="23"/>
      <c r="CA872" s="23"/>
      <c r="CB872" s="23"/>
      <c r="CC872" s="23"/>
      <c r="CD872" s="23"/>
      <c r="CE872" s="23"/>
      <c r="CF872" s="23"/>
      <c r="CG872" s="23"/>
      <c r="CH872" s="23"/>
      <c r="CI872" s="23"/>
      <c r="CJ872" s="23"/>
      <c r="CK872" s="23"/>
      <c r="CL872" s="23"/>
      <c r="CO872" s="30"/>
    </row>
    <row r="873" spans="27:93" ht="12.75" x14ac:dyDescent="0.2"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  <c r="BA873" s="23"/>
      <c r="BB873" s="23"/>
      <c r="BC873" s="23"/>
      <c r="BD873" s="23"/>
      <c r="BE873" s="23"/>
      <c r="BF873" s="23"/>
      <c r="BG873" s="23"/>
      <c r="BH873" s="23"/>
      <c r="BI873" s="23"/>
      <c r="BJ873" s="23"/>
      <c r="BK873" s="23"/>
      <c r="BL873" s="23"/>
      <c r="BM873" s="23"/>
      <c r="BN873" s="23"/>
      <c r="BO873" s="23"/>
      <c r="BP873" s="23"/>
      <c r="BQ873" s="23"/>
      <c r="BR873" s="23"/>
      <c r="BS873" s="23"/>
      <c r="BT873" s="23"/>
      <c r="BU873" s="23"/>
      <c r="BV873" s="23"/>
      <c r="BW873" s="23"/>
      <c r="BX873" s="23"/>
      <c r="BY873" s="23"/>
      <c r="BZ873" s="23"/>
      <c r="CA873" s="23"/>
      <c r="CB873" s="23"/>
      <c r="CC873" s="23"/>
      <c r="CD873" s="23"/>
      <c r="CE873" s="23"/>
      <c r="CF873" s="23"/>
      <c r="CG873" s="23"/>
      <c r="CH873" s="23"/>
      <c r="CI873" s="23"/>
      <c r="CJ873" s="23"/>
      <c r="CK873" s="23"/>
      <c r="CL873" s="23"/>
      <c r="CO873" s="30"/>
    </row>
    <row r="874" spans="27:93" ht="12.75" x14ac:dyDescent="0.2"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  <c r="AY874" s="23"/>
      <c r="AZ874" s="23"/>
      <c r="BA874" s="23"/>
      <c r="BB874" s="23"/>
      <c r="BC874" s="23"/>
      <c r="BD874" s="23"/>
      <c r="BE874" s="23"/>
      <c r="BF874" s="23"/>
      <c r="BG874" s="23"/>
      <c r="BH874" s="23"/>
      <c r="BI874" s="23"/>
      <c r="BJ874" s="23"/>
      <c r="BK874" s="23"/>
      <c r="BL874" s="23"/>
      <c r="BM874" s="23"/>
      <c r="BN874" s="23"/>
      <c r="BO874" s="23"/>
      <c r="BP874" s="23"/>
      <c r="BQ874" s="23"/>
      <c r="BR874" s="23"/>
      <c r="BS874" s="23"/>
      <c r="BT874" s="23"/>
      <c r="BU874" s="23"/>
      <c r="BV874" s="23"/>
      <c r="BW874" s="23"/>
      <c r="BX874" s="23"/>
      <c r="BY874" s="23"/>
      <c r="BZ874" s="23"/>
      <c r="CA874" s="23"/>
      <c r="CB874" s="23"/>
      <c r="CC874" s="23"/>
      <c r="CD874" s="23"/>
      <c r="CE874" s="23"/>
      <c r="CF874" s="23"/>
      <c r="CG874" s="23"/>
      <c r="CH874" s="23"/>
      <c r="CI874" s="23"/>
      <c r="CJ874" s="23"/>
      <c r="CK874" s="23"/>
      <c r="CL874" s="23"/>
      <c r="CO874" s="30"/>
    </row>
    <row r="875" spans="27:93" ht="12.75" x14ac:dyDescent="0.2"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  <c r="AY875" s="23"/>
      <c r="AZ875" s="23"/>
      <c r="BA875" s="23"/>
      <c r="BB875" s="23"/>
      <c r="BC875" s="23"/>
      <c r="BD875" s="23"/>
      <c r="BE875" s="23"/>
      <c r="BF875" s="23"/>
      <c r="BG875" s="23"/>
      <c r="BH875" s="23"/>
      <c r="BI875" s="23"/>
      <c r="BJ875" s="23"/>
      <c r="BK875" s="23"/>
      <c r="BL875" s="23"/>
      <c r="BM875" s="23"/>
      <c r="BN875" s="23"/>
      <c r="BO875" s="23"/>
      <c r="BP875" s="23"/>
      <c r="BQ875" s="23"/>
      <c r="BR875" s="23"/>
      <c r="BS875" s="23"/>
      <c r="BT875" s="23"/>
      <c r="BU875" s="23"/>
      <c r="BV875" s="23"/>
      <c r="BW875" s="23"/>
      <c r="BX875" s="23"/>
      <c r="BY875" s="23"/>
      <c r="BZ875" s="23"/>
      <c r="CA875" s="23"/>
      <c r="CB875" s="23"/>
      <c r="CC875" s="23"/>
      <c r="CD875" s="23"/>
      <c r="CE875" s="23"/>
      <c r="CF875" s="23"/>
      <c r="CG875" s="23"/>
      <c r="CH875" s="23"/>
      <c r="CI875" s="23"/>
      <c r="CJ875" s="23"/>
      <c r="CK875" s="23"/>
      <c r="CL875" s="23"/>
      <c r="CO875" s="30"/>
    </row>
    <row r="876" spans="27:93" ht="12.75" x14ac:dyDescent="0.2"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  <c r="AY876" s="23"/>
      <c r="AZ876" s="23"/>
      <c r="BA876" s="23"/>
      <c r="BB876" s="23"/>
      <c r="BC876" s="23"/>
      <c r="BD876" s="23"/>
      <c r="BE876" s="23"/>
      <c r="BF876" s="23"/>
      <c r="BG876" s="23"/>
      <c r="BH876" s="23"/>
      <c r="BI876" s="23"/>
      <c r="BJ876" s="23"/>
      <c r="BK876" s="23"/>
      <c r="BL876" s="23"/>
      <c r="BM876" s="23"/>
      <c r="BN876" s="23"/>
      <c r="BO876" s="23"/>
      <c r="BP876" s="23"/>
      <c r="BQ876" s="23"/>
      <c r="BR876" s="23"/>
      <c r="BS876" s="23"/>
      <c r="BT876" s="23"/>
      <c r="BU876" s="23"/>
      <c r="BV876" s="23"/>
      <c r="BW876" s="23"/>
      <c r="BX876" s="23"/>
      <c r="BY876" s="23"/>
      <c r="BZ876" s="23"/>
      <c r="CA876" s="23"/>
      <c r="CB876" s="23"/>
      <c r="CC876" s="23"/>
      <c r="CD876" s="23"/>
      <c r="CE876" s="23"/>
      <c r="CF876" s="23"/>
      <c r="CG876" s="23"/>
      <c r="CH876" s="23"/>
      <c r="CI876" s="23"/>
      <c r="CJ876" s="23"/>
      <c r="CK876" s="23"/>
      <c r="CL876" s="23"/>
      <c r="CO876" s="30"/>
    </row>
    <row r="877" spans="27:93" ht="12.75" x14ac:dyDescent="0.2"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  <c r="AY877" s="23"/>
      <c r="AZ877" s="23"/>
      <c r="BA877" s="23"/>
      <c r="BB877" s="23"/>
      <c r="BC877" s="23"/>
      <c r="BD877" s="23"/>
      <c r="BE877" s="23"/>
      <c r="BF877" s="23"/>
      <c r="BG877" s="23"/>
      <c r="BH877" s="23"/>
      <c r="BI877" s="23"/>
      <c r="BJ877" s="23"/>
      <c r="BK877" s="23"/>
      <c r="BL877" s="23"/>
      <c r="BM877" s="23"/>
      <c r="BN877" s="23"/>
      <c r="BO877" s="23"/>
      <c r="BP877" s="23"/>
      <c r="BQ877" s="23"/>
      <c r="BR877" s="23"/>
      <c r="BS877" s="23"/>
      <c r="BT877" s="23"/>
      <c r="BU877" s="23"/>
      <c r="BV877" s="23"/>
      <c r="BW877" s="23"/>
      <c r="BX877" s="23"/>
      <c r="BY877" s="23"/>
      <c r="BZ877" s="23"/>
      <c r="CA877" s="23"/>
      <c r="CB877" s="23"/>
      <c r="CC877" s="23"/>
      <c r="CD877" s="23"/>
      <c r="CE877" s="23"/>
      <c r="CF877" s="23"/>
      <c r="CG877" s="23"/>
      <c r="CH877" s="23"/>
      <c r="CI877" s="23"/>
      <c r="CJ877" s="23"/>
      <c r="CK877" s="23"/>
      <c r="CL877" s="23"/>
      <c r="CO877" s="30"/>
    </row>
    <row r="878" spans="27:93" ht="12.75" x14ac:dyDescent="0.2"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  <c r="AY878" s="23"/>
      <c r="AZ878" s="23"/>
      <c r="BA878" s="23"/>
      <c r="BB878" s="23"/>
      <c r="BC878" s="23"/>
      <c r="BD878" s="23"/>
      <c r="BE878" s="23"/>
      <c r="BF878" s="23"/>
      <c r="BG878" s="23"/>
      <c r="BH878" s="23"/>
      <c r="BI878" s="23"/>
      <c r="BJ878" s="23"/>
      <c r="BK878" s="23"/>
      <c r="BL878" s="23"/>
      <c r="BM878" s="23"/>
      <c r="BN878" s="23"/>
      <c r="BO878" s="23"/>
      <c r="BP878" s="23"/>
      <c r="BQ878" s="23"/>
      <c r="BR878" s="23"/>
      <c r="BS878" s="23"/>
      <c r="BT878" s="23"/>
      <c r="BU878" s="23"/>
      <c r="BV878" s="23"/>
      <c r="BW878" s="23"/>
      <c r="BX878" s="23"/>
      <c r="BY878" s="23"/>
      <c r="BZ878" s="23"/>
      <c r="CA878" s="23"/>
      <c r="CB878" s="23"/>
      <c r="CC878" s="23"/>
      <c r="CD878" s="23"/>
      <c r="CE878" s="23"/>
      <c r="CF878" s="23"/>
      <c r="CG878" s="23"/>
      <c r="CH878" s="23"/>
      <c r="CI878" s="23"/>
      <c r="CJ878" s="23"/>
      <c r="CK878" s="23"/>
      <c r="CL878" s="23"/>
      <c r="CO878" s="30"/>
    </row>
    <row r="879" spans="27:93" ht="12.75" x14ac:dyDescent="0.2"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  <c r="BD879" s="23"/>
      <c r="BE879" s="23"/>
      <c r="BF879" s="23"/>
      <c r="BG879" s="23"/>
      <c r="BH879" s="23"/>
      <c r="BI879" s="23"/>
      <c r="BJ879" s="23"/>
      <c r="BK879" s="23"/>
      <c r="BL879" s="23"/>
      <c r="BM879" s="23"/>
      <c r="BN879" s="23"/>
      <c r="BO879" s="23"/>
      <c r="BP879" s="23"/>
      <c r="BQ879" s="23"/>
      <c r="BR879" s="23"/>
      <c r="BS879" s="23"/>
      <c r="BT879" s="23"/>
      <c r="BU879" s="23"/>
      <c r="BV879" s="23"/>
      <c r="BW879" s="23"/>
      <c r="BX879" s="23"/>
      <c r="BY879" s="23"/>
      <c r="BZ879" s="23"/>
      <c r="CA879" s="23"/>
      <c r="CB879" s="23"/>
      <c r="CC879" s="23"/>
      <c r="CD879" s="23"/>
      <c r="CE879" s="23"/>
      <c r="CF879" s="23"/>
      <c r="CG879" s="23"/>
      <c r="CH879" s="23"/>
      <c r="CI879" s="23"/>
      <c r="CJ879" s="23"/>
      <c r="CK879" s="23"/>
      <c r="CL879" s="23"/>
      <c r="CO879" s="30"/>
    </row>
    <row r="880" spans="27:93" ht="12.75" x14ac:dyDescent="0.2"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  <c r="AY880" s="23"/>
      <c r="AZ880" s="23"/>
      <c r="BA880" s="23"/>
      <c r="BB880" s="23"/>
      <c r="BC880" s="23"/>
      <c r="BD880" s="23"/>
      <c r="BE880" s="23"/>
      <c r="BF880" s="23"/>
      <c r="BG880" s="23"/>
      <c r="BH880" s="23"/>
      <c r="BI880" s="23"/>
      <c r="BJ880" s="23"/>
      <c r="BK880" s="23"/>
      <c r="BL880" s="23"/>
      <c r="BM880" s="23"/>
      <c r="BN880" s="23"/>
      <c r="BO880" s="23"/>
      <c r="BP880" s="23"/>
      <c r="BQ880" s="23"/>
      <c r="BR880" s="23"/>
      <c r="BS880" s="23"/>
      <c r="BT880" s="23"/>
      <c r="BU880" s="23"/>
      <c r="BV880" s="23"/>
      <c r="BW880" s="23"/>
      <c r="BX880" s="23"/>
      <c r="BY880" s="23"/>
      <c r="BZ880" s="23"/>
      <c r="CA880" s="23"/>
      <c r="CB880" s="23"/>
      <c r="CC880" s="23"/>
      <c r="CD880" s="23"/>
      <c r="CE880" s="23"/>
      <c r="CF880" s="23"/>
      <c r="CG880" s="23"/>
      <c r="CH880" s="23"/>
      <c r="CI880" s="23"/>
      <c r="CJ880" s="23"/>
      <c r="CK880" s="23"/>
      <c r="CL880" s="23"/>
      <c r="CO880" s="30"/>
    </row>
    <row r="881" spans="27:93" ht="12.75" x14ac:dyDescent="0.2"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  <c r="AZ881" s="23"/>
      <c r="BA881" s="23"/>
      <c r="BB881" s="23"/>
      <c r="BC881" s="23"/>
      <c r="BD881" s="23"/>
      <c r="BE881" s="23"/>
      <c r="BF881" s="23"/>
      <c r="BG881" s="23"/>
      <c r="BH881" s="23"/>
      <c r="BI881" s="23"/>
      <c r="BJ881" s="23"/>
      <c r="BK881" s="23"/>
      <c r="BL881" s="23"/>
      <c r="BM881" s="23"/>
      <c r="BN881" s="23"/>
      <c r="BO881" s="23"/>
      <c r="BP881" s="23"/>
      <c r="BQ881" s="23"/>
      <c r="BR881" s="23"/>
      <c r="BS881" s="23"/>
      <c r="BT881" s="23"/>
      <c r="BU881" s="23"/>
      <c r="BV881" s="23"/>
      <c r="BW881" s="23"/>
      <c r="BX881" s="23"/>
      <c r="BY881" s="23"/>
      <c r="BZ881" s="23"/>
      <c r="CA881" s="23"/>
      <c r="CB881" s="23"/>
      <c r="CC881" s="23"/>
      <c r="CD881" s="23"/>
      <c r="CE881" s="23"/>
      <c r="CF881" s="23"/>
      <c r="CG881" s="23"/>
      <c r="CH881" s="23"/>
      <c r="CI881" s="23"/>
      <c r="CJ881" s="23"/>
      <c r="CK881" s="23"/>
      <c r="CL881" s="23"/>
      <c r="CO881" s="30"/>
    </row>
    <row r="882" spans="27:93" ht="12.75" x14ac:dyDescent="0.2"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  <c r="AY882" s="23"/>
      <c r="AZ882" s="23"/>
      <c r="BA882" s="23"/>
      <c r="BB882" s="23"/>
      <c r="BC882" s="23"/>
      <c r="BD882" s="23"/>
      <c r="BE882" s="23"/>
      <c r="BF882" s="23"/>
      <c r="BG882" s="23"/>
      <c r="BH882" s="23"/>
      <c r="BI882" s="23"/>
      <c r="BJ882" s="23"/>
      <c r="BK882" s="23"/>
      <c r="BL882" s="23"/>
      <c r="BM882" s="23"/>
      <c r="BN882" s="23"/>
      <c r="BO882" s="23"/>
      <c r="BP882" s="23"/>
      <c r="BQ882" s="23"/>
      <c r="BR882" s="23"/>
      <c r="BS882" s="23"/>
      <c r="BT882" s="23"/>
      <c r="BU882" s="23"/>
      <c r="BV882" s="23"/>
      <c r="BW882" s="23"/>
      <c r="BX882" s="23"/>
      <c r="BY882" s="23"/>
      <c r="BZ882" s="23"/>
      <c r="CA882" s="23"/>
      <c r="CB882" s="23"/>
      <c r="CC882" s="23"/>
      <c r="CD882" s="23"/>
      <c r="CE882" s="23"/>
      <c r="CF882" s="23"/>
      <c r="CG882" s="23"/>
      <c r="CH882" s="23"/>
      <c r="CI882" s="23"/>
      <c r="CJ882" s="23"/>
      <c r="CK882" s="23"/>
      <c r="CL882" s="23"/>
      <c r="CO882" s="30"/>
    </row>
    <row r="883" spans="27:93" ht="12.75" x14ac:dyDescent="0.2"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  <c r="AY883" s="23"/>
      <c r="AZ883" s="23"/>
      <c r="BA883" s="23"/>
      <c r="BB883" s="23"/>
      <c r="BC883" s="23"/>
      <c r="BD883" s="23"/>
      <c r="BE883" s="23"/>
      <c r="BF883" s="23"/>
      <c r="BG883" s="23"/>
      <c r="BH883" s="23"/>
      <c r="BI883" s="23"/>
      <c r="BJ883" s="23"/>
      <c r="BK883" s="23"/>
      <c r="BL883" s="23"/>
      <c r="BM883" s="23"/>
      <c r="BN883" s="23"/>
      <c r="BO883" s="23"/>
      <c r="BP883" s="23"/>
      <c r="BQ883" s="23"/>
      <c r="BR883" s="23"/>
      <c r="BS883" s="23"/>
      <c r="BT883" s="23"/>
      <c r="BU883" s="23"/>
      <c r="BV883" s="23"/>
      <c r="BW883" s="23"/>
      <c r="BX883" s="23"/>
      <c r="BY883" s="23"/>
      <c r="BZ883" s="23"/>
      <c r="CA883" s="23"/>
      <c r="CB883" s="23"/>
      <c r="CC883" s="23"/>
      <c r="CD883" s="23"/>
      <c r="CE883" s="23"/>
      <c r="CF883" s="23"/>
      <c r="CG883" s="23"/>
      <c r="CH883" s="23"/>
      <c r="CI883" s="23"/>
      <c r="CJ883" s="23"/>
      <c r="CK883" s="23"/>
      <c r="CL883" s="23"/>
      <c r="CO883" s="30"/>
    </row>
    <row r="884" spans="27:93" ht="12.75" x14ac:dyDescent="0.2"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  <c r="AY884" s="23"/>
      <c r="AZ884" s="23"/>
      <c r="BA884" s="23"/>
      <c r="BB884" s="23"/>
      <c r="BC884" s="23"/>
      <c r="BD884" s="23"/>
      <c r="BE884" s="23"/>
      <c r="BF884" s="23"/>
      <c r="BG884" s="23"/>
      <c r="BH884" s="23"/>
      <c r="BI884" s="23"/>
      <c r="BJ884" s="23"/>
      <c r="BK884" s="23"/>
      <c r="BL884" s="23"/>
      <c r="BM884" s="23"/>
      <c r="BN884" s="23"/>
      <c r="BO884" s="23"/>
      <c r="BP884" s="23"/>
      <c r="BQ884" s="23"/>
      <c r="BR884" s="23"/>
      <c r="BS884" s="23"/>
      <c r="BT884" s="23"/>
      <c r="BU884" s="23"/>
      <c r="BV884" s="23"/>
      <c r="BW884" s="23"/>
      <c r="BX884" s="23"/>
      <c r="BY884" s="23"/>
      <c r="BZ884" s="23"/>
      <c r="CA884" s="23"/>
      <c r="CB884" s="23"/>
      <c r="CC884" s="23"/>
      <c r="CD884" s="23"/>
      <c r="CE884" s="23"/>
      <c r="CF884" s="23"/>
      <c r="CG884" s="23"/>
      <c r="CH884" s="23"/>
      <c r="CI884" s="23"/>
      <c r="CJ884" s="23"/>
      <c r="CK884" s="23"/>
      <c r="CL884" s="23"/>
      <c r="CO884" s="30"/>
    </row>
    <row r="885" spans="27:93" ht="12.75" x14ac:dyDescent="0.2"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  <c r="BH885" s="23"/>
      <c r="BI885" s="23"/>
      <c r="BJ885" s="23"/>
      <c r="BK885" s="23"/>
      <c r="BL885" s="23"/>
      <c r="BM885" s="23"/>
      <c r="BN885" s="23"/>
      <c r="BO885" s="23"/>
      <c r="BP885" s="23"/>
      <c r="BQ885" s="23"/>
      <c r="BR885" s="23"/>
      <c r="BS885" s="23"/>
      <c r="BT885" s="23"/>
      <c r="BU885" s="23"/>
      <c r="BV885" s="23"/>
      <c r="BW885" s="23"/>
      <c r="BX885" s="23"/>
      <c r="BY885" s="23"/>
      <c r="BZ885" s="23"/>
      <c r="CA885" s="23"/>
      <c r="CB885" s="23"/>
      <c r="CC885" s="23"/>
      <c r="CD885" s="23"/>
      <c r="CE885" s="23"/>
      <c r="CF885" s="23"/>
      <c r="CG885" s="23"/>
      <c r="CH885" s="23"/>
      <c r="CI885" s="23"/>
      <c r="CJ885" s="23"/>
      <c r="CK885" s="23"/>
      <c r="CL885" s="23"/>
      <c r="CO885" s="30"/>
    </row>
    <row r="886" spans="27:93" ht="12.75" x14ac:dyDescent="0.2"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  <c r="AY886" s="23"/>
      <c r="AZ886" s="23"/>
      <c r="BA886" s="23"/>
      <c r="BB886" s="23"/>
      <c r="BC886" s="23"/>
      <c r="BD886" s="23"/>
      <c r="BE886" s="23"/>
      <c r="BF886" s="23"/>
      <c r="BG886" s="23"/>
      <c r="BH886" s="23"/>
      <c r="BI886" s="23"/>
      <c r="BJ886" s="23"/>
      <c r="BK886" s="23"/>
      <c r="BL886" s="23"/>
      <c r="BM886" s="23"/>
      <c r="BN886" s="23"/>
      <c r="BO886" s="23"/>
      <c r="BP886" s="23"/>
      <c r="BQ886" s="23"/>
      <c r="BR886" s="23"/>
      <c r="BS886" s="23"/>
      <c r="BT886" s="23"/>
      <c r="BU886" s="23"/>
      <c r="BV886" s="23"/>
      <c r="BW886" s="23"/>
      <c r="BX886" s="23"/>
      <c r="BY886" s="23"/>
      <c r="BZ886" s="23"/>
      <c r="CA886" s="23"/>
      <c r="CB886" s="23"/>
      <c r="CC886" s="23"/>
      <c r="CD886" s="23"/>
      <c r="CE886" s="23"/>
      <c r="CF886" s="23"/>
      <c r="CG886" s="23"/>
      <c r="CH886" s="23"/>
      <c r="CI886" s="23"/>
      <c r="CJ886" s="23"/>
      <c r="CK886" s="23"/>
      <c r="CL886" s="23"/>
      <c r="CO886" s="30"/>
    </row>
    <row r="887" spans="27:93" ht="12.75" x14ac:dyDescent="0.2"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  <c r="AY887" s="23"/>
      <c r="AZ887" s="23"/>
      <c r="BA887" s="23"/>
      <c r="BB887" s="23"/>
      <c r="BC887" s="23"/>
      <c r="BD887" s="23"/>
      <c r="BE887" s="23"/>
      <c r="BF887" s="23"/>
      <c r="BG887" s="23"/>
      <c r="BH887" s="23"/>
      <c r="BI887" s="23"/>
      <c r="BJ887" s="23"/>
      <c r="BK887" s="23"/>
      <c r="BL887" s="23"/>
      <c r="BM887" s="23"/>
      <c r="BN887" s="23"/>
      <c r="BO887" s="23"/>
      <c r="BP887" s="23"/>
      <c r="BQ887" s="23"/>
      <c r="BR887" s="23"/>
      <c r="BS887" s="23"/>
      <c r="BT887" s="23"/>
      <c r="BU887" s="23"/>
      <c r="BV887" s="23"/>
      <c r="BW887" s="23"/>
      <c r="BX887" s="23"/>
      <c r="BY887" s="23"/>
      <c r="BZ887" s="23"/>
      <c r="CA887" s="23"/>
      <c r="CB887" s="23"/>
      <c r="CC887" s="23"/>
      <c r="CD887" s="23"/>
      <c r="CE887" s="23"/>
      <c r="CF887" s="23"/>
      <c r="CG887" s="23"/>
      <c r="CH887" s="23"/>
      <c r="CI887" s="23"/>
      <c r="CJ887" s="23"/>
      <c r="CK887" s="23"/>
      <c r="CL887" s="23"/>
      <c r="CO887" s="30"/>
    </row>
    <row r="888" spans="27:93" ht="12.75" x14ac:dyDescent="0.2"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  <c r="AY888" s="23"/>
      <c r="AZ888" s="23"/>
      <c r="BA888" s="23"/>
      <c r="BB888" s="23"/>
      <c r="BC888" s="23"/>
      <c r="BD888" s="23"/>
      <c r="BE888" s="23"/>
      <c r="BF888" s="23"/>
      <c r="BG888" s="23"/>
      <c r="BH888" s="23"/>
      <c r="BI888" s="23"/>
      <c r="BJ888" s="23"/>
      <c r="BK888" s="23"/>
      <c r="BL888" s="23"/>
      <c r="BM888" s="23"/>
      <c r="BN888" s="23"/>
      <c r="BO888" s="23"/>
      <c r="BP888" s="23"/>
      <c r="BQ888" s="23"/>
      <c r="BR888" s="23"/>
      <c r="BS888" s="23"/>
      <c r="BT888" s="23"/>
      <c r="BU888" s="23"/>
      <c r="BV888" s="23"/>
      <c r="BW888" s="23"/>
      <c r="BX888" s="23"/>
      <c r="BY888" s="23"/>
      <c r="BZ888" s="23"/>
      <c r="CA888" s="23"/>
      <c r="CB888" s="23"/>
      <c r="CC888" s="23"/>
      <c r="CD888" s="23"/>
      <c r="CE888" s="23"/>
      <c r="CF888" s="23"/>
      <c r="CG888" s="23"/>
      <c r="CH888" s="23"/>
      <c r="CI888" s="23"/>
      <c r="CJ888" s="23"/>
      <c r="CK888" s="23"/>
      <c r="CL888" s="23"/>
      <c r="CO888" s="30"/>
    </row>
    <row r="889" spans="27:93" ht="12.75" x14ac:dyDescent="0.2"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  <c r="AY889" s="23"/>
      <c r="AZ889" s="23"/>
      <c r="BA889" s="23"/>
      <c r="BB889" s="23"/>
      <c r="BC889" s="23"/>
      <c r="BD889" s="23"/>
      <c r="BE889" s="23"/>
      <c r="BF889" s="23"/>
      <c r="BG889" s="23"/>
      <c r="BH889" s="23"/>
      <c r="BI889" s="23"/>
      <c r="BJ889" s="23"/>
      <c r="BK889" s="23"/>
      <c r="BL889" s="23"/>
      <c r="BM889" s="23"/>
      <c r="BN889" s="23"/>
      <c r="BO889" s="23"/>
      <c r="BP889" s="23"/>
      <c r="BQ889" s="23"/>
      <c r="BR889" s="23"/>
      <c r="BS889" s="23"/>
      <c r="BT889" s="23"/>
      <c r="BU889" s="23"/>
      <c r="BV889" s="23"/>
      <c r="BW889" s="23"/>
      <c r="BX889" s="23"/>
      <c r="BY889" s="23"/>
      <c r="BZ889" s="23"/>
      <c r="CA889" s="23"/>
      <c r="CB889" s="23"/>
      <c r="CC889" s="23"/>
      <c r="CD889" s="23"/>
      <c r="CE889" s="23"/>
      <c r="CF889" s="23"/>
      <c r="CG889" s="23"/>
      <c r="CH889" s="23"/>
      <c r="CI889" s="23"/>
      <c r="CJ889" s="23"/>
      <c r="CK889" s="23"/>
      <c r="CL889" s="23"/>
      <c r="CO889" s="30"/>
    </row>
    <row r="890" spans="27:93" ht="12.75" x14ac:dyDescent="0.2"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  <c r="AY890" s="23"/>
      <c r="AZ890" s="23"/>
      <c r="BA890" s="23"/>
      <c r="BB890" s="23"/>
      <c r="BC890" s="23"/>
      <c r="BD890" s="23"/>
      <c r="BE890" s="23"/>
      <c r="BF890" s="23"/>
      <c r="BG890" s="23"/>
      <c r="BH890" s="23"/>
      <c r="BI890" s="23"/>
      <c r="BJ890" s="23"/>
      <c r="BK890" s="23"/>
      <c r="BL890" s="23"/>
      <c r="BM890" s="23"/>
      <c r="BN890" s="23"/>
      <c r="BO890" s="23"/>
      <c r="BP890" s="23"/>
      <c r="BQ890" s="23"/>
      <c r="BR890" s="23"/>
      <c r="BS890" s="23"/>
      <c r="BT890" s="23"/>
      <c r="BU890" s="23"/>
      <c r="BV890" s="23"/>
      <c r="BW890" s="23"/>
      <c r="BX890" s="23"/>
      <c r="BY890" s="23"/>
      <c r="BZ890" s="23"/>
      <c r="CA890" s="23"/>
      <c r="CB890" s="23"/>
      <c r="CC890" s="23"/>
      <c r="CD890" s="23"/>
      <c r="CE890" s="23"/>
      <c r="CF890" s="23"/>
      <c r="CG890" s="23"/>
      <c r="CH890" s="23"/>
      <c r="CI890" s="23"/>
      <c r="CJ890" s="23"/>
      <c r="CK890" s="23"/>
      <c r="CL890" s="23"/>
      <c r="CO890" s="30"/>
    </row>
    <row r="891" spans="27:93" ht="12.75" x14ac:dyDescent="0.2"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  <c r="AY891" s="23"/>
      <c r="AZ891" s="23"/>
      <c r="BA891" s="23"/>
      <c r="BB891" s="23"/>
      <c r="BC891" s="23"/>
      <c r="BD891" s="23"/>
      <c r="BE891" s="23"/>
      <c r="BF891" s="23"/>
      <c r="BG891" s="23"/>
      <c r="BH891" s="23"/>
      <c r="BI891" s="23"/>
      <c r="BJ891" s="23"/>
      <c r="BK891" s="23"/>
      <c r="BL891" s="23"/>
      <c r="BM891" s="23"/>
      <c r="BN891" s="23"/>
      <c r="BO891" s="23"/>
      <c r="BP891" s="23"/>
      <c r="BQ891" s="23"/>
      <c r="BR891" s="23"/>
      <c r="BS891" s="23"/>
      <c r="BT891" s="23"/>
      <c r="BU891" s="23"/>
      <c r="BV891" s="23"/>
      <c r="BW891" s="23"/>
      <c r="BX891" s="23"/>
      <c r="BY891" s="23"/>
      <c r="BZ891" s="23"/>
      <c r="CA891" s="23"/>
      <c r="CB891" s="23"/>
      <c r="CC891" s="23"/>
      <c r="CD891" s="23"/>
      <c r="CE891" s="23"/>
      <c r="CF891" s="23"/>
      <c r="CG891" s="23"/>
      <c r="CH891" s="23"/>
      <c r="CI891" s="23"/>
      <c r="CJ891" s="23"/>
      <c r="CK891" s="23"/>
      <c r="CL891" s="23"/>
      <c r="CO891" s="30"/>
    </row>
    <row r="892" spans="27:93" ht="12.75" x14ac:dyDescent="0.2"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  <c r="AY892" s="23"/>
      <c r="AZ892" s="23"/>
      <c r="BA892" s="23"/>
      <c r="BB892" s="23"/>
      <c r="BC892" s="23"/>
      <c r="BD892" s="23"/>
      <c r="BE892" s="23"/>
      <c r="BF892" s="23"/>
      <c r="BG892" s="23"/>
      <c r="BH892" s="23"/>
      <c r="BI892" s="23"/>
      <c r="BJ892" s="23"/>
      <c r="BK892" s="23"/>
      <c r="BL892" s="23"/>
      <c r="BM892" s="23"/>
      <c r="BN892" s="23"/>
      <c r="BO892" s="23"/>
      <c r="BP892" s="23"/>
      <c r="BQ892" s="23"/>
      <c r="BR892" s="23"/>
      <c r="BS892" s="23"/>
      <c r="BT892" s="23"/>
      <c r="BU892" s="23"/>
      <c r="BV892" s="23"/>
      <c r="BW892" s="23"/>
      <c r="BX892" s="23"/>
      <c r="BY892" s="23"/>
      <c r="BZ892" s="23"/>
      <c r="CA892" s="23"/>
      <c r="CB892" s="23"/>
      <c r="CC892" s="23"/>
      <c r="CD892" s="23"/>
      <c r="CE892" s="23"/>
      <c r="CF892" s="23"/>
      <c r="CG892" s="23"/>
      <c r="CH892" s="23"/>
      <c r="CI892" s="23"/>
      <c r="CJ892" s="23"/>
      <c r="CK892" s="23"/>
      <c r="CL892" s="23"/>
      <c r="CO892" s="30"/>
    </row>
    <row r="893" spans="27:93" ht="12.75" x14ac:dyDescent="0.2"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  <c r="AY893" s="23"/>
      <c r="AZ893" s="23"/>
      <c r="BA893" s="23"/>
      <c r="BB893" s="23"/>
      <c r="BC893" s="23"/>
      <c r="BD893" s="23"/>
      <c r="BE893" s="23"/>
      <c r="BF893" s="23"/>
      <c r="BG893" s="23"/>
      <c r="BH893" s="23"/>
      <c r="BI893" s="23"/>
      <c r="BJ893" s="23"/>
      <c r="BK893" s="23"/>
      <c r="BL893" s="23"/>
      <c r="BM893" s="23"/>
      <c r="BN893" s="23"/>
      <c r="BO893" s="23"/>
      <c r="BP893" s="23"/>
      <c r="BQ893" s="23"/>
      <c r="BR893" s="23"/>
      <c r="BS893" s="23"/>
      <c r="BT893" s="23"/>
      <c r="BU893" s="23"/>
      <c r="BV893" s="23"/>
      <c r="BW893" s="23"/>
      <c r="BX893" s="23"/>
      <c r="BY893" s="23"/>
      <c r="BZ893" s="23"/>
      <c r="CA893" s="23"/>
      <c r="CB893" s="23"/>
      <c r="CC893" s="23"/>
      <c r="CD893" s="23"/>
      <c r="CE893" s="23"/>
      <c r="CF893" s="23"/>
      <c r="CG893" s="23"/>
      <c r="CH893" s="23"/>
      <c r="CI893" s="23"/>
      <c r="CJ893" s="23"/>
      <c r="CK893" s="23"/>
      <c r="CL893" s="23"/>
      <c r="CO893" s="30"/>
    </row>
    <row r="894" spans="27:93" ht="12.75" x14ac:dyDescent="0.2"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  <c r="AY894" s="23"/>
      <c r="AZ894" s="23"/>
      <c r="BA894" s="23"/>
      <c r="BB894" s="23"/>
      <c r="BC894" s="23"/>
      <c r="BD894" s="23"/>
      <c r="BE894" s="23"/>
      <c r="BF894" s="23"/>
      <c r="BG894" s="23"/>
      <c r="BH894" s="23"/>
      <c r="BI894" s="23"/>
      <c r="BJ894" s="23"/>
      <c r="BK894" s="23"/>
      <c r="BL894" s="23"/>
      <c r="BM894" s="23"/>
      <c r="BN894" s="23"/>
      <c r="BO894" s="23"/>
      <c r="BP894" s="23"/>
      <c r="BQ894" s="23"/>
      <c r="BR894" s="23"/>
      <c r="BS894" s="23"/>
      <c r="BT894" s="23"/>
      <c r="BU894" s="23"/>
      <c r="BV894" s="23"/>
      <c r="BW894" s="23"/>
      <c r="BX894" s="23"/>
      <c r="BY894" s="23"/>
      <c r="BZ894" s="23"/>
      <c r="CA894" s="23"/>
      <c r="CB894" s="23"/>
      <c r="CC894" s="23"/>
      <c r="CD894" s="23"/>
      <c r="CE894" s="23"/>
      <c r="CF894" s="23"/>
      <c r="CG894" s="23"/>
      <c r="CH894" s="23"/>
      <c r="CI894" s="23"/>
      <c r="CJ894" s="23"/>
      <c r="CK894" s="23"/>
      <c r="CL894" s="23"/>
      <c r="CO894" s="30"/>
    </row>
    <row r="895" spans="27:93" ht="12.75" x14ac:dyDescent="0.2"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  <c r="AY895" s="23"/>
      <c r="AZ895" s="23"/>
      <c r="BA895" s="23"/>
      <c r="BB895" s="23"/>
      <c r="BC895" s="23"/>
      <c r="BD895" s="23"/>
      <c r="BE895" s="23"/>
      <c r="BF895" s="23"/>
      <c r="BG895" s="23"/>
      <c r="BH895" s="23"/>
      <c r="BI895" s="23"/>
      <c r="BJ895" s="23"/>
      <c r="BK895" s="23"/>
      <c r="BL895" s="23"/>
      <c r="BM895" s="23"/>
      <c r="BN895" s="23"/>
      <c r="BO895" s="23"/>
      <c r="BP895" s="23"/>
      <c r="BQ895" s="23"/>
      <c r="BR895" s="23"/>
      <c r="BS895" s="23"/>
      <c r="BT895" s="23"/>
      <c r="BU895" s="23"/>
      <c r="BV895" s="23"/>
      <c r="BW895" s="23"/>
      <c r="BX895" s="23"/>
      <c r="BY895" s="23"/>
      <c r="BZ895" s="23"/>
      <c r="CA895" s="23"/>
      <c r="CB895" s="23"/>
      <c r="CC895" s="23"/>
      <c r="CD895" s="23"/>
      <c r="CE895" s="23"/>
      <c r="CF895" s="23"/>
      <c r="CG895" s="23"/>
      <c r="CH895" s="23"/>
      <c r="CI895" s="23"/>
      <c r="CJ895" s="23"/>
      <c r="CK895" s="23"/>
      <c r="CL895" s="23"/>
      <c r="CO895" s="30"/>
    </row>
    <row r="896" spans="27:93" ht="12.75" x14ac:dyDescent="0.2"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  <c r="AY896" s="23"/>
      <c r="AZ896" s="23"/>
      <c r="BA896" s="23"/>
      <c r="BB896" s="23"/>
      <c r="BC896" s="23"/>
      <c r="BD896" s="23"/>
      <c r="BE896" s="23"/>
      <c r="BF896" s="23"/>
      <c r="BG896" s="23"/>
      <c r="BH896" s="23"/>
      <c r="BI896" s="23"/>
      <c r="BJ896" s="23"/>
      <c r="BK896" s="23"/>
      <c r="BL896" s="23"/>
      <c r="BM896" s="23"/>
      <c r="BN896" s="23"/>
      <c r="BO896" s="23"/>
      <c r="BP896" s="23"/>
      <c r="BQ896" s="23"/>
      <c r="BR896" s="23"/>
      <c r="BS896" s="23"/>
      <c r="BT896" s="23"/>
      <c r="BU896" s="23"/>
      <c r="BV896" s="23"/>
      <c r="BW896" s="23"/>
      <c r="BX896" s="23"/>
      <c r="BY896" s="23"/>
      <c r="BZ896" s="23"/>
      <c r="CA896" s="23"/>
      <c r="CB896" s="23"/>
      <c r="CC896" s="23"/>
      <c r="CD896" s="23"/>
      <c r="CE896" s="23"/>
      <c r="CF896" s="23"/>
      <c r="CG896" s="23"/>
      <c r="CH896" s="23"/>
      <c r="CI896" s="23"/>
      <c r="CJ896" s="23"/>
      <c r="CK896" s="23"/>
      <c r="CL896" s="23"/>
      <c r="CO896" s="30"/>
    </row>
    <row r="897" spans="27:93" ht="12.75" x14ac:dyDescent="0.2"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  <c r="BB897" s="23"/>
      <c r="BC897" s="23"/>
      <c r="BD897" s="23"/>
      <c r="BE897" s="23"/>
      <c r="BF897" s="23"/>
      <c r="BG897" s="23"/>
      <c r="BH897" s="23"/>
      <c r="BI897" s="23"/>
      <c r="BJ897" s="23"/>
      <c r="BK897" s="23"/>
      <c r="BL897" s="23"/>
      <c r="BM897" s="23"/>
      <c r="BN897" s="23"/>
      <c r="BO897" s="23"/>
      <c r="BP897" s="23"/>
      <c r="BQ897" s="23"/>
      <c r="BR897" s="23"/>
      <c r="BS897" s="23"/>
      <c r="BT897" s="23"/>
      <c r="BU897" s="23"/>
      <c r="BV897" s="23"/>
      <c r="BW897" s="23"/>
      <c r="BX897" s="23"/>
      <c r="BY897" s="23"/>
      <c r="BZ897" s="23"/>
      <c r="CA897" s="23"/>
      <c r="CB897" s="23"/>
      <c r="CC897" s="23"/>
      <c r="CD897" s="23"/>
      <c r="CE897" s="23"/>
      <c r="CF897" s="23"/>
      <c r="CG897" s="23"/>
      <c r="CH897" s="23"/>
      <c r="CI897" s="23"/>
      <c r="CJ897" s="23"/>
      <c r="CK897" s="23"/>
      <c r="CL897" s="23"/>
      <c r="CO897" s="30"/>
    </row>
    <row r="898" spans="27:93" ht="12.75" x14ac:dyDescent="0.2"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/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23"/>
      <c r="BM898" s="23"/>
      <c r="BN898" s="23"/>
      <c r="BO898" s="23"/>
      <c r="BP898" s="23"/>
      <c r="BQ898" s="23"/>
      <c r="BR898" s="23"/>
      <c r="BS898" s="23"/>
      <c r="BT898" s="23"/>
      <c r="BU898" s="23"/>
      <c r="BV898" s="23"/>
      <c r="BW898" s="23"/>
      <c r="BX898" s="23"/>
      <c r="BY898" s="23"/>
      <c r="BZ898" s="23"/>
      <c r="CA898" s="23"/>
      <c r="CB898" s="23"/>
      <c r="CC898" s="23"/>
      <c r="CD898" s="23"/>
      <c r="CE898" s="23"/>
      <c r="CF898" s="23"/>
      <c r="CG898" s="23"/>
      <c r="CH898" s="23"/>
      <c r="CI898" s="23"/>
      <c r="CJ898" s="23"/>
      <c r="CK898" s="23"/>
      <c r="CL898" s="23"/>
      <c r="CO898" s="30"/>
    </row>
    <row r="899" spans="27:93" ht="12.75" x14ac:dyDescent="0.2"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/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23"/>
      <c r="BM899" s="23"/>
      <c r="BN899" s="23"/>
      <c r="BO899" s="23"/>
      <c r="BP899" s="23"/>
      <c r="BQ899" s="23"/>
      <c r="BR899" s="23"/>
      <c r="BS899" s="23"/>
      <c r="BT899" s="23"/>
      <c r="BU899" s="23"/>
      <c r="BV899" s="23"/>
      <c r="BW899" s="23"/>
      <c r="BX899" s="23"/>
      <c r="BY899" s="23"/>
      <c r="BZ899" s="23"/>
      <c r="CA899" s="23"/>
      <c r="CB899" s="23"/>
      <c r="CC899" s="23"/>
      <c r="CD899" s="23"/>
      <c r="CE899" s="23"/>
      <c r="CF899" s="23"/>
      <c r="CG899" s="23"/>
      <c r="CH899" s="23"/>
      <c r="CI899" s="23"/>
      <c r="CJ899" s="23"/>
      <c r="CK899" s="23"/>
      <c r="CL899" s="23"/>
      <c r="CO899" s="30"/>
    </row>
    <row r="900" spans="27:93" ht="12.75" x14ac:dyDescent="0.2"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  <c r="BA900" s="23"/>
      <c r="BB900" s="23"/>
      <c r="BC900" s="23"/>
      <c r="BD900" s="23"/>
      <c r="BE900" s="23"/>
      <c r="BF900" s="23"/>
      <c r="BG900" s="23"/>
      <c r="BH900" s="23"/>
      <c r="BI900" s="23"/>
      <c r="BJ900" s="23"/>
      <c r="BK900" s="23"/>
      <c r="BL900" s="23"/>
      <c r="BM900" s="23"/>
      <c r="BN900" s="23"/>
      <c r="BO900" s="23"/>
      <c r="BP900" s="23"/>
      <c r="BQ900" s="23"/>
      <c r="BR900" s="23"/>
      <c r="BS900" s="23"/>
      <c r="BT900" s="23"/>
      <c r="BU900" s="23"/>
      <c r="BV900" s="23"/>
      <c r="BW900" s="23"/>
      <c r="BX900" s="23"/>
      <c r="BY900" s="23"/>
      <c r="BZ900" s="23"/>
      <c r="CA900" s="23"/>
      <c r="CB900" s="23"/>
      <c r="CC900" s="23"/>
      <c r="CD900" s="23"/>
      <c r="CE900" s="23"/>
      <c r="CF900" s="23"/>
      <c r="CG900" s="23"/>
      <c r="CH900" s="23"/>
      <c r="CI900" s="23"/>
      <c r="CJ900" s="23"/>
      <c r="CK900" s="23"/>
      <c r="CL900" s="23"/>
      <c r="CO900" s="30"/>
    </row>
    <row r="901" spans="27:93" ht="12.75" x14ac:dyDescent="0.2"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/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23"/>
      <c r="BM901" s="23"/>
      <c r="BN901" s="23"/>
      <c r="BO901" s="23"/>
      <c r="BP901" s="23"/>
      <c r="BQ901" s="23"/>
      <c r="BR901" s="23"/>
      <c r="BS901" s="23"/>
      <c r="BT901" s="23"/>
      <c r="BU901" s="23"/>
      <c r="BV901" s="23"/>
      <c r="BW901" s="23"/>
      <c r="BX901" s="23"/>
      <c r="BY901" s="23"/>
      <c r="BZ901" s="23"/>
      <c r="CA901" s="23"/>
      <c r="CB901" s="23"/>
      <c r="CC901" s="23"/>
      <c r="CD901" s="23"/>
      <c r="CE901" s="23"/>
      <c r="CF901" s="23"/>
      <c r="CG901" s="23"/>
      <c r="CH901" s="23"/>
      <c r="CI901" s="23"/>
      <c r="CJ901" s="23"/>
      <c r="CK901" s="23"/>
      <c r="CL901" s="23"/>
      <c r="CO901" s="30"/>
    </row>
    <row r="902" spans="27:93" ht="12.75" x14ac:dyDescent="0.2"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  <c r="AY902" s="23"/>
      <c r="AZ902" s="23"/>
      <c r="BA902" s="23"/>
      <c r="BB902" s="23"/>
      <c r="BC902" s="23"/>
      <c r="BD902" s="23"/>
      <c r="BE902" s="23"/>
      <c r="BF902" s="23"/>
      <c r="BG902" s="23"/>
      <c r="BH902" s="23"/>
      <c r="BI902" s="23"/>
      <c r="BJ902" s="23"/>
      <c r="BK902" s="23"/>
      <c r="BL902" s="23"/>
      <c r="BM902" s="23"/>
      <c r="BN902" s="23"/>
      <c r="BO902" s="23"/>
      <c r="BP902" s="23"/>
      <c r="BQ902" s="23"/>
      <c r="BR902" s="23"/>
      <c r="BS902" s="23"/>
      <c r="BT902" s="23"/>
      <c r="BU902" s="23"/>
      <c r="BV902" s="23"/>
      <c r="BW902" s="23"/>
      <c r="BX902" s="23"/>
      <c r="BY902" s="23"/>
      <c r="BZ902" s="23"/>
      <c r="CA902" s="23"/>
      <c r="CB902" s="23"/>
      <c r="CC902" s="23"/>
      <c r="CD902" s="23"/>
      <c r="CE902" s="23"/>
      <c r="CF902" s="23"/>
      <c r="CG902" s="23"/>
      <c r="CH902" s="23"/>
      <c r="CI902" s="23"/>
      <c r="CJ902" s="23"/>
      <c r="CK902" s="23"/>
      <c r="CL902" s="23"/>
      <c r="CO902" s="30"/>
    </row>
    <row r="903" spans="27:93" ht="12.75" x14ac:dyDescent="0.2"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  <c r="BB903" s="23"/>
      <c r="BC903" s="23"/>
      <c r="BD903" s="23"/>
      <c r="BE903" s="23"/>
      <c r="BF903" s="23"/>
      <c r="BG903" s="23"/>
      <c r="BH903" s="23"/>
      <c r="BI903" s="23"/>
      <c r="BJ903" s="23"/>
      <c r="BK903" s="23"/>
      <c r="BL903" s="23"/>
      <c r="BM903" s="23"/>
      <c r="BN903" s="23"/>
      <c r="BO903" s="23"/>
      <c r="BP903" s="23"/>
      <c r="BQ903" s="23"/>
      <c r="BR903" s="23"/>
      <c r="BS903" s="23"/>
      <c r="BT903" s="23"/>
      <c r="BU903" s="23"/>
      <c r="BV903" s="23"/>
      <c r="BW903" s="23"/>
      <c r="BX903" s="23"/>
      <c r="BY903" s="23"/>
      <c r="BZ903" s="23"/>
      <c r="CA903" s="23"/>
      <c r="CB903" s="23"/>
      <c r="CC903" s="23"/>
      <c r="CD903" s="23"/>
      <c r="CE903" s="23"/>
      <c r="CF903" s="23"/>
      <c r="CG903" s="23"/>
      <c r="CH903" s="23"/>
      <c r="CI903" s="23"/>
      <c r="CJ903" s="23"/>
      <c r="CK903" s="23"/>
      <c r="CL903" s="23"/>
      <c r="CO903" s="30"/>
    </row>
    <row r="904" spans="27:93" ht="12.75" x14ac:dyDescent="0.2"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/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/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3"/>
      <c r="CA904" s="23"/>
      <c r="CB904" s="23"/>
      <c r="CC904" s="23"/>
      <c r="CD904" s="23"/>
      <c r="CE904" s="23"/>
      <c r="CF904" s="23"/>
      <c r="CG904" s="23"/>
      <c r="CH904" s="23"/>
      <c r="CI904" s="23"/>
      <c r="CJ904" s="23"/>
      <c r="CK904" s="23"/>
      <c r="CL904" s="23"/>
      <c r="CO904" s="30"/>
    </row>
    <row r="905" spans="27:93" ht="12.75" x14ac:dyDescent="0.2"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/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3"/>
      <c r="CA905" s="23"/>
      <c r="CB905" s="23"/>
      <c r="CC905" s="23"/>
      <c r="CD905" s="23"/>
      <c r="CE905" s="23"/>
      <c r="CF905" s="23"/>
      <c r="CG905" s="23"/>
      <c r="CH905" s="23"/>
      <c r="CI905" s="23"/>
      <c r="CJ905" s="23"/>
      <c r="CK905" s="23"/>
      <c r="CL905" s="23"/>
      <c r="CO905" s="30"/>
    </row>
    <row r="906" spans="27:93" ht="12.75" x14ac:dyDescent="0.2"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  <c r="AY906" s="23"/>
      <c r="AZ906" s="23"/>
      <c r="BA906" s="23"/>
      <c r="BB906" s="23"/>
      <c r="BC906" s="23"/>
      <c r="BD906" s="23"/>
      <c r="BE906" s="23"/>
      <c r="BF906" s="23"/>
      <c r="BG906" s="23"/>
      <c r="BH906" s="23"/>
      <c r="BI906" s="23"/>
      <c r="BJ906" s="23"/>
      <c r="BK906" s="23"/>
      <c r="BL906" s="23"/>
      <c r="BM906" s="23"/>
      <c r="BN906" s="23"/>
      <c r="BO906" s="23"/>
      <c r="BP906" s="23"/>
      <c r="BQ906" s="23"/>
      <c r="BR906" s="23"/>
      <c r="BS906" s="23"/>
      <c r="BT906" s="23"/>
      <c r="BU906" s="23"/>
      <c r="BV906" s="23"/>
      <c r="BW906" s="23"/>
      <c r="BX906" s="23"/>
      <c r="BY906" s="23"/>
      <c r="BZ906" s="23"/>
      <c r="CA906" s="23"/>
      <c r="CB906" s="23"/>
      <c r="CC906" s="23"/>
      <c r="CD906" s="23"/>
      <c r="CE906" s="23"/>
      <c r="CF906" s="23"/>
      <c r="CG906" s="23"/>
      <c r="CH906" s="23"/>
      <c r="CI906" s="23"/>
      <c r="CJ906" s="23"/>
      <c r="CK906" s="23"/>
      <c r="CL906" s="23"/>
      <c r="CO906" s="30"/>
    </row>
    <row r="907" spans="27:93" ht="12.75" x14ac:dyDescent="0.2"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/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/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3"/>
      <c r="CA907" s="23"/>
      <c r="CB907" s="23"/>
      <c r="CC907" s="23"/>
      <c r="CD907" s="23"/>
      <c r="CE907" s="23"/>
      <c r="CF907" s="23"/>
      <c r="CG907" s="23"/>
      <c r="CH907" s="23"/>
      <c r="CI907" s="23"/>
      <c r="CJ907" s="23"/>
      <c r="CK907" s="23"/>
      <c r="CL907" s="23"/>
      <c r="CO907" s="30"/>
    </row>
    <row r="908" spans="27:93" ht="12.75" x14ac:dyDescent="0.2"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  <c r="AW908" s="23"/>
      <c r="AX908" s="23"/>
      <c r="AY908" s="23"/>
      <c r="AZ908" s="23"/>
      <c r="BA908" s="23"/>
      <c r="BB908" s="23"/>
      <c r="BC908" s="23"/>
      <c r="BD908" s="23"/>
      <c r="BE908" s="23"/>
      <c r="BF908" s="23"/>
      <c r="BG908" s="23"/>
      <c r="BH908" s="23"/>
      <c r="BI908" s="23"/>
      <c r="BJ908" s="23"/>
      <c r="BK908" s="23"/>
      <c r="BL908" s="23"/>
      <c r="BM908" s="23"/>
      <c r="BN908" s="23"/>
      <c r="BO908" s="23"/>
      <c r="BP908" s="23"/>
      <c r="BQ908" s="23"/>
      <c r="BR908" s="23"/>
      <c r="BS908" s="23"/>
      <c r="BT908" s="23"/>
      <c r="BU908" s="23"/>
      <c r="BV908" s="23"/>
      <c r="BW908" s="23"/>
      <c r="BX908" s="23"/>
      <c r="BY908" s="23"/>
      <c r="BZ908" s="23"/>
      <c r="CA908" s="23"/>
      <c r="CB908" s="23"/>
      <c r="CC908" s="23"/>
      <c r="CD908" s="23"/>
      <c r="CE908" s="23"/>
      <c r="CF908" s="23"/>
      <c r="CG908" s="23"/>
      <c r="CH908" s="23"/>
      <c r="CI908" s="23"/>
      <c r="CJ908" s="23"/>
      <c r="CK908" s="23"/>
      <c r="CL908" s="23"/>
      <c r="CO908" s="30"/>
    </row>
    <row r="909" spans="27:93" ht="12.75" x14ac:dyDescent="0.2"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  <c r="AY909" s="23"/>
      <c r="AZ909" s="23"/>
      <c r="BA909" s="23"/>
      <c r="BB909" s="23"/>
      <c r="BC909" s="23"/>
      <c r="BD909" s="23"/>
      <c r="BE909" s="23"/>
      <c r="BF909" s="23"/>
      <c r="BG909" s="23"/>
      <c r="BH909" s="23"/>
      <c r="BI909" s="23"/>
      <c r="BJ909" s="23"/>
      <c r="BK909" s="23"/>
      <c r="BL909" s="23"/>
      <c r="BM909" s="23"/>
      <c r="BN909" s="23"/>
      <c r="BO909" s="23"/>
      <c r="BP909" s="23"/>
      <c r="BQ909" s="23"/>
      <c r="BR909" s="23"/>
      <c r="BS909" s="23"/>
      <c r="BT909" s="23"/>
      <c r="BU909" s="23"/>
      <c r="BV909" s="23"/>
      <c r="BW909" s="23"/>
      <c r="BX909" s="23"/>
      <c r="BY909" s="23"/>
      <c r="BZ909" s="23"/>
      <c r="CA909" s="23"/>
      <c r="CB909" s="23"/>
      <c r="CC909" s="23"/>
      <c r="CD909" s="23"/>
      <c r="CE909" s="23"/>
      <c r="CF909" s="23"/>
      <c r="CG909" s="23"/>
      <c r="CH909" s="23"/>
      <c r="CI909" s="23"/>
      <c r="CJ909" s="23"/>
      <c r="CK909" s="23"/>
      <c r="CL909" s="23"/>
      <c r="CO909" s="30"/>
    </row>
    <row r="910" spans="27:93" ht="12.75" x14ac:dyDescent="0.2"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  <c r="AW910" s="23"/>
      <c r="AX910" s="23"/>
      <c r="AY910" s="23"/>
      <c r="AZ910" s="23"/>
      <c r="BA910" s="23"/>
      <c r="BB910" s="23"/>
      <c r="BC910" s="23"/>
      <c r="BD910" s="23"/>
      <c r="BE910" s="23"/>
      <c r="BF910" s="23"/>
      <c r="BG910" s="23"/>
      <c r="BH910" s="23"/>
      <c r="BI910" s="23"/>
      <c r="BJ910" s="23"/>
      <c r="BK910" s="23"/>
      <c r="BL910" s="23"/>
      <c r="BM910" s="23"/>
      <c r="BN910" s="23"/>
      <c r="BO910" s="23"/>
      <c r="BP910" s="23"/>
      <c r="BQ910" s="23"/>
      <c r="BR910" s="23"/>
      <c r="BS910" s="23"/>
      <c r="BT910" s="23"/>
      <c r="BU910" s="23"/>
      <c r="BV910" s="23"/>
      <c r="BW910" s="23"/>
      <c r="BX910" s="23"/>
      <c r="BY910" s="23"/>
      <c r="BZ910" s="23"/>
      <c r="CA910" s="23"/>
      <c r="CB910" s="23"/>
      <c r="CC910" s="23"/>
      <c r="CD910" s="23"/>
      <c r="CE910" s="23"/>
      <c r="CF910" s="23"/>
      <c r="CG910" s="23"/>
      <c r="CH910" s="23"/>
      <c r="CI910" s="23"/>
      <c r="CJ910" s="23"/>
      <c r="CK910" s="23"/>
      <c r="CL910" s="23"/>
      <c r="CO910" s="30"/>
    </row>
    <row r="911" spans="27:93" ht="12.75" x14ac:dyDescent="0.2"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  <c r="AY911" s="23"/>
      <c r="AZ911" s="23"/>
      <c r="BA911" s="23"/>
      <c r="BB911" s="23"/>
      <c r="BC911" s="23"/>
      <c r="BD911" s="23"/>
      <c r="BE911" s="23"/>
      <c r="BF911" s="23"/>
      <c r="BG911" s="23"/>
      <c r="BH911" s="23"/>
      <c r="BI911" s="23"/>
      <c r="BJ911" s="23"/>
      <c r="BK911" s="23"/>
      <c r="BL911" s="23"/>
      <c r="BM911" s="23"/>
      <c r="BN911" s="23"/>
      <c r="BO911" s="23"/>
      <c r="BP911" s="23"/>
      <c r="BQ911" s="23"/>
      <c r="BR911" s="23"/>
      <c r="BS911" s="23"/>
      <c r="BT911" s="23"/>
      <c r="BU911" s="23"/>
      <c r="BV911" s="23"/>
      <c r="BW911" s="23"/>
      <c r="BX911" s="23"/>
      <c r="BY911" s="23"/>
      <c r="BZ911" s="23"/>
      <c r="CA911" s="23"/>
      <c r="CB911" s="23"/>
      <c r="CC911" s="23"/>
      <c r="CD911" s="23"/>
      <c r="CE911" s="23"/>
      <c r="CF911" s="23"/>
      <c r="CG911" s="23"/>
      <c r="CH911" s="23"/>
      <c r="CI911" s="23"/>
      <c r="CJ911" s="23"/>
      <c r="CK911" s="23"/>
      <c r="CL911" s="23"/>
      <c r="CO911" s="30"/>
    </row>
    <row r="912" spans="27:93" ht="12.75" x14ac:dyDescent="0.2"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  <c r="AW912" s="23"/>
      <c r="AX912" s="23"/>
      <c r="AY912" s="23"/>
      <c r="AZ912" s="23"/>
      <c r="BA912" s="23"/>
      <c r="BB912" s="23"/>
      <c r="BC912" s="23"/>
      <c r="BD912" s="23"/>
      <c r="BE912" s="23"/>
      <c r="BF912" s="23"/>
      <c r="BG912" s="23"/>
      <c r="BH912" s="23"/>
      <c r="BI912" s="23"/>
      <c r="BJ912" s="23"/>
      <c r="BK912" s="23"/>
      <c r="BL912" s="23"/>
      <c r="BM912" s="23"/>
      <c r="BN912" s="23"/>
      <c r="BO912" s="23"/>
      <c r="BP912" s="23"/>
      <c r="BQ912" s="23"/>
      <c r="BR912" s="23"/>
      <c r="BS912" s="23"/>
      <c r="BT912" s="23"/>
      <c r="BU912" s="23"/>
      <c r="BV912" s="23"/>
      <c r="BW912" s="23"/>
      <c r="BX912" s="23"/>
      <c r="BY912" s="23"/>
      <c r="BZ912" s="23"/>
      <c r="CA912" s="23"/>
      <c r="CB912" s="23"/>
      <c r="CC912" s="23"/>
      <c r="CD912" s="23"/>
      <c r="CE912" s="23"/>
      <c r="CF912" s="23"/>
      <c r="CG912" s="23"/>
      <c r="CH912" s="23"/>
      <c r="CI912" s="23"/>
      <c r="CJ912" s="23"/>
      <c r="CK912" s="23"/>
      <c r="CL912" s="23"/>
      <c r="CO912" s="30"/>
    </row>
    <row r="913" spans="27:93" ht="12.75" x14ac:dyDescent="0.2"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  <c r="AY913" s="23"/>
      <c r="AZ913" s="23"/>
      <c r="BA913" s="23"/>
      <c r="BB913" s="23"/>
      <c r="BC913" s="23"/>
      <c r="BD913" s="23"/>
      <c r="BE913" s="23"/>
      <c r="BF913" s="23"/>
      <c r="BG913" s="23"/>
      <c r="BH913" s="23"/>
      <c r="BI913" s="23"/>
      <c r="BJ913" s="23"/>
      <c r="BK913" s="23"/>
      <c r="BL913" s="23"/>
      <c r="BM913" s="23"/>
      <c r="BN913" s="23"/>
      <c r="BO913" s="23"/>
      <c r="BP913" s="23"/>
      <c r="BQ913" s="23"/>
      <c r="BR913" s="23"/>
      <c r="BS913" s="23"/>
      <c r="BT913" s="23"/>
      <c r="BU913" s="23"/>
      <c r="BV913" s="23"/>
      <c r="BW913" s="23"/>
      <c r="BX913" s="23"/>
      <c r="BY913" s="23"/>
      <c r="BZ913" s="23"/>
      <c r="CA913" s="23"/>
      <c r="CB913" s="23"/>
      <c r="CC913" s="23"/>
      <c r="CD913" s="23"/>
      <c r="CE913" s="23"/>
      <c r="CF913" s="23"/>
      <c r="CG913" s="23"/>
      <c r="CH913" s="23"/>
      <c r="CI913" s="23"/>
      <c r="CJ913" s="23"/>
      <c r="CK913" s="23"/>
      <c r="CL913" s="23"/>
      <c r="CO913" s="30"/>
    </row>
    <row r="914" spans="27:93" ht="12.75" x14ac:dyDescent="0.2"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  <c r="AY914" s="23"/>
      <c r="AZ914" s="23"/>
      <c r="BA914" s="23"/>
      <c r="BB914" s="23"/>
      <c r="BC914" s="23"/>
      <c r="BD914" s="23"/>
      <c r="BE914" s="23"/>
      <c r="BF914" s="23"/>
      <c r="BG914" s="23"/>
      <c r="BH914" s="23"/>
      <c r="BI914" s="23"/>
      <c r="BJ914" s="23"/>
      <c r="BK914" s="23"/>
      <c r="BL914" s="23"/>
      <c r="BM914" s="23"/>
      <c r="BN914" s="23"/>
      <c r="BO914" s="23"/>
      <c r="BP914" s="23"/>
      <c r="BQ914" s="23"/>
      <c r="BR914" s="23"/>
      <c r="BS914" s="23"/>
      <c r="BT914" s="23"/>
      <c r="BU914" s="23"/>
      <c r="BV914" s="23"/>
      <c r="BW914" s="23"/>
      <c r="BX914" s="23"/>
      <c r="BY914" s="23"/>
      <c r="BZ914" s="23"/>
      <c r="CA914" s="23"/>
      <c r="CB914" s="23"/>
      <c r="CC914" s="23"/>
      <c r="CD914" s="23"/>
      <c r="CE914" s="23"/>
      <c r="CF914" s="23"/>
      <c r="CG914" s="23"/>
      <c r="CH914" s="23"/>
      <c r="CI914" s="23"/>
      <c r="CJ914" s="23"/>
      <c r="CK914" s="23"/>
      <c r="CL914" s="23"/>
      <c r="CO914" s="30"/>
    </row>
    <row r="915" spans="27:93" ht="12.75" x14ac:dyDescent="0.2"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  <c r="AY915" s="23"/>
      <c r="AZ915" s="23"/>
      <c r="BA915" s="23"/>
      <c r="BB915" s="23"/>
      <c r="BC915" s="23"/>
      <c r="BD915" s="23"/>
      <c r="BE915" s="23"/>
      <c r="BF915" s="23"/>
      <c r="BG915" s="23"/>
      <c r="BH915" s="23"/>
      <c r="BI915" s="23"/>
      <c r="BJ915" s="23"/>
      <c r="BK915" s="23"/>
      <c r="BL915" s="23"/>
      <c r="BM915" s="23"/>
      <c r="BN915" s="23"/>
      <c r="BO915" s="23"/>
      <c r="BP915" s="23"/>
      <c r="BQ915" s="23"/>
      <c r="BR915" s="23"/>
      <c r="BS915" s="23"/>
      <c r="BT915" s="23"/>
      <c r="BU915" s="23"/>
      <c r="BV915" s="23"/>
      <c r="BW915" s="23"/>
      <c r="BX915" s="23"/>
      <c r="BY915" s="23"/>
      <c r="BZ915" s="23"/>
      <c r="CA915" s="23"/>
      <c r="CB915" s="23"/>
      <c r="CC915" s="23"/>
      <c r="CD915" s="23"/>
      <c r="CE915" s="23"/>
      <c r="CF915" s="23"/>
      <c r="CG915" s="23"/>
      <c r="CH915" s="23"/>
      <c r="CI915" s="23"/>
      <c r="CJ915" s="23"/>
      <c r="CK915" s="23"/>
      <c r="CL915" s="23"/>
      <c r="CO915" s="30"/>
    </row>
    <row r="916" spans="27:93" ht="12.75" x14ac:dyDescent="0.2"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  <c r="AW916" s="23"/>
      <c r="AX916" s="23"/>
      <c r="AY916" s="23"/>
      <c r="AZ916" s="23"/>
      <c r="BA916" s="23"/>
      <c r="BB916" s="23"/>
      <c r="BC916" s="23"/>
      <c r="BD916" s="23"/>
      <c r="BE916" s="23"/>
      <c r="BF916" s="23"/>
      <c r="BG916" s="23"/>
      <c r="BH916" s="23"/>
      <c r="BI916" s="23"/>
      <c r="BJ916" s="23"/>
      <c r="BK916" s="23"/>
      <c r="BL916" s="23"/>
      <c r="BM916" s="23"/>
      <c r="BN916" s="23"/>
      <c r="BO916" s="23"/>
      <c r="BP916" s="23"/>
      <c r="BQ916" s="23"/>
      <c r="BR916" s="23"/>
      <c r="BS916" s="23"/>
      <c r="BT916" s="23"/>
      <c r="BU916" s="23"/>
      <c r="BV916" s="23"/>
      <c r="BW916" s="23"/>
      <c r="BX916" s="23"/>
      <c r="BY916" s="23"/>
      <c r="BZ916" s="23"/>
      <c r="CA916" s="23"/>
      <c r="CB916" s="23"/>
      <c r="CC916" s="23"/>
      <c r="CD916" s="23"/>
      <c r="CE916" s="23"/>
      <c r="CF916" s="23"/>
      <c r="CG916" s="23"/>
      <c r="CH916" s="23"/>
      <c r="CI916" s="23"/>
      <c r="CJ916" s="23"/>
      <c r="CK916" s="23"/>
      <c r="CL916" s="23"/>
      <c r="CO916" s="30"/>
    </row>
    <row r="917" spans="27:93" ht="12.75" x14ac:dyDescent="0.2"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  <c r="AY917" s="23"/>
      <c r="AZ917" s="23"/>
      <c r="BA917" s="23"/>
      <c r="BB917" s="23"/>
      <c r="BC917" s="23"/>
      <c r="BD917" s="23"/>
      <c r="BE917" s="23"/>
      <c r="BF917" s="23"/>
      <c r="BG917" s="23"/>
      <c r="BH917" s="23"/>
      <c r="BI917" s="23"/>
      <c r="BJ917" s="23"/>
      <c r="BK917" s="23"/>
      <c r="BL917" s="23"/>
      <c r="BM917" s="23"/>
      <c r="BN917" s="23"/>
      <c r="BO917" s="23"/>
      <c r="BP917" s="23"/>
      <c r="BQ917" s="23"/>
      <c r="BR917" s="23"/>
      <c r="BS917" s="23"/>
      <c r="BT917" s="23"/>
      <c r="BU917" s="23"/>
      <c r="BV917" s="23"/>
      <c r="BW917" s="23"/>
      <c r="BX917" s="23"/>
      <c r="BY917" s="23"/>
      <c r="BZ917" s="23"/>
      <c r="CA917" s="23"/>
      <c r="CB917" s="23"/>
      <c r="CC917" s="23"/>
      <c r="CD917" s="23"/>
      <c r="CE917" s="23"/>
      <c r="CF917" s="23"/>
      <c r="CG917" s="23"/>
      <c r="CH917" s="23"/>
      <c r="CI917" s="23"/>
      <c r="CJ917" s="23"/>
      <c r="CK917" s="23"/>
      <c r="CL917" s="23"/>
      <c r="CO917" s="30"/>
    </row>
    <row r="918" spans="27:93" ht="12.75" x14ac:dyDescent="0.2"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  <c r="AW918" s="23"/>
      <c r="AX918" s="23"/>
      <c r="AY918" s="23"/>
      <c r="AZ918" s="23"/>
      <c r="BA918" s="23"/>
      <c r="BB918" s="23"/>
      <c r="BC918" s="23"/>
      <c r="BD918" s="23"/>
      <c r="BE918" s="23"/>
      <c r="BF918" s="23"/>
      <c r="BG918" s="23"/>
      <c r="BH918" s="23"/>
      <c r="BI918" s="23"/>
      <c r="BJ918" s="23"/>
      <c r="BK918" s="23"/>
      <c r="BL918" s="23"/>
      <c r="BM918" s="23"/>
      <c r="BN918" s="23"/>
      <c r="BO918" s="23"/>
      <c r="BP918" s="23"/>
      <c r="BQ918" s="23"/>
      <c r="BR918" s="23"/>
      <c r="BS918" s="23"/>
      <c r="BT918" s="23"/>
      <c r="BU918" s="23"/>
      <c r="BV918" s="23"/>
      <c r="BW918" s="23"/>
      <c r="BX918" s="23"/>
      <c r="BY918" s="23"/>
      <c r="BZ918" s="23"/>
      <c r="CA918" s="23"/>
      <c r="CB918" s="23"/>
      <c r="CC918" s="23"/>
      <c r="CD918" s="23"/>
      <c r="CE918" s="23"/>
      <c r="CF918" s="23"/>
      <c r="CG918" s="23"/>
      <c r="CH918" s="23"/>
      <c r="CI918" s="23"/>
      <c r="CJ918" s="23"/>
      <c r="CK918" s="23"/>
      <c r="CL918" s="23"/>
      <c r="CO918" s="30"/>
    </row>
    <row r="919" spans="27:93" ht="12.75" x14ac:dyDescent="0.2"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  <c r="AY919" s="23"/>
      <c r="AZ919" s="23"/>
      <c r="BA919" s="23"/>
      <c r="BB919" s="23"/>
      <c r="BC919" s="23"/>
      <c r="BD919" s="23"/>
      <c r="BE919" s="23"/>
      <c r="BF919" s="23"/>
      <c r="BG919" s="23"/>
      <c r="BH919" s="23"/>
      <c r="BI919" s="23"/>
      <c r="BJ919" s="23"/>
      <c r="BK919" s="23"/>
      <c r="BL919" s="23"/>
      <c r="BM919" s="23"/>
      <c r="BN919" s="23"/>
      <c r="BO919" s="23"/>
      <c r="BP919" s="23"/>
      <c r="BQ919" s="23"/>
      <c r="BR919" s="23"/>
      <c r="BS919" s="23"/>
      <c r="BT919" s="23"/>
      <c r="BU919" s="23"/>
      <c r="BV919" s="23"/>
      <c r="BW919" s="23"/>
      <c r="BX919" s="23"/>
      <c r="BY919" s="23"/>
      <c r="BZ919" s="23"/>
      <c r="CA919" s="23"/>
      <c r="CB919" s="23"/>
      <c r="CC919" s="23"/>
      <c r="CD919" s="23"/>
      <c r="CE919" s="23"/>
      <c r="CF919" s="23"/>
      <c r="CG919" s="23"/>
      <c r="CH919" s="23"/>
      <c r="CI919" s="23"/>
      <c r="CJ919" s="23"/>
      <c r="CK919" s="23"/>
      <c r="CL919" s="23"/>
      <c r="CO919" s="30"/>
    </row>
    <row r="920" spans="27:93" ht="12.75" x14ac:dyDescent="0.2"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  <c r="AW920" s="23"/>
      <c r="AX920" s="23"/>
      <c r="AY920" s="23"/>
      <c r="AZ920" s="23"/>
      <c r="BA920" s="23"/>
      <c r="BB920" s="23"/>
      <c r="BC920" s="23"/>
      <c r="BD920" s="23"/>
      <c r="BE920" s="23"/>
      <c r="BF920" s="23"/>
      <c r="BG920" s="23"/>
      <c r="BH920" s="23"/>
      <c r="BI920" s="23"/>
      <c r="BJ920" s="23"/>
      <c r="BK920" s="23"/>
      <c r="BL920" s="23"/>
      <c r="BM920" s="23"/>
      <c r="BN920" s="23"/>
      <c r="BO920" s="23"/>
      <c r="BP920" s="23"/>
      <c r="BQ920" s="23"/>
      <c r="BR920" s="23"/>
      <c r="BS920" s="23"/>
      <c r="BT920" s="23"/>
      <c r="BU920" s="23"/>
      <c r="BV920" s="23"/>
      <c r="BW920" s="23"/>
      <c r="BX920" s="23"/>
      <c r="BY920" s="23"/>
      <c r="BZ920" s="23"/>
      <c r="CA920" s="23"/>
      <c r="CB920" s="23"/>
      <c r="CC920" s="23"/>
      <c r="CD920" s="23"/>
      <c r="CE920" s="23"/>
      <c r="CF920" s="23"/>
      <c r="CG920" s="23"/>
      <c r="CH920" s="23"/>
      <c r="CI920" s="23"/>
      <c r="CJ920" s="23"/>
      <c r="CK920" s="23"/>
      <c r="CL920" s="23"/>
      <c r="CO920" s="30"/>
    </row>
    <row r="921" spans="27:93" ht="12.75" x14ac:dyDescent="0.2"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  <c r="AY921" s="23"/>
      <c r="AZ921" s="23"/>
      <c r="BA921" s="23"/>
      <c r="BB921" s="23"/>
      <c r="BC921" s="23"/>
      <c r="BD921" s="23"/>
      <c r="BE921" s="23"/>
      <c r="BF921" s="23"/>
      <c r="BG921" s="23"/>
      <c r="BH921" s="23"/>
      <c r="BI921" s="23"/>
      <c r="BJ921" s="23"/>
      <c r="BK921" s="23"/>
      <c r="BL921" s="23"/>
      <c r="BM921" s="23"/>
      <c r="BN921" s="23"/>
      <c r="BO921" s="23"/>
      <c r="BP921" s="23"/>
      <c r="BQ921" s="23"/>
      <c r="BR921" s="23"/>
      <c r="BS921" s="23"/>
      <c r="BT921" s="23"/>
      <c r="BU921" s="23"/>
      <c r="BV921" s="23"/>
      <c r="BW921" s="23"/>
      <c r="BX921" s="23"/>
      <c r="BY921" s="23"/>
      <c r="BZ921" s="23"/>
      <c r="CA921" s="23"/>
      <c r="CB921" s="23"/>
      <c r="CC921" s="23"/>
      <c r="CD921" s="23"/>
      <c r="CE921" s="23"/>
      <c r="CF921" s="23"/>
      <c r="CG921" s="23"/>
      <c r="CH921" s="23"/>
      <c r="CI921" s="23"/>
      <c r="CJ921" s="23"/>
      <c r="CK921" s="23"/>
      <c r="CL921" s="23"/>
      <c r="CO921" s="30"/>
    </row>
    <row r="922" spans="27:93" ht="12.75" x14ac:dyDescent="0.2"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  <c r="AY922" s="23"/>
      <c r="AZ922" s="23"/>
      <c r="BA922" s="23"/>
      <c r="BB922" s="23"/>
      <c r="BC922" s="23"/>
      <c r="BD922" s="23"/>
      <c r="BE922" s="23"/>
      <c r="BF922" s="23"/>
      <c r="BG922" s="23"/>
      <c r="BH922" s="23"/>
      <c r="BI922" s="23"/>
      <c r="BJ922" s="23"/>
      <c r="BK922" s="23"/>
      <c r="BL922" s="23"/>
      <c r="BM922" s="23"/>
      <c r="BN922" s="23"/>
      <c r="BO922" s="23"/>
      <c r="BP922" s="23"/>
      <c r="BQ922" s="23"/>
      <c r="BR922" s="23"/>
      <c r="BS922" s="23"/>
      <c r="BT922" s="23"/>
      <c r="BU922" s="23"/>
      <c r="BV922" s="23"/>
      <c r="BW922" s="23"/>
      <c r="BX922" s="23"/>
      <c r="BY922" s="23"/>
      <c r="BZ922" s="23"/>
      <c r="CA922" s="23"/>
      <c r="CB922" s="23"/>
      <c r="CC922" s="23"/>
      <c r="CD922" s="23"/>
      <c r="CE922" s="23"/>
      <c r="CF922" s="23"/>
      <c r="CG922" s="23"/>
      <c r="CH922" s="23"/>
      <c r="CI922" s="23"/>
      <c r="CJ922" s="23"/>
      <c r="CK922" s="23"/>
      <c r="CL922" s="23"/>
      <c r="CO922" s="30"/>
    </row>
    <row r="923" spans="27:93" ht="12.75" x14ac:dyDescent="0.2"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  <c r="BB923" s="23"/>
      <c r="BC923" s="23"/>
      <c r="BD923" s="23"/>
      <c r="BE923" s="23"/>
      <c r="BF923" s="23"/>
      <c r="BG923" s="23"/>
      <c r="BH923" s="23"/>
      <c r="BI923" s="23"/>
      <c r="BJ923" s="23"/>
      <c r="BK923" s="23"/>
      <c r="BL923" s="23"/>
      <c r="BM923" s="23"/>
      <c r="BN923" s="23"/>
      <c r="BO923" s="23"/>
      <c r="BP923" s="23"/>
      <c r="BQ923" s="23"/>
      <c r="BR923" s="23"/>
      <c r="BS923" s="23"/>
      <c r="BT923" s="23"/>
      <c r="BU923" s="23"/>
      <c r="BV923" s="23"/>
      <c r="BW923" s="23"/>
      <c r="BX923" s="23"/>
      <c r="BY923" s="23"/>
      <c r="BZ923" s="23"/>
      <c r="CA923" s="23"/>
      <c r="CB923" s="23"/>
      <c r="CC923" s="23"/>
      <c r="CD923" s="23"/>
      <c r="CE923" s="23"/>
      <c r="CF923" s="23"/>
      <c r="CG923" s="23"/>
      <c r="CH923" s="23"/>
      <c r="CI923" s="23"/>
      <c r="CJ923" s="23"/>
      <c r="CK923" s="23"/>
      <c r="CL923" s="23"/>
      <c r="CO923" s="30"/>
    </row>
    <row r="924" spans="27:93" ht="12.75" x14ac:dyDescent="0.2"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  <c r="AY924" s="23"/>
      <c r="AZ924" s="23"/>
      <c r="BA924" s="23"/>
      <c r="BB924" s="23"/>
      <c r="BC924" s="23"/>
      <c r="BD924" s="23"/>
      <c r="BE924" s="23"/>
      <c r="BF924" s="23"/>
      <c r="BG924" s="23"/>
      <c r="BH924" s="23"/>
      <c r="BI924" s="23"/>
      <c r="BJ924" s="23"/>
      <c r="BK924" s="23"/>
      <c r="BL924" s="23"/>
      <c r="BM924" s="23"/>
      <c r="BN924" s="23"/>
      <c r="BO924" s="23"/>
      <c r="BP924" s="23"/>
      <c r="BQ924" s="23"/>
      <c r="BR924" s="23"/>
      <c r="BS924" s="23"/>
      <c r="BT924" s="23"/>
      <c r="BU924" s="23"/>
      <c r="BV924" s="23"/>
      <c r="BW924" s="23"/>
      <c r="BX924" s="23"/>
      <c r="BY924" s="23"/>
      <c r="BZ924" s="23"/>
      <c r="CA924" s="23"/>
      <c r="CB924" s="23"/>
      <c r="CC924" s="23"/>
      <c r="CD924" s="23"/>
      <c r="CE924" s="23"/>
      <c r="CF924" s="23"/>
      <c r="CG924" s="23"/>
      <c r="CH924" s="23"/>
      <c r="CI924" s="23"/>
      <c r="CJ924" s="23"/>
      <c r="CK924" s="23"/>
      <c r="CL924" s="23"/>
      <c r="CO924" s="30"/>
    </row>
    <row r="925" spans="27:93" ht="12.75" x14ac:dyDescent="0.2"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  <c r="AY925" s="23"/>
      <c r="AZ925" s="23"/>
      <c r="BA925" s="23"/>
      <c r="BB925" s="23"/>
      <c r="BC925" s="23"/>
      <c r="BD925" s="23"/>
      <c r="BE925" s="23"/>
      <c r="BF925" s="23"/>
      <c r="BG925" s="23"/>
      <c r="BH925" s="23"/>
      <c r="BI925" s="23"/>
      <c r="BJ925" s="23"/>
      <c r="BK925" s="23"/>
      <c r="BL925" s="23"/>
      <c r="BM925" s="23"/>
      <c r="BN925" s="23"/>
      <c r="BO925" s="23"/>
      <c r="BP925" s="23"/>
      <c r="BQ925" s="23"/>
      <c r="BR925" s="23"/>
      <c r="BS925" s="23"/>
      <c r="BT925" s="23"/>
      <c r="BU925" s="23"/>
      <c r="BV925" s="23"/>
      <c r="BW925" s="23"/>
      <c r="BX925" s="23"/>
      <c r="BY925" s="23"/>
      <c r="BZ925" s="23"/>
      <c r="CA925" s="23"/>
      <c r="CB925" s="23"/>
      <c r="CC925" s="23"/>
      <c r="CD925" s="23"/>
      <c r="CE925" s="23"/>
      <c r="CF925" s="23"/>
      <c r="CG925" s="23"/>
      <c r="CH925" s="23"/>
      <c r="CI925" s="23"/>
      <c r="CJ925" s="23"/>
      <c r="CK925" s="23"/>
      <c r="CL925" s="23"/>
      <c r="CO925" s="30"/>
    </row>
    <row r="926" spans="27:93" ht="12.75" x14ac:dyDescent="0.2"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  <c r="AW926" s="23"/>
      <c r="AX926" s="23"/>
      <c r="AY926" s="23"/>
      <c r="AZ926" s="23"/>
      <c r="BA926" s="23"/>
      <c r="BB926" s="23"/>
      <c r="BC926" s="23"/>
      <c r="BD926" s="23"/>
      <c r="BE926" s="23"/>
      <c r="BF926" s="23"/>
      <c r="BG926" s="23"/>
      <c r="BH926" s="23"/>
      <c r="BI926" s="23"/>
      <c r="BJ926" s="23"/>
      <c r="BK926" s="23"/>
      <c r="BL926" s="23"/>
      <c r="BM926" s="23"/>
      <c r="BN926" s="23"/>
      <c r="BO926" s="23"/>
      <c r="BP926" s="23"/>
      <c r="BQ926" s="23"/>
      <c r="BR926" s="23"/>
      <c r="BS926" s="23"/>
      <c r="BT926" s="23"/>
      <c r="BU926" s="23"/>
      <c r="BV926" s="23"/>
      <c r="BW926" s="23"/>
      <c r="BX926" s="23"/>
      <c r="BY926" s="23"/>
      <c r="BZ926" s="23"/>
      <c r="CA926" s="23"/>
      <c r="CB926" s="23"/>
      <c r="CC926" s="23"/>
      <c r="CD926" s="23"/>
      <c r="CE926" s="23"/>
      <c r="CF926" s="23"/>
      <c r="CG926" s="23"/>
      <c r="CH926" s="23"/>
      <c r="CI926" s="23"/>
      <c r="CJ926" s="23"/>
      <c r="CK926" s="23"/>
      <c r="CL926" s="23"/>
      <c r="CO926" s="30"/>
    </row>
    <row r="927" spans="27:93" ht="12.75" x14ac:dyDescent="0.2"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  <c r="AY927" s="23"/>
      <c r="AZ927" s="23"/>
      <c r="BA927" s="23"/>
      <c r="BB927" s="23"/>
      <c r="BC927" s="23"/>
      <c r="BD927" s="23"/>
      <c r="BE927" s="23"/>
      <c r="BF927" s="23"/>
      <c r="BG927" s="23"/>
      <c r="BH927" s="23"/>
      <c r="BI927" s="23"/>
      <c r="BJ927" s="23"/>
      <c r="BK927" s="23"/>
      <c r="BL927" s="23"/>
      <c r="BM927" s="23"/>
      <c r="BN927" s="23"/>
      <c r="BO927" s="23"/>
      <c r="BP927" s="23"/>
      <c r="BQ927" s="23"/>
      <c r="BR927" s="23"/>
      <c r="BS927" s="23"/>
      <c r="BT927" s="23"/>
      <c r="BU927" s="23"/>
      <c r="BV927" s="23"/>
      <c r="BW927" s="23"/>
      <c r="BX927" s="23"/>
      <c r="BY927" s="23"/>
      <c r="BZ927" s="23"/>
      <c r="CA927" s="23"/>
      <c r="CB927" s="23"/>
      <c r="CC927" s="23"/>
      <c r="CD927" s="23"/>
      <c r="CE927" s="23"/>
      <c r="CF927" s="23"/>
      <c r="CG927" s="23"/>
      <c r="CH927" s="23"/>
      <c r="CI927" s="23"/>
      <c r="CJ927" s="23"/>
      <c r="CK927" s="23"/>
      <c r="CL927" s="23"/>
      <c r="CO927" s="30"/>
    </row>
    <row r="928" spans="27:93" ht="12.75" x14ac:dyDescent="0.2"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  <c r="AW928" s="23"/>
      <c r="AX928" s="23"/>
      <c r="AY928" s="23"/>
      <c r="AZ928" s="23"/>
      <c r="BA928" s="23"/>
      <c r="BB928" s="23"/>
      <c r="BC928" s="23"/>
      <c r="BD928" s="23"/>
      <c r="BE928" s="23"/>
      <c r="BF928" s="23"/>
      <c r="BG928" s="23"/>
      <c r="BH928" s="23"/>
      <c r="BI928" s="23"/>
      <c r="BJ928" s="23"/>
      <c r="BK928" s="23"/>
      <c r="BL928" s="23"/>
      <c r="BM928" s="23"/>
      <c r="BN928" s="23"/>
      <c r="BO928" s="23"/>
      <c r="BP928" s="23"/>
      <c r="BQ928" s="23"/>
      <c r="BR928" s="23"/>
      <c r="BS928" s="23"/>
      <c r="BT928" s="23"/>
      <c r="BU928" s="23"/>
      <c r="BV928" s="23"/>
      <c r="BW928" s="23"/>
      <c r="BX928" s="23"/>
      <c r="BY928" s="23"/>
      <c r="BZ928" s="23"/>
      <c r="CA928" s="23"/>
      <c r="CB928" s="23"/>
      <c r="CC928" s="23"/>
      <c r="CD928" s="23"/>
      <c r="CE928" s="23"/>
      <c r="CF928" s="23"/>
      <c r="CG928" s="23"/>
      <c r="CH928" s="23"/>
      <c r="CI928" s="23"/>
      <c r="CJ928" s="23"/>
      <c r="CK928" s="23"/>
      <c r="CL928" s="23"/>
      <c r="CO928" s="30"/>
    </row>
    <row r="929" spans="27:93" ht="12.75" x14ac:dyDescent="0.2"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  <c r="AY929" s="23"/>
      <c r="AZ929" s="23"/>
      <c r="BA929" s="23"/>
      <c r="BB929" s="23"/>
      <c r="BC929" s="23"/>
      <c r="BD929" s="23"/>
      <c r="BE929" s="23"/>
      <c r="BF929" s="23"/>
      <c r="BG929" s="23"/>
      <c r="BH929" s="23"/>
      <c r="BI929" s="23"/>
      <c r="BJ929" s="23"/>
      <c r="BK929" s="23"/>
      <c r="BL929" s="23"/>
      <c r="BM929" s="23"/>
      <c r="BN929" s="23"/>
      <c r="BO929" s="23"/>
      <c r="BP929" s="23"/>
      <c r="BQ929" s="23"/>
      <c r="BR929" s="23"/>
      <c r="BS929" s="23"/>
      <c r="BT929" s="23"/>
      <c r="BU929" s="23"/>
      <c r="BV929" s="23"/>
      <c r="BW929" s="23"/>
      <c r="BX929" s="23"/>
      <c r="BY929" s="23"/>
      <c r="BZ929" s="23"/>
      <c r="CA929" s="23"/>
      <c r="CB929" s="23"/>
      <c r="CC929" s="23"/>
      <c r="CD929" s="23"/>
      <c r="CE929" s="23"/>
      <c r="CF929" s="23"/>
      <c r="CG929" s="23"/>
      <c r="CH929" s="23"/>
      <c r="CI929" s="23"/>
      <c r="CJ929" s="23"/>
      <c r="CK929" s="23"/>
      <c r="CL929" s="23"/>
      <c r="CO929" s="30"/>
    </row>
    <row r="930" spans="27:93" ht="12.75" x14ac:dyDescent="0.2"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  <c r="AY930" s="23"/>
      <c r="AZ930" s="23"/>
      <c r="BA930" s="23"/>
      <c r="BB930" s="23"/>
      <c r="BC930" s="23"/>
      <c r="BD930" s="23"/>
      <c r="BE930" s="23"/>
      <c r="BF930" s="23"/>
      <c r="BG930" s="23"/>
      <c r="BH930" s="23"/>
      <c r="BI930" s="23"/>
      <c r="BJ930" s="23"/>
      <c r="BK930" s="23"/>
      <c r="BL930" s="23"/>
      <c r="BM930" s="23"/>
      <c r="BN930" s="23"/>
      <c r="BO930" s="23"/>
      <c r="BP930" s="23"/>
      <c r="BQ930" s="23"/>
      <c r="BR930" s="23"/>
      <c r="BS930" s="23"/>
      <c r="BT930" s="23"/>
      <c r="BU930" s="23"/>
      <c r="BV930" s="23"/>
      <c r="BW930" s="23"/>
      <c r="BX930" s="23"/>
      <c r="BY930" s="23"/>
      <c r="BZ930" s="23"/>
      <c r="CA930" s="23"/>
      <c r="CB930" s="23"/>
      <c r="CC930" s="23"/>
      <c r="CD930" s="23"/>
      <c r="CE930" s="23"/>
      <c r="CF930" s="23"/>
      <c r="CG930" s="23"/>
      <c r="CH930" s="23"/>
      <c r="CI930" s="23"/>
      <c r="CJ930" s="23"/>
      <c r="CK930" s="23"/>
      <c r="CL930" s="23"/>
      <c r="CO930" s="30"/>
    </row>
    <row r="931" spans="27:93" ht="12.75" x14ac:dyDescent="0.2"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  <c r="AY931" s="23"/>
      <c r="AZ931" s="23"/>
      <c r="BA931" s="23"/>
      <c r="BB931" s="23"/>
      <c r="BC931" s="23"/>
      <c r="BD931" s="23"/>
      <c r="BE931" s="23"/>
      <c r="BF931" s="23"/>
      <c r="BG931" s="23"/>
      <c r="BH931" s="23"/>
      <c r="BI931" s="23"/>
      <c r="BJ931" s="23"/>
      <c r="BK931" s="23"/>
      <c r="BL931" s="23"/>
      <c r="BM931" s="23"/>
      <c r="BN931" s="23"/>
      <c r="BO931" s="23"/>
      <c r="BP931" s="23"/>
      <c r="BQ931" s="23"/>
      <c r="BR931" s="23"/>
      <c r="BS931" s="23"/>
      <c r="BT931" s="23"/>
      <c r="BU931" s="23"/>
      <c r="BV931" s="23"/>
      <c r="BW931" s="23"/>
      <c r="BX931" s="23"/>
      <c r="BY931" s="23"/>
      <c r="BZ931" s="23"/>
      <c r="CA931" s="23"/>
      <c r="CB931" s="23"/>
      <c r="CC931" s="23"/>
      <c r="CD931" s="23"/>
      <c r="CE931" s="23"/>
      <c r="CF931" s="23"/>
      <c r="CG931" s="23"/>
      <c r="CH931" s="23"/>
      <c r="CI931" s="23"/>
      <c r="CJ931" s="23"/>
      <c r="CK931" s="23"/>
      <c r="CL931" s="23"/>
      <c r="CO931" s="30"/>
    </row>
    <row r="932" spans="27:93" ht="12.75" x14ac:dyDescent="0.2"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  <c r="AW932" s="23"/>
      <c r="AX932" s="23"/>
      <c r="AY932" s="23"/>
      <c r="AZ932" s="23"/>
      <c r="BA932" s="23"/>
      <c r="BB932" s="23"/>
      <c r="BC932" s="23"/>
      <c r="BD932" s="23"/>
      <c r="BE932" s="23"/>
      <c r="BF932" s="23"/>
      <c r="BG932" s="23"/>
      <c r="BH932" s="23"/>
      <c r="BI932" s="23"/>
      <c r="BJ932" s="23"/>
      <c r="BK932" s="23"/>
      <c r="BL932" s="23"/>
      <c r="BM932" s="23"/>
      <c r="BN932" s="23"/>
      <c r="BO932" s="23"/>
      <c r="BP932" s="23"/>
      <c r="BQ932" s="23"/>
      <c r="BR932" s="23"/>
      <c r="BS932" s="23"/>
      <c r="BT932" s="23"/>
      <c r="BU932" s="23"/>
      <c r="BV932" s="23"/>
      <c r="BW932" s="23"/>
      <c r="BX932" s="23"/>
      <c r="BY932" s="23"/>
      <c r="BZ932" s="23"/>
      <c r="CA932" s="23"/>
      <c r="CB932" s="23"/>
      <c r="CC932" s="23"/>
      <c r="CD932" s="23"/>
      <c r="CE932" s="23"/>
      <c r="CF932" s="23"/>
      <c r="CG932" s="23"/>
      <c r="CH932" s="23"/>
      <c r="CI932" s="23"/>
      <c r="CJ932" s="23"/>
      <c r="CK932" s="23"/>
      <c r="CL932" s="23"/>
      <c r="CO932" s="30"/>
    </row>
    <row r="933" spans="27:93" ht="12.75" x14ac:dyDescent="0.2"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  <c r="AY933" s="23"/>
      <c r="AZ933" s="23"/>
      <c r="BA933" s="23"/>
      <c r="BB933" s="23"/>
      <c r="BC933" s="23"/>
      <c r="BD933" s="23"/>
      <c r="BE933" s="23"/>
      <c r="BF933" s="23"/>
      <c r="BG933" s="23"/>
      <c r="BH933" s="23"/>
      <c r="BI933" s="23"/>
      <c r="BJ933" s="23"/>
      <c r="BK933" s="23"/>
      <c r="BL933" s="23"/>
      <c r="BM933" s="23"/>
      <c r="BN933" s="23"/>
      <c r="BO933" s="23"/>
      <c r="BP933" s="23"/>
      <c r="BQ933" s="23"/>
      <c r="BR933" s="23"/>
      <c r="BS933" s="23"/>
      <c r="BT933" s="23"/>
      <c r="BU933" s="23"/>
      <c r="BV933" s="23"/>
      <c r="BW933" s="23"/>
      <c r="BX933" s="23"/>
      <c r="BY933" s="23"/>
      <c r="BZ933" s="23"/>
      <c r="CA933" s="23"/>
      <c r="CB933" s="23"/>
      <c r="CC933" s="23"/>
      <c r="CD933" s="23"/>
      <c r="CE933" s="23"/>
      <c r="CF933" s="23"/>
      <c r="CG933" s="23"/>
      <c r="CH933" s="23"/>
      <c r="CI933" s="23"/>
      <c r="CJ933" s="23"/>
      <c r="CK933" s="23"/>
      <c r="CL933" s="23"/>
      <c r="CO933" s="30"/>
    </row>
    <row r="934" spans="27:93" ht="12.75" x14ac:dyDescent="0.2"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  <c r="AY934" s="23"/>
      <c r="AZ934" s="23"/>
      <c r="BA934" s="23"/>
      <c r="BB934" s="23"/>
      <c r="BC934" s="23"/>
      <c r="BD934" s="23"/>
      <c r="BE934" s="23"/>
      <c r="BF934" s="23"/>
      <c r="BG934" s="23"/>
      <c r="BH934" s="23"/>
      <c r="BI934" s="23"/>
      <c r="BJ934" s="23"/>
      <c r="BK934" s="23"/>
      <c r="BL934" s="23"/>
      <c r="BM934" s="23"/>
      <c r="BN934" s="23"/>
      <c r="BO934" s="23"/>
      <c r="BP934" s="23"/>
      <c r="BQ934" s="23"/>
      <c r="BR934" s="23"/>
      <c r="BS934" s="23"/>
      <c r="BT934" s="23"/>
      <c r="BU934" s="23"/>
      <c r="BV934" s="23"/>
      <c r="BW934" s="23"/>
      <c r="BX934" s="23"/>
      <c r="BY934" s="23"/>
      <c r="BZ934" s="23"/>
      <c r="CA934" s="23"/>
      <c r="CB934" s="23"/>
      <c r="CC934" s="23"/>
      <c r="CD934" s="23"/>
      <c r="CE934" s="23"/>
      <c r="CF934" s="23"/>
      <c r="CG934" s="23"/>
      <c r="CH934" s="23"/>
      <c r="CI934" s="23"/>
      <c r="CJ934" s="23"/>
      <c r="CK934" s="23"/>
      <c r="CL934" s="23"/>
      <c r="CO934" s="30"/>
    </row>
    <row r="935" spans="27:93" ht="12.75" x14ac:dyDescent="0.2"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  <c r="BB935" s="23"/>
      <c r="BC935" s="23"/>
      <c r="BD935" s="23"/>
      <c r="BE935" s="23"/>
      <c r="BF935" s="23"/>
      <c r="BG935" s="23"/>
      <c r="BH935" s="23"/>
      <c r="BI935" s="23"/>
      <c r="BJ935" s="23"/>
      <c r="BK935" s="23"/>
      <c r="BL935" s="23"/>
      <c r="BM935" s="23"/>
      <c r="BN935" s="23"/>
      <c r="BO935" s="23"/>
      <c r="BP935" s="23"/>
      <c r="BQ935" s="23"/>
      <c r="BR935" s="23"/>
      <c r="BS935" s="23"/>
      <c r="BT935" s="23"/>
      <c r="BU935" s="23"/>
      <c r="BV935" s="23"/>
      <c r="BW935" s="23"/>
      <c r="BX935" s="23"/>
      <c r="BY935" s="23"/>
      <c r="BZ935" s="23"/>
      <c r="CA935" s="23"/>
      <c r="CB935" s="23"/>
      <c r="CC935" s="23"/>
      <c r="CD935" s="23"/>
      <c r="CE935" s="23"/>
      <c r="CF935" s="23"/>
      <c r="CG935" s="23"/>
      <c r="CH935" s="23"/>
      <c r="CI935" s="23"/>
      <c r="CJ935" s="23"/>
      <c r="CK935" s="23"/>
      <c r="CL935" s="23"/>
      <c r="CO935" s="30"/>
    </row>
    <row r="936" spans="27:93" ht="12.75" x14ac:dyDescent="0.2"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/>
      <c r="BB936" s="23"/>
      <c r="BC936" s="23"/>
      <c r="BD936" s="23"/>
      <c r="BE936" s="23"/>
      <c r="BF936" s="23"/>
      <c r="BG936" s="23"/>
      <c r="BH936" s="23"/>
      <c r="BI936" s="23"/>
      <c r="BJ936" s="23"/>
      <c r="BK936" s="23"/>
      <c r="BL936" s="23"/>
      <c r="BM936" s="23"/>
      <c r="BN936" s="23"/>
      <c r="BO936" s="23"/>
      <c r="BP936" s="23"/>
      <c r="BQ936" s="23"/>
      <c r="BR936" s="23"/>
      <c r="BS936" s="23"/>
      <c r="BT936" s="23"/>
      <c r="BU936" s="23"/>
      <c r="BV936" s="23"/>
      <c r="BW936" s="23"/>
      <c r="BX936" s="23"/>
      <c r="BY936" s="23"/>
      <c r="BZ936" s="23"/>
      <c r="CA936" s="23"/>
      <c r="CB936" s="23"/>
      <c r="CC936" s="23"/>
      <c r="CD936" s="23"/>
      <c r="CE936" s="23"/>
      <c r="CF936" s="23"/>
      <c r="CG936" s="23"/>
      <c r="CH936" s="23"/>
      <c r="CI936" s="23"/>
      <c r="CJ936" s="23"/>
      <c r="CK936" s="23"/>
      <c r="CL936" s="23"/>
      <c r="CO936" s="30"/>
    </row>
    <row r="937" spans="27:93" ht="12.75" x14ac:dyDescent="0.2"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/>
      <c r="BB937" s="23"/>
      <c r="BC937" s="23"/>
      <c r="BD937" s="23"/>
      <c r="BE937" s="23"/>
      <c r="BF937" s="23"/>
      <c r="BG937" s="23"/>
      <c r="BH937" s="23"/>
      <c r="BI937" s="23"/>
      <c r="BJ937" s="23"/>
      <c r="BK937" s="23"/>
      <c r="BL937" s="23"/>
      <c r="BM937" s="23"/>
      <c r="BN937" s="23"/>
      <c r="BO937" s="23"/>
      <c r="BP937" s="23"/>
      <c r="BQ937" s="23"/>
      <c r="BR937" s="23"/>
      <c r="BS937" s="23"/>
      <c r="BT937" s="23"/>
      <c r="BU937" s="23"/>
      <c r="BV937" s="23"/>
      <c r="BW937" s="23"/>
      <c r="BX937" s="23"/>
      <c r="BY937" s="23"/>
      <c r="BZ937" s="23"/>
      <c r="CA937" s="23"/>
      <c r="CB937" s="23"/>
      <c r="CC937" s="23"/>
      <c r="CD937" s="23"/>
      <c r="CE937" s="23"/>
      <c r="CF937" s="23"/>
      <c r="CG937" s="23"/>
      <c r="CH937" s="23"/>
      <c r="CI937" s="23"/>
      <c r="CJ937" s="23"/>
      <c r="CK937" s="23"/>
      <c r="CL937" s="23"/>
      <c r="CO937" s="30"/>
    </row>
    <row r="938" spans="27:93" ht="12.75" x14ac:dyDescent="0.2"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  <c r="AW938" s="23"/>
      <c r="AX938" s="23"/>
      <c r="AY938" s="23"/>
      <c r="AZ938" s="23"/>
      <c r="BA938" s="23"/>
      <c r="BB938" s="23"/>
      <c r="BC938" s="23"/>
      <c r="BD938" s="23"/>
      <c r="BE938" s="23"/>
      <c r="BF938" s="23"/>
      <c r="BG938" s="23"/>
      <c r="BH938" s="23"/>
      <c r="BI938" s="23"/>
      <c r="BJ938" s="23"/>
      <c r="BK938" s="23"/>
      <c r="BL938" s="23"/>
      <c r="BM938" s="23"/>
      <c r="BN938" s="23"/>
      <c r="BO938" s="23"/>
      <c r="BP938" s="23"/>
      <c r="BQ938" s="23"/>
      <c r="BR938" s="23"/>
      <c r="BS938" s="23"/>
      <c r="BT938" s="23"/>
      <c r="BU938" s="23"/>
      <c r="BV938" s="23"/>
      <c r="BW938" s="23"/>
      <c r="BX938" s="23"/>
      <c r="BY938" s="23"/>
      <c r="BZ938" s="23"/>
      <c r="CA938" s="23"/>
      <c r="CB938" s="23"/>
      <c r="CC938" s="23"/>
      <c r="CD938" s="23"/>
      <c r="CE938" s="23"/>
      <c r="CF938" s="23"/>
      <c r="CG938" s="23"/>
      <c r="CH938" s="23"/>
      <c r="CI938" s="23"/>
      <c r="CJ938" s="23"/>
      <c r="CK938" s="23"/>
      <c r="CL938" s="23"/>
      <c r="CO938" s="30"/>
    </row>
    <row r="939" spans="27:93" ht="12.75" x14ac:dyDescent="0.2"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/>
      <c r="BB939" s="23"/>
      <c r="BC939" s="23"/>
      <c r="BD939" s="23"/>
      <c r="BE939" s="23"/>
      <c r="BF939" s="23"/>
      <c r="BG939" s="23"/>
      <c r="BH939" s="23"/>
      <c r="BI939" s="23"/>
      <c r="BJ939" s="23"/>
      <c r="BK939" s="23"/>
      <c r="BL939" s="23"/>
      <c r="BM939" s="23"/>
      <c r="BN939" s="23"/>
      <c r="BO939" s="23"/>
      <c r="BP939" s="23"/>
      <c r="BQ939" s="23"/>
      <c r="BR939" s="23"/>
      <c r="BS939" s="23"/>
      <c r="BT939" s="23"/>
      <c r="BU939" s="23"/>
      <c r="BV939" s="23"/>
      <c r="BW939" s="23"/>
      <c r="BX939" s="23"/>
      <c r="BY939" s="23"/>
      <c r="BZ939" s="23"/>
      <c r="CA939" s="23"/>
      <c r="CB939" s="23"/>
      <c r="CC939" s="23"/>
      <c r="CD939" s="23"/>
      <c r="CE939" s="23"/>
      <c r="CF939" s="23"/>
      <c r="CG939" s="23"/>
      <c r="CH939" s="23"/>
      <c r="CI939" s="23"/>
      <c r="CJ939" s="23"/>
      <c r="CK939" s="23"/>
      <c r="CL939" s="23"/>
      <c r="CO939" s="30"/>
    </row>
    <row r="940" spans="27:93" ht="12.75" x14ac:dyDescent="0.2"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  <c r="AW940" s="23"/>
      <c r="AX940" s="23"/>
      <c r="AY940" s="23"/>
      <c r="AZ940" s="23"/>
      <c r="BA940" s="23"/>
      <c r="BB940" s="23"/>
      <c r="BC940" s="23"/>
      <c r="BD940" s="23"/>
      <c r="BE940" s="23"/>
      <c r="BF940" s="23"/>
      <c r="BG940" s="23"/>
      <c r="BH940" s="23"/>
      <c r="BI940" s="23"/>
      <c r="BJ940" s="23"/>
      <c r="BK940" s="23"/>
      <c r="BL940" s="23"/>
      <c r="BM940" s="23"/>
      <c r="BN940" s="23"/>
      <c r="BO940" s="23"/>
      <c r="BP940" s="23"/>
      <c r="BQ940" s="23"/>
      <c r="BR940" s="23"/>
      <c r="BS940" s="23"/>
      <c r="BT940" s="23"/>
      <c r="BU940" s="23"/>
      <c r="BV940" s="23"/>
      <c r="BW940" s="23"/>
      <c r="BX940" s="23"/>
      <c r="BY940" s="23"/>
      <c r="BZ940" s="23"/>
      <c r="CA940" s="23"/>
      <c r="CB940" s="23"/>
      <c r="CC940" s="23"/>
      <c r="CD940" s="23"/>
      <c r="CE940" s="23"/>
      <c r="CF940" s="23"/>
      <c r="CG940" s="23"/>
      <c r="CH940" s="23"/>
      <c r="CI940" s="23"/>
      <c r="CJ940" s="23"/>
      <c r="CK940" s="23"/>
      <c r="CL940" s="23"/>
      <c r="CO940" s="30"/>
    </row>
    <row r="941" spans="27:93" ht="12.75" x14ac:dyDescent="0.2"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  <c r="AY941" s="23"/>
      <c r="AZ941" s="23"/>
      <c r="BA941" s="23"/>
      <c r="BB941" s="23"/>
      <c r="BC941" s="23"/>
      <c r="BD941" s="23"/>
      <c r="BE941" s="23"/>
      <c r="BF941" s="23"/>
      <c r="BG941" s="23"/>
      <c r="BH941" s="23"/>
      <c r="BI941" s="23"/>
      <c r="BJ941" s="23"/>
      <c r="BK941" s="23"/>
      <c r="BL941" s="23"/>
      <c r="BM941" s="23"/>
      <c r="BN941" s="23"/>
      <c r="BO941" s="23"/>
      <c r="BP941" s="23"/>
      <c r="BQ941" s="23"/>
      <c r="BR941" s="23"/>
      <c r="BS941" s="23"/>
      <c r="BT941" s="23"/>
      <c r="BU941" s="23"/>
      <c r="BV941" s="23"/>
      <c r="BW941" s="23"/>
      <c r="BX941" s="23"/>
      <c r="BY941" s="23"/>
      <c r="BZ941" s="23"/>
      <c r="CA941" s="23"/>
      <c r="CB941" s="23"/>
      <c r="CC941" s="23"/>
      <c r="CD941" s="23"/>
      <c r="CE941" s="23"/>
      <c r="CF941" s="23"/>
      <c r="CG941" s="23"/>
      <c r="CH941" s="23"/>
      <c r="CI941" s="23"/>
      <c r="CJ941" s="23"/>
      <c r="CK941" s="23"/>
      <c r="CL941" s="23"/>
      <c r="CO941" s="30"/>
    </row>
    <row r="942" spans="27:93" ht="12.75" x14ac:dyDescent="0.2"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  <c r="AY942" s="23"/>
      <c r="AZ942" s="23"/>
      <c r="BA942" s="23"/>
      <c r="BB942" s="23"/>
      <c r="BC942" s="23"/>
      <c r="BD942" s="23"/>
      <c r="BE942" s="23"/>
      <c r="BF942" s="23"/>
      <c r="BG942" s="23"/>
      <c r="BH942" s="23"/>
      <c r="BI942" s="23"/>
      <c r="BJ942" s="23"/>
      <c r="BK942" s="23"/>
      <c r="BL942" s="23"/>
      <c r="BM942" s="23"/>
      <c r="BN942" s="23"/>
      <c r="BO942" s="23"/>
      <c r="BP942" s="23"/>
      <c r="BQ942" s="23"/>
      <c r="BR942" s="23"/>
      <c r="BS942" s="23"/>
      <c r="BT942" s="23"/>
      <c r="BU942" s="23"/>
      <c r="BV942" s="23"/>
      <c r="BW942" s="23"/>
      <c r="BX942" s="23"/>
      <c r="BY942" s="23"/>
      <c r="BZ942" s="23"/>
      <c r="CA942" s="23"/>
      <c r="CB942" s="23"/>
      <c r="CC942" s="23"/>
      <c r="CD942" s="23"/>
      <c r="CE942" s="23"/>
      <c r="CF942" s="23"/>
      <c r="CG942" s="23"/>
      <c r="CH942" s="23"/>
      <c r="CI942" s="23"/>
      <c r="CJ942" s="23"/>
      <c r="CK942" s="23"/>
      <c r="CL942" s="23"/>
      <c r="CO942" s="30"/>
    </row>
    <row r="943" spans="27:93" ht="12.75" x14ac:dyDescent="0.2"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  <c r="AY943" s="23"/>
      <c r="AZ943" s="23"/>
      <c r="BA943" s="23"/>
      <c r="BB943" s="23"/>
      <c r="BC943" s="23"/>
      <c r="BD943" s="23"/>
      <c r="BE943" s="23"/>
      <c r="BF943" s="23"/>
      <c r="BG943" s="23"/>
      <c r="BH943" s="23"/>
      <c r="BI943" s="23"/>
      <c r="BJ943" s="23"/>
      <c r="BK943" s="23"/>
      <c r="BL943" s="23"/>
      <c r="BM943" s="23"/>
      <c r="BN943" s="23"/>
      <c r="BO943" s="23"/>
      <c r="BP943" s="23"/>
      <c r="BQ943" s="23"/>
      <c r="BR943" s="23"/>
      <c r="BS943" s="23"/>
      <c r="BT943" s="23"/>
      <c r="BU943" s="23"/>
      <c r="BV943" s="23"/>
      <c r="BW943" s="23"/>
      <c r="BX943" s="23"/>
      <c r="BY943" s="23"/>
      <c r="BZ943" s="23"/>
      <c r="CA943" s="23"/>
      <c r="CB943" s="23"/>
      <c r="CC943" s="23"/>
      <c r="CD943" s="23"/>
      <c r="CE943" s="23"/>
      <c r="CF943" s="23"/>
      <c r="CG943" s="23"/>
      <c r="CH943" s="23"/>
      <c r="CI943" s="23"/>
      <c r="CJ943" s="23"/>
      <c r="CK943" s="23"/>
      <c r="CL943" s="23"/>
      <c r="CO943" s="30"/>
    </row>
    <row r="944" spans="27:93" ht="12.75" x14ac:dyDescent="0.2"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/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/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3"/>
      <c r="CA944" s="23"/>
      <c r="CB944" s="23"/>
      <c r="CC944" s="23"/>
      <c r="CD944" s="23"/>
      <c r="CE944" s="23"/>
      <c r="CF944" s="23"/>
      <c r="CG944" s="23"/>
      <c r="CH944" s="23"/>
      <c r="CI944" s="23"/>
      <c r="CJ944" s="23"/>
      <c r="CK944" s="23"/>
      <c r="CL944" s="23"/>
      <c r="CO944" s="30"/>
    </row>
    <row r="945" spans="27:93" ht="12.75" x14ac:dyDescent="0.2"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/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/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3"/>
      <c r="CA945" s="23"/>
      <c r="CB945" s="23"/>
      <c r="CC945" s="23"/>
      <c r="CD945" s="23"/>
      <c r="CE945" s="23"/>
      <c r="CF945" s="23"/>
      <c r="CG945" s="23"/>
      <c r="CH945" s="23"/>
      <c r="CI945" s="23"/>
      <c r="CJ945" s="23"/>
      <c r="CK945" s="23"/>
      <c r="CL945" s="23"/>
      <c r="CO945" s="30"/>
    </row>
    <row r="946" spans="27:93" ht="12.75" x14ac:dyDescent="0.2"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  <c r="AW946" s="23"/>
      <c r="AX946" s="23"/>
      <c r="AY946" s="23"/>
      <c r="AZ946" s="23"/>
      <c r="BA946" s="23"/>
      <c r="BB946" s="23"/>
      <c r="BC946" s="23"/>
      <c r="BD946" s="23"/>
      <c r="BE946" s="23"/>
      <c r="BF946" s="23"/>
      <c r="BG946" s="23"/>
      <c r="BH946" s="23"/>
      <c r="BI946" s="23"/>
      <c r="BJ946" s="23"/>
      <c r="BK946" s="23"/>
      <c r="BL946" s="23"/>
      <c r="BM946" s="23"/>
      <c r="BN946" s="23"/>
      <c r="BO946" s="23"/>
      <c r="BP946" s="23"/>
      <c r="BQ946" s="23"/>
      <c r="BR946" s="23"/>
      <c r="BS946" s="23"/>
      <c r="BT946" s="23"/>
      <c r="BU946" s="23"/>
      <c r="BV946" s="23"/>
      <c r="BW946" s="23"/>
      <c r="BX946" s="23"/>
      <c r="BY946" s="23"/>
      <c r="BZ946" s="23"/>
      <c r="CA946" s="23"/>
      <c r="CB946" s="23"/>
      <c r="CC946" s="23"/>
      <c r="CD946" s="23"/>
      <c r="CE946" s="23"/>
      <c r="CF946" s="23"/>
      <c r="CG946" s="23"/>
      <c r="CH946" s="23"/>
      <c r="CI946" s="23"/>
      <c r="CJ946" s="23"/>
      <c r="CK946" s="23"/>
      <c r="CL946" s="23"/>
      <c r="CO946" s="30"/>
    </row>
    <row r="947" spans="27:93" ht="12.75" x14ac:dyDescent="0.2"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/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/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3"/>
      <c r="CA947" s="23"/>
      <c r="CB947" s="23"/>
      <c r="CC947" s="23"/>
      <c r="CD947" s="23"/>
      <c r="CE947" s="23"/>
      <c r="CF947" s="23"/>
      <c r="CG947" s="23"/>
      <c r="CH947" s="23"/>
      <c r="CI947" s="23"/>
      <c r="CJ947" s="23"/>
      <c r="CK947" s="23"/>
      <c r="CL947" s="23"/>
      <c r="CO947" s="30"/>
    </row>
    <row r="948" spans="27:93" ht="12.75" x14ac:dyDescent="0.2"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  <c r="AW948" s="23"/>
      <c r="AX948" s="23"/>
      <c r="AY948" s="23"/>
      <c r="AZ948" s="23"/>
      <c r="BA948" s="23"/>
      <c r="BB948" s="23"/>
      <c r="BC948" s="23"/>
      <c r="BD948" s="23"/>
      <c r="BE948" s="23"/>
      <c r="BF948" s="23"/>
      <c r="BG948" s="23"/>
      <c r="BH948" s="23"/>
      <c r="BI948" s="23"/>
      <c r="BJ948" s="23"/>
      <c r="BK948" s="23"/>
      <c r="BL948" s="23"/>
      <c r="BM948" s="23"/>
      <c r="BN948" s="23"/>
      <c r="BO948" s="23"/>
      <c r="BP948" s="23"/>
      <c r="BQ948" s="23"/>
      <c r="BR948" s="23"/>
      <c r="BS948" s="23"/>
      <c r="BT948" s="23"/>
      <c r="BU948" s="23"/>
      <c r="BV948" s="23"/>
      <c r="BW948" s="23"/>
      <c r="BX948" s="23"/>
      <c r="BY948" s="23"/>
      <c r="BZ948" s="23"/>
      <c r="CA948" s="23"/>
      <c r="CB948" s="23"/>
      <c r="CC948" s="23"/>
      <c r="CD948" s="23"/>
      <c r="CE948" s="23"/>
      <c r="CF948" s="23"/>
      <c r="CG948" s="23"/>
      <c r="CH948" s="23"/>
      <c r="CI948" s="23"/>
      <c r="CJ948" s="23"/>
      <c r="CK948" s="23"/>
      <c r="CL948" s="23"/>
      <c r="CO948" s="30"/>
    </row>
    <row r="949" spans="27:93" ht="12.75" x14ac:dyDescent="0.2"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  <c r="AY949" s="23"/>
      <c r="AZ949" s="23"/>
      <c r="BA949" s="23"/>
      <c r="BB949" s="23"/>
      <c r="BC949" s="23"/>
      <c r="BD949" s="23"/>
      <c r="BE949" s="23"/>
      <c r="BF949" s="23"/>
      <c r="BG949" s="23"/>
      <c r="BH949" s="23"/>
      <c r="BI949" s="23"/>
      <c r="BJ949" s="23"/>
      <c r="BK949" s="23"/>
      <c r="BL949" s="23"/>
      <c r="BM949" s="23"/>
      <c r="BN949" s="23"/>
      <c r="BO949" s="23"/>
      <c r="BP949" s="23"/>
      <c r="BQ949" s="23"/>
      <c r="BR949" s="23"/>
      <c r="BS949" s="23"/>
      <c r="BT949" s="23"/>
      <c r="BU949" s="23"/>
      <c r="BV949" s="23"/>
      <c r="BW949" s="23"/>
      <c r="BX949" s="23"/>
      <c r="BY949" s="23"/>
      <c r="BZ949" s="23"/>
      <c r="CA949" s="23"/>
      <c r="CB949" s="23"/>
      <c r="CC949" s="23"/>
      <c r="CD949" s="23"/>
      <c r="CE949" s="23"/>
      <c r="CF949" s="23"/>
      <c r="CG949" s="23"/>
      <c r="CH949" s="23"/>
      <c r="CI949" s="23"/>
      <c r="CJ949" s="23"/>
      <c r="CK949" s="23"/>
      <c r="CL949" s="23"/>
      <c r="CO949" s="30"/>
    </row>
    <row r="950" spans="27:93" ht="12.75" x14ac:dyDescent="0.2"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  <c r="AY950" s="23"/>
      <c r="AZ950" s="23"/>
      <c r="BA950" s="23"/>
      <c r="BB950" s="23"/>
      <c r="BC950" s="23"/>
      <c r="BD950" s="23"/>
      <c r="BE950" s="23"/>
      <c r="BF950" s="23"/>
      <c r="BG950" s="23"/>
      <c r="BH950" s="23"/>
      <c r="BI950" s="23"/>
      <c r="BJ950" s="23"/>
      <c r="BK950" s="23"/>
      <c r="BL950" s="23"/>
      <c r="BM950" s="23"/>
      <c r="BN950" s="23"/>
      <c r="BO950" s="23"/>
      <c r="BP950" s="23"/>
      <c r="BQ950" s="23"/>
      <c r="BR950" s="23"/>
      <c r="BS950" s="23"/>
      <c r="BT950" s="23"/>
      <c r="BU950" s="23"/>
      <c r="BV950" s="23"/>
      <c r="BW950" s="23"/>
      <c r="BX950" s="23"/>
      <c r="BY950" s="23"/>
      <c r="BZ950" s="23"/>
      <c r="CA950" s="23"/>
      <c r="CB950" s="23"/>
      <c r="CC950" s="23"/>
      <c r="CD950" s="23"/>
      <c r="CE950" s="23"/>
      <c r="CF950" s="23"/>
      <c r="CG950" s="23"/>
      <c r="CH950" s="23"/>
      <c r="CI950" s="23"/>
      <c r="CJ950" s="23"/>
      <c r="CK950" s="23"/>
      <c r="CL950" s="23"/>
      <c r="CO950" s="30"/>
    </row>
    <row r="951" spans="27:93" ht="12.75" x14ac:dyDescent="0.2"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  <c r="BB951" s="23"/>
      <c r="BC951" s="23"/>
      <c r="BD951" s="23"/>
      <c r="BE951" s="23"/>
      <c r="BF951" s="23"/>
      <c r="BG951" s="23"/>
      <c r="BH951" s="23"/>
      <c r="BI951" s="23"/>
      <c r="BJ951" s="23"/>
      <c r="BK951" s="23"/>
      <c r="BL951" s="23"/>
      <c r="BM951" s="23"/>
      <c r="BN951" s="23"/>
      <c r="BO951" s="23"/>
      <c r="BP951" s="23"/>
      <c r="BQ951" s="23"/>
      <c r="BR951" s="23"/>
      <c r="BS951" s="23"/>
      <c r="BT951" s="23"/>
      <c r="BU951" s="23"/>
      <c r="BV951" s="23"/>
      <c r="BW951" s="23"/>
      <c r="BX951" s="23"/>
      <c r="BY951" s="23"/>
      <c r="BZ951" s="23"/>
      <c r="CA951" s="23"/>
      <c r="CB951" s="23"/>
      <c r="CC951" s="23"/>
      <c r="CD951" s="23"/>
      <c r="CE951" s="23"/>
      <c r="CF951" s="23"/>
      <c r="CG951" s="23"/>
      <c r="CH951" s="23"/>
      <c r="CI951" s="23"/>
      <c r="CJ951" s="23"/>
      <c r="CK951" s="23"/>
      <c r="CL951" s="23"/>
      <c r="CO951" s="30"/>
    </row>
    <row r="952" spans="27:93" ht="12.75" x14ac:dyDescent="0.2"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  <c r="AW952" s="23"/>
      <c r="AX952" s="23"/>
      <c r="AY952" s="23"/>
      <c r="AZ952" s="23"/>
      <c r="BA952" s="23"/>
      <c r="BB952" s="23"/>
      <c r="BC952" s="23"/>
      <c r="BD952" s="23"/>
      <c r="BE952" s="23"/>
      <c r="BF952" s="23"/>
      <c r="BG952" s="23"/>
      <c r="BH952" s="23"/>
      <c r="BI952" s="23"/>
      <c r="BJ952" s="23"/>
      <c r="BK952" s="23"/>
      <c r="BL952" s="23"/>
      <c r="BM952" s="23"/>
      <c r="BN952" s="23"/>
      <c r="BO952" s="23"/>
      <c r="BP952" s="23"/>
      <c r="BQ952" s="23"/>
      <c r="BR952" s="23"/>
      <c r="BS952" s="23"/>
      <c r="BT952" s="23"/>
      <c r="BU952" s="23"/>
      <c r="BV952" s="23"/>
      <c r="BW952" s="23"/>
      <c r="BX952" s="23"/>
      <c r="BY952" s="23"/>
      <c r="BZ952" s="23"/>
      <c r="CA952" s="23"/>
      <c r="CB952" s="23"/>
      <c r="CC952" s="23"/>
      <c r="CD952" s="23"/>
      <c r="CE952" s="23"/>
      <c r="CF952" s="23"/>
      <c r="CG952" s="23"/>
      <c r="CH952" s="23"/>
      <c r="CI952" s="23"/>
      <c r="CJ952" s="23"/>
      <c r="CK952" s="23"/>
      <c r="CL952" s="23"/>
      <c r="CO952" s="30"/>
    </row>
    <row r="953" spans="27:93" ht="12.75" x14ac:dyDescent="0.2"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  <c r="AY953" s="23"/>
      <c r="AZ953" s="23"/>
      <c r="BA953" s="23"/>
      <c r="BB953" s="23"/>
      <c r="BC953" s="23"/>
      <c r="BD953" s="23"/>
      <c r="BE953" s="23"/>
      <c r="BF953" s="23"/>
      <c r="BG953" s="23"/>
      <c r="BH953" s="23"/>
      <c r="BI953" s="23"/>
      <c r="BJ953" s="23"/>
      <c r="BK953" s="23"/>
      <c r="BL953" s="23"/>
      <c r="BM953" s="23"/>
      <c r="BN953" s="23"/>
      <c r="BO953" s="23"/>
      <c r="BP953" s="23"/>
      <c r="BQ953" s="23"/>
      <c r="BR953" s="23"/>
      <c r="BS953" s="23"/>
      <c r="BT953" s="23"/>
      <c r="BU953" s="23"/>
      <c r="BV953" s="23"/>
      <c r="BW953" s="23"/>
      <c r="BX953" s="23"/>
      <c r="BY953" s="23"/>
      <c r="BZ953" s="23"/>
      <c r="CA953" s="23"/>
      <c r="CB953" s="23"/>
      <c r="CC953" s="23"/>
      <c r="CD953" s="23"/>
      <c r="CE953" s="23"/>
      <c r="CF953" s="23"/>
      <c r="CG953" s="23"/>
      <c r="CH953" s="23"/>
      <c r="CI953" s="23"/>
      <c r="CJ953" s="23"/>
      <c r="CK953" s="23"/>
      <c r="CL953" s="23"/>
      <c r="CO953" s="30"/>
    </row>
    <row r="954" spans="27:93" ht="12.75" x14ac:dyDescent="0.2"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  <c r="AW954" s="23"/>
      <c r="AX954" s="23"/>
      <c r="AY954" s="23"/>
      <c r="AZ954" s="23"/>
      <c r="BA954" s="23"/>
      <c r="BB954" s="23"/>
      <c r="BC954" s="23"/>
      <c r="BD954" s="23"/>
      <c r="BE954" s="23"/>
      <c r="BF954" s="23"/>
      <c r="BG954" s="23"/>
      <c r="BH954" s="23"/>
      <c r="BI954" s="23"/>
      <c r="BJ954" s="23"/>
      <c r="BK954" s="23"/>
      <c r="BL954" s="23"/>
      <c r="BM954" s="23"/>
      <c r="BN954" s="23"/>
      <c r="BO954" s="23"/>
      <c r="BP954" s="23"/>
      <c r="BQ954" s="23"/>
      <c r="BR954" s="23"/>
      <c r="BS954" s="23"/>
      <c r="BT954" s="23"/>
      <c r="BU954" s="23"/>
      <c r="BV954" s="23"/>
      <c r="BW954" s="23"/>
      <c r="BX954" s="23"/>
      <c r="BY954" s="23"/>
      <c r="BZ954" s="23"/>
      <c r="CA954" s="23"/>
      <c r="CB954" s="23"/>
      <c r="CC954" s="23"/>
      <c r="CD954" s="23"/>
      <c r="CE954" s="23"/>
      <c r="CF954" s="23"/>
      <c r="CG954" s="23"/>
      <c r="CH954" s="23"/>
      <c r="CI954" s="23"/>
      <c r="CJ954" s="23"/>
      <c r="CK954" s="23"/>
      <c r="CL954" s="23"/>
      <c r="CO954" s="30"/>
    </row>
    <row r="955" spans="27:93" ht="12.75" x14ac:dyDescent="0.2"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  <c r="AY955" s="23"/>
      <c r="AZ955" s="23"/>
      <c r="BA955" s="23"/>
      <c r="BB955" s="23"/>
      <c r="BC955" s="23"/>
      <c r="BD955" s="23"/>
      <c r="BE955" s="23"/>
      <c r="BF955" s="23"/>
      <c r="BG955" s="23"/>
      <c r="BH955" s="23"/>
      <c r="BI955" s="23"/>
      <c r="BJ955" s="23"/>
      <c r="BK955" s="23"/>
      <c r="BL955" s="23"/>
      <c r="BM955" s="23"/>
      <c r="BN955" s="23"/>
      <c r="BO955" s="23"/>
      <c r="BP955" s="23"/>
      <c r="BQ955" s="23"/>
      <c r="BR955" s="23"/>
      <c r="BS955" s="23"/>
      <c r="BT955" s="23"/>
      <c r="BU955" s="23"/>
      <c r="BV955" s="23"/>
      <c r="BW955" s="23"/>
      <c r="BX955" s="23"/>
      <c r="BY955" s="23"/>
      <c r="BZ955" s="23"/>
      <c r="CA955" s="23"/>
      <c r="CB955" s="23"/>
      <c r="CC955" s="23"/>
      <c r="CD955" s="23"/>
      <c r="CE955" s="23"/>
      <c r="CF955" s="23"/>
      <c r="CG955" s="23"/>
      <c r="CH955" s="23"/>
      <c r="CI955" s="23"/>
      <c r="CJ955" s="23"/>
      <c r="CK955" s="23"/>
      <c r="CL955" s="23"/>
      <c r="CO955" s="30"/>
    </row>
    <row r="956" spans="27:93" ht="12.75" x14ac:dyDescent="0.2"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  <c r="BA956" s="23"/>
      <c r="BB956" s="23"/>
      <c r="BC956" s="23"/>
      <c r="BD956" s="23"/>
      <c r="BE956" s="23"/>
      <c r="BF956" s="23"/>
      <c r="BG956" s="23"/>
      <c r="BH956" s="23"/>
      <c r="BI956" s="23"/>
      <c r="BJ956" s="23"/>
      <c r="BK956" s="23"/>
      <c r="BL956" s="23"/>
      <c r="BM956" s="23"/>
      <c r="BN956" s="23"/>
      <c r="BO956" s="23"/>
      <c r="BP956" s="23"/>
      <c r="BQ956" s="23"/>
      <c r="BR956" s="23"/>
      <c r="BS956" s="23"/>
      <c r="BT956" s="23"/>
      <c r="BU956" s="23"/>
      <c r="BV956" s="23"/>
      <c r="BW956" s="23"/>
      <c r="BX956" s="23"/>
      <c r="BY956" s="23"/>
      <c r="BZ956" s="23"/>
      <c r="CA956" s="23"/>
      <c r="CB956" s="23"/>
      <c r="CC956" s="23"/>
      <c r="CD956" s="23"/>
      <c r="CE956" s="23"/>
      <c r="CF956" s="23"/>
      <c r="CG956" s="23"/>
      <c r="CH956" s="23"/>
      <c r="CI956" s="23"/>
      <c r="CJ956" s="23"/>
      <c r="CK956" s="23"/>
      <c r="CL956" s="23"/>
      <c r="CO956" s="30"/>
    </row>
    <row r="957" spans="27:93" ht="12.75" x14ac:dyDescent="0.2"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  <c r="AY957" s="23"/>
      <c r="AZ957" s="23"/>
      <c r="BA957" s="23"/>
      <c r="BB957" s="23"/>
      <c r="BC957" s="23"/>
      <c r="BD957" s="23"/>
      <c r="BE957" s="23"/>
      <c r="BF957" s="23"/>
      <c r="BG957" s="23"/>
      <c r="BH957" s="23"/>
      <c r="BI957" s="23"/>
      <c r="BJ957" s="23"/>
      <c r="BK957" s="23"/>
      <c r="BL957" s="23"/>
      <c r="BM957" s="23"/>
      <c r="BN957" s="23"/>
      <c r="BO957" s="23"/>
      <c r="BP957" s="23"/>
      <c r="BQ957" s="23"/>
      <c r="BR957" s="23"/>
      <c r="BS957" s="23"/>
      <c r="BT957" s="23"/>
      <c r="BU957" s="23"/>
      <c r="BV957" s="23"/>
      <c r="BW957" s="23"/>
      <c r="BX957" s="23"/>
      <c r="BY957" s="23"/>
      <c r="BZ957" s="23"/>
      <c r="CA957" s="23"/>
      <c r="CB957" s="23"/>
      <c r="CC957" s="23"/>
      <c r="CD957" s="23"/>
      <c r="CE957" s="23"/>
      <c r="CF957" s="23"/>
      <c r="CG957" s="23"/>
      <c r="CH957" s="23"/>
      <c r="CI957" s="23"/>
      <c r="CJ957" s="23"/>
      <c r="CK957" s="23"/>
      <c r="CL957" s="23"/>
      <c r="CO957" s="30"/>
    </row>
    <row r="958" spans="27:93" ht="12.75" x14ac:dyDescent="0.2"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  <c r="AW958" s="23"/>
      <c r="AX958" s="23"/>
      <c r="AY958" s="23"/>
      <c r="AZ958" s="23"/>
      <c r="BA958" s="23"/>
      <c r="BB958" s="23"/>
      <c r="BC958" s="23"/>
      <c r="BD958" s="23"/>
      <c r="BE958" s="23"/>
      <c r="BF958" s="23"/>
      <c r="BG958" s="23"/>
      <c r="BH958" s="23"/>
      <c r="BI958" s="23"/>
      <c r="BJ958" s="23"/>
      <c r="BK958" s="23"/>
      <c r="BL958" s="23"/>
      <c r="BM958" s="23"/>
      <c r="BN958" s="23"/>
      <c r="BO958" s="23"/>
      <c r="BP958" s="23"/>
      <c r="BQ958" s="23"/>
      <c r="BR958" s="23"/>
      <c r="BS958" s="23"/>
      <c r="BT958" s="23"/>
      <c r="BU958" s="23"/>
      <c r="BV958" s="23"/>
      <c r="BW958" s="23"/>
      <c r="BX958" s="23"/>
      <c r="BY958" s="23"/>
      <c r="BZ958" s="23"/>
      <c r="CA958" s="23"/>
      <c r="CB958" s="23"/>
      <c r="CC958" s="23"/>
      <c r="CD958" s="23"/>
      <c r="CE958" s="23"/>
      <c r="CF958" s="23"/>
      <c r="CG958" s="23"/>
      <c r="CH958" s="23"/>
      <c r="CI958" s="23"/>
      <c r="CJ958" s="23"/>
      <c r="CK958" s="23"/>
      <c r="CL958" s="23"/>
      <c r="CO958" s="30"/>
    </row>
    <row r="959" spans="27:93" ht="12.75" x14ac:dyDescent="0.2"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  <c r="AY959" s="23"/>
      <c r="AZ959" s="23"/>
      <c r="BA959" s="23"/>
      <c r="BB959" s="23"/>
      <c r="BC959" s="23"/>
      <c r="BD959" s="23"/>
      <c r="BE959" s="23"/>
      <c r="BF959" s="23"/>
      <c r="BG959" s="23"/>
      <c r="BH959" s="23"/>
      <c r="BI959" s="23"/>
      <c r="BJ959" s="23"/>
      <c r="BK959" s="23"/>
      <c r="BL959" s="23"/>
      <c r="BM959" s="23"/>
      <c r="BN959" s="23"/>
      <c r="BO959" s="23"/>
      <c r="BP959" s="23"/>
      <c r="BQ959" s="23"/>
      <c r="BR959" s="23"/>
      <c r="BS959" s="23"/>
      <c r="BT959" s="23"/>
      <c r="BU959" s="23"/>
      <c r="BV959" s="23"/>
      <c r="BW959" s="23"/>
      <c r="BX959" s="23"/>
      <c r="BY959" s="23"/>
      <c r="BZ959" s="23"/>
      <c r="CA959" s="23"/>
      <c r="CB959" s="23"/>
      <c r="CC959" s="23"/>
      <c r="CD959" s="23"/>
      <c r="CE959" s="23"/>
      <c r="CF959" s="23"/>
      <c r="CG959" s="23"/>
      <c r="CH959" s="23"/>
      <c r="CI959" s="23"/>
      <c r="CJ959" s="23"/>
      <c r="CK959" s="23"/>
      <c r="CL959" s="23"/>
      <c r="CO959" s="30"/>
    </row>
    <row r="960" spans="27:93" ht="12.75" x14ac:dyDescent="0.2"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  <c r="AY960" s="23"/>
      <c r="AZ960" s="23"/>
      <c r="BA960" s="23"/>
      <c r="BB960" s="23"/>
      <c r="BC960" s="23"/>
      <c r="BD960" s="23"/>
      <c r="BE960" s="23"/>
      <c r="BF960" s="23"/>
      <c r="BG960" s="23"/>
      <c r="BH960" s="23"/>
      <c r="BI960" s="23"/>
      <c r="BJ960" s="23"/>
      <c r="BK960" s="23"/>
      <c r="BL960" s="23"/>
      <c r="BM960" s="23"/>
      <c r="BN960" s="23"/>
      <c r="BO960" s="23"/>
      <c r="BP960" s="23"/>
      <c r="BQ960" s="23"/>
      <c r="BR960" s="23"/>
      <c r="BS960" s="23"/>
      <c r="BT960" s="23"/>
      <c r="BU960" s="23"/>
      <c r="BV960" s="23"/>
      <c r="BW960" s="23"/>
      <c r="BX960" s="23"/>
      <c r="BY960" s="23"/>
      <c r="BZ960" s="23"/>
      <c r="CA960" s="23"/>
      <c r="CB960" s="23"/>
      <c r="CC960" s="23"/>
      <c r="CD960" s="23"/>
      <c r="CE960" s="23"/>
      <c r="CF960" s="23"/>
      <c r="CG960" s="23"/>
      <c r="CH960" s="23"/>
      <c r="CI960" s="23"/>
      <c r="CJ960" s="23"/>
      <c r="CK960" s="23"/>
      <c r="CL960" s="23"/>
      <c r="CO960" s="30"/>
    </row>
    <row r="961" spans="27:93" ht="12.75" x14ac:dyDescent="0.2"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  <c r="BB961" s="23"/>
      <c r="BC961" s="23"/>
      <c r="BD961" s="23"/>
      <c r="BE961" s="23"/>
      <c r="BF961" s="23"/>
      <c r="BG961" s="23"/>
      <c r="BH961" s="23"/>
      <c r="BI961" s="23"/>
      <c r="BJ961" s="23"/>
      <c r="BK961" s="23"/>
      <c r="BL961" s="23"/>
      <c r="BM961" s="23"/>
      <c r="BN961" s="23"/>
      <c r="BO961" s="23"/>
      <c r="BP961" s="23"/>
      <c r="BQ961" s="23"/>
      <c r="BR961" s="23"/>
      <c r="BS961" s="23"/>
      <c r="BT961" s="23"/>
      <c r="BU961" s="23"/>
      <c r="BV961" s="23"/>
      <c r="BW961" s="23"/>
      <c r="BX961" s="23"/>
      <c r="BY961" s="23"/>
      <c r="BZ961" s="23"/>
      <c r="CA961" s="23"/>
      <c r="CB961" s="23"/>
      <c r="CC961" s="23"/>
      <c r="CD961" s="23"/>
      <c r="CE961" s="23"/>
      <c r="CF961" s="23"/>
      <c r="CG961" s="23"/>
      <c r="CH961" s="23"/>
      <c r="CI961" s="23"/>
      <c r="CJ961" s="23"/>
      <c r="CK961" s="23"/>
      <c r="CL961" s="23"/>
      <c r="CO961" s="30"/>
    </row>
    <row r="962" spans="27:93" ht="12.75" x14ac:dyDescent="0.2"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  <c r="AY962" s="23"/>
      <c r="AZ962" s="23"/>
      <c r="BA962" s="23"/>
      <c r="BB962" s="23"/>
      <c r="BC962" s="23"/>
      <c r="BD962" s="23"/>
      <c r="BE962" s="23"/>
      <c r="BF962" s="23"/>
      <c r="BG962" s="23"/>
      <c r="BH962" s="23"/>
      <c r="BI962" s="23"/>
      <c r="BJ962" s="23"/>
      <c r="BK962" s="23"/>
      <c r="BL962" s="23"/>
      <c r="BM962" s="23"/>
      <c r="BN962" s="23"/>
      <c r="BO962" s="23"/>
      <c r="BP962" s="23"/>
      <c r="BQ962" s="23"/>
      <c r="BR962" s="23"/>
      <c r="BS962" s="23"/>
      <c r="BT962" s="23"/>
      <c r="BU962" s="23"/>
      <c r="BV962" s="23"/>
      <c r="BW962" s="23"/>
      <c r="BX962" s="23"/>
      <c r="BY962" s="23"/>
      <c r="BZ962" s="23"/>
      <c r="CA962" s="23"/>
      <c r="CB962" s="23"/>
      <c r="CC962" s="23"/>
      <c r="CD962" s="23"/>
      <c r="CE962" s="23"/>
      <c r="CF962" s="23"/>
      <c r="CG962" s="23"/>
      <c r="CH962" s="23"/>
      <c r="CI962" s="23"/>
      <c r="CJ962" s="23"/>
      <c r="CK962" s="23"/>
      <c r="CL962" s="23"/>
      <c r="CO962" s="30"/>
    </row>
    <row r="963" spans="27:93" ht="12.75" x14ac:dyDescent="0.2"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  <c r="AY963" s="23"/>
      <c r="AZ963" s="23"/>
      <c r="BA963" s="23"/>
      <c r="BB963" s="23"/>
      <c r="BC963" s="23"/>
      <c r="BD963" s="23"/>
      <c r="BE963" s="23"/>
      <c r="BF963" s="23"/>
      <c r="BG963" s="23"/>
      <c r="BH963" s="23"/>
      <c r="BI963" s="23"/>
      <c r="BJ963" s="23"/>
      <c r="BK963" s="23"/>
      <c r="BL963" s="23"/>
      <c r="BM963" s="23"/>
      <c r="BN963" s="23"/>
      <c r="BO963" s="23"/>
      <c r="BP963" s="23"/>
      <c r="BQ963" s="23"/>
      <c r="BR963" s="23"/>
      <c r="BS963" s="23"/>
      <c r="BT963" s="23"/>
      <c r="BU963" s="23"/>
      <c r="BV963" s="23"/>
      <c r="BW963" s="23"/>
      <c r="BX963" s="23"/>
      <c r="BY963" s="23"/>
      <c r="BZ963" s="23"/>
      <c r="CA963" s="23"/>
      <c r="CB963" s="23"/>
      <c r="CC963" s="23"/>
      <c r="CD963" s="23"/>
      <c r="CE963" s="23"/>
      <c r="CF963" s="23"/>
      <c r="CG963" s="23"/>
      <c r="CH963" s="23"/>
      <c r="CI963" s="23"/>
      <c r="CJ963" s="23"/>
      <c r="CK963" s="23"/>
      <c r="CL963" s="23"/>
      <c r="CO963" s="30"/>
    </row>
    <row r="964" spans="27:93" ht="12.75" x14ac:dyDescent="0.2"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  <c r="AW964" s="23"/>
      <c r="AX964" s="23"/>
      <c r="AY964" s="23"/>
      <c r="AZ964" s="23"/>
      <c r="BA964" s="23"/>
      <c r="BB964" s="23"/>
      <c r="BC964" s="23"/>
      <c r="BD964" s="23"/>
      <c r="BE964" s="23"/>
      <c r="BF964" s="23"/>
      <c r="BG964" s="23"/>
      <c r="BH964" s="23"/>
      <c r="BI964" s="23"/>
      <c r="BJ964" s="23"/>
      <c r="BK964" s="23"/>
      <c r="BL964" s="23"/>
      <c r="BM964" s="23"/>
      <c r="BN964" s="23"/>
      <c r="BO964" s="23"/>
      <c r="BP964" s="23"/>
      <c r="BQ964" s="23"/>
      <c r="BR964" s="23"/>
      <c r="BS964" s="23"/>
      <c r="BT964" s="23"/>
      <c r="BU964" s="23"/>
      <c r="BV964" s="23"/>
      <c r="BW964" s="23"/>
      <c r="BX964" s="23"/>
      <c r="BY964" s="23"/>
      <c r="BZ964" s="23"/>
      <c r="CA964" s="23"/>
      <c r="CB964" s="23"/>
      <c r="CC964" s="23"/>
      <c r="CD964" s="23"/>
      <c r="CE964" s="23"/>
      <c r="CF964" s="23"/>
      <c r="CG964" s="23"/>
      <c r="CH964" s="23"/>
      <c r="CI964" s="23"/>
      <c r="CJ964" s="23"/>
      <c r="CK964" s="23"/>
      <c r="CL964" s="23"/>
      <c r="CO964" s="30"/>
    </row>
    <row r="965" spans="27:93" ht="12.75" x14ac:dyDescent="0.2"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  <c r="AY965" s="23"/>
      <c r="AZ965" s="23"/>
      <c r="BA965" s="23"/>
      <c r="BB965" s="23"/>
      <c r="BC965" s="23"/>
      <c r="BD965" s="23"/>
      <c r="BE965" s="23"/>
      <c r="BF965" s="23"/>
      <c r="BG965" s="23"/>
      <c r="BH965" s="23"/>
      <c r="BI965" s="23"/>
      <c r="BJ965" s="23"/>
      <c r="BK965" s="23"/>
      <c r="BL965" s="23"/>
      <c r="BM965" s="23"/>
      <c r="BN965" s="23"/>
      <c r="BO965" s="23"/>
      <c r="BP965" s="23"/>
      <c r="BQ965" s="23"/>
      <c r="BR965" s="23"/>
      <c r="BS965" s="23"/>
      <c r="BT965" s="23"/>
      <c r="BU965" s="23"/>
      <c r="BV965" s="23"/>
      <c r="BW965" s="23"/>
      <c r="BX965" s="23"/>
      <c r="BY965" s="23"/>
      <c r="BZ965" s="23"/>
      <c r="CA965" s="23"/>
      <c r="CB965" s="23"/>
      <c r="CC965" s="23"/>
      <c r="CD965" s="23"/>
      <c r="CE965" s="23"/>
      <c r="CF965" s="23"/>
      <c r="CG965" s="23"/>
      <c r="CH965" s="23"/>
      <c r="CI965" s="23"/>
      <c r="CJ965" s="23"/>
      <c r="CK965" s="23"/>
      <c r="CL965" s="23"/>
      <c r="CO965" s="30"/>
    </row>
    <row r="966" spans="27:93" ht="12.75" x14ac:dyDescent="0.2"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  <c r="AY966" s="23"/>
      <c r="AZ966" s="23"/>
      <c r="BA966" s="23"/>
      <c r="BB966" s="23"/>
      <c r="BC966" s="23"/>
      <c r="BD966" s="23"/>
      <c r="BE966" s="23"/>
      <c r="BF966" s="23"/>
      <c r="BG966" s="23"/>
      <c r="BH966" s="23"/>
      <c r="BI966" s="23"/>
      <c r="BJ966" s="23"/>
      <c r="BK966" s="23"/>
      <c r="BL966" s="23"/>
      <c r="BM966" s="23"/>
      <c r="BN966" s="23"/>
      <c r="BO966" s="23"/>
      <c r="BP966" s="23"/>
      <c r="BQ966" s="23"/>
      <c r="BR966" s="23"/>
      <c r="BS966" s="23"/>
      <c r="BT966" s="23"/>
      <c r="BU966" s="23"/>
      <c r="BV966" s="23"/>
      <c r="BW966" s="23"/>
      <c r="BX966" s="23"/>
      <c r="BY966" s="23"/>
      <c r="BZ966" s="23"/>
      <c r="CA966" s="23"/>
      <c r="CB966" s="23"/>
      <c r="CC966" s="23"/>
      <c r="CD966" s="23"/>
      <c r="CE966" s="23"/>
      <c r="CF966" s="23"/>
      <c r="CG966" s="23"/>
      <c r="CH966" s="23"/>
      <c r="CI966" s="23"/>
      <c r="CJ966" s="23"/>
      <c r="CK966" s="23"/>
      <c r="CL966" s="23"/>
      <c r="CO966" s="30"/>
    </row>
    <row r="967" spans="27:93" ht="12.75" x14ac:dyDescent="0.2"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  <c r="BA967" s="23"/>
      <c r="BB967" s="23"/>
      <c r="BC967" s="23"/>
      <c r="BD967" s="23"/>
      <c r="BE967" s="23"/>
      <c r="BF967" s="23"/>
      <c r="BG967" s="23"/>
      <c r="BH967" s="23"/>
      <c r="BI967" s="23"/>
      <c r="BJ967" s="23"/>
      <c r="BK967" s="23"/>
      <c r="BL967" s="23"/>
      <c r="BM967" s="23"/>
      <c r="BN967" s="23"/>
      <c r="BO967" s="23"/>
      <c r="BP967" s="23"/>
      <c r="BQ967" s="23"/>
      <c r="BR967" s="23"/>
      <c r="BS967" s="23"/>
      <c r="BT967" s="23"/>
      <c r="BU967" s="23"/>
      <c r="BV967" s="23"/>
      <c r="BW967" s="23"/>
      <c r="BX967" s="23"/>
      <c r="BY967" s="23"/>
      <c r="BZ967" s="23"/>
      <c r="CA967" s="23"/>
      <c r="CB967" s="23"/>
      <c r="CC967" s="23"/>
      <c r="CD967" s="23"/>
      <c r="CE967" s="23"/>
      <c r="CF967" s="23"/>
      <c r="CG967" s="23"/>
      <c r="CH967" s="23"/>
      <c r="CI967" s="23"/>
      <c r="CJ967" s="23"/>
      <c r="CK967" s="23"/>
      <c r="CL967" s="23"/>
      <c r="CO967" s="30"/>
    </row>
    <row r="968" spans="27:93" ht="12.75" x14ac:dyDescent="0.2"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  <c r="AW968" s="23"/>
      <c r="AX968" s="23"/>
      <c r="AY968" s="23"/>
      <c r="AZ968" s="23"/>
      <c r="BA968" s="23"/>
      <c r="BB968" s="23"/>
      <c r="BC968" s="23"/>
      <c r="BD968" s="23"/>
      <c r="BE968" s="23"/>
      <c r="BF968" s="23"/>
      <c r="BG968" s="23"/>
      <c r="BH968" s="23"/>
      <c r="BI968" s="23"/>
      <c r="BJ968" s="23"/>
      <c r="BK968" s="23"/>
      <c r="BL968" s="23"/>
      <c r="BM968" s="23"/>
      <c r="BN968" s="23"/>
      <c r="BO968" s="23"/>
      <c r="BP968" s="23"/>
      <c r="BQ968" s="23"/>
      <c r="BR968" s="23"/>
      <c r="BS968" s="23"/>
      <c r="BT968" s="23"/>
      <c r="BU968" s="23"/>
      <c r="BV968" s="23"/>
      <c r="BW968" s="23"/>
      <c r="BX968" s="23"/>
      <c r="BY968" s="23"/>
      <c r="BZ968" s="23"/>
      <c r="CA968" s="23"/>
      <c r="CB968" s="23"/>
      <c r="CC968" s="23"/>
      <c r="CD968" s="23"/>
      <c r="CE968" s="23"/>
      <c r="CF968" s="23"/>
      <c r="CG968" s="23"/>
      <c r="CH968" s="23"/>
      <c r="CI968" s="23"/>
      <c r="CJ968" s="23"/>
      <c r="CK968" s="23"/>
      <c r="CL968" s="23"/>
      <c r="CO968" s="30"/>
    </row>
    <row r="969" spans="27:93" ht="12.75" x14ac:dyDescent="0.2"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  <c r="AW969" s="23"/>
      <c r="AX969" s="23"/>
      <c r="AY969" s="23"/>
      <c r="AZ969" s="23"/>
      <c r="BA969" s="23"/>
      <c r="BB969" s="23"/>
      <c r="BC969" s="23"/>
      <c r="BD969" s="23"/>
      <c r="BE969" s="23"/>
      <c r="BF969" s="23"/>
      <c r="BG969" s="23"/>
      <c r="BH969" s="23"/>
      <c r="BI969" s="23"/>
      <c r="BJ969" s="23"/>
      <c r="BK969" s="23"/>
      <c r="BL969" s="23"/>
      <c r="BM969" s="23"/>
      <c r="BN969" s="23"/>
      <c r="BO969" s="23"/>
      <c r="BP969" s="23"/>
      <c r="BQ969" s="23"/>
      <c r="BR969" s="23"/>
      <c r="BS969" s="23"/>
      <c r="BT969" s="23"/>
      <c r="BU969" s="23"/>
      <c r="BV969" s="23"/>
      <c r="BW969" s="23"/>
      <c r="BX969" s="23"/>
      <c r="BY969" s="23"/>
      <c r="BZ969" s="23"/>
      <c r="CA969" s="23"/>
      <c r="CB969" s="23"/>
      <c r="CC969" s="23"/>
      <c r="CD969" s="23"/>
      <c r="CE969" s="23"/>
      <c r="CF969" s="23"/>
      <c r="CG969" s="23"/>
      <c r="CH969" s="23"/>
      <c r="CI969" s="23"/>
      <c r="CJ969" s="23"/>
      <c r="CK969" s="23"/>
      <c r="CL969" s="23"/>
      <c r="CO969" s="30"/>
    </row>
    <row r="970" spans="27:93" ht="12.75" x14ac:dyDescent="0.2"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3"/>
      <c r="AW970" s="23"/>
      <c r="AX970" s="23"/>
      <c r="AY970" s="23"/>
      <c r="AZ970" s="23"/>
      <c r="BA970" s="23"/>
      <c r="BB970" s="23"/>
      <c r="BC970" s="23"/>
      <c r="BD970" s="23"/>
      <c r="BE970" s="23"/>
      <c r="BF970" s="23"/>
      <c r="BG970" s="23"/>
      <c r="BH970" s="23"/>
      <c r="BI970" s="23"/>
      <c r="BJ970" s="23"/>
      <c r="BK970" s="23"/>
      <c r="BL970" s="23"/>
      <c r="BM970" s="23"/>
      <c r="BN970" s="23"/>
      <c r="BO970" s="23"/>
      <c r="BP970" s="23"/>
      <c r="BQ970" s="23"/>
      <c r="BR970" s="23"/>
      <c r="BS970" s="23"/>
      <c r="BT970" s="23"/>
      <c r="BU970" s="23"/>
      <c r="BV970" s="23"/>
      <c r="BW970" s="23"/>
      <c r="BX970" s="23"/>
      <c r="BY970" s="23"/>
      <c r="BZ970" s="23"/>
      <c r="CA970" s="23"/>
      <c r="CB970" s="23"/>
      <c r="CC970" s="23"/>
      <c r="CD970" s="23"/>
      <c r="CE970" s="23"/>
      <c r="CF970" s="23"/>
      <c r="CG970" s="23"/>
      <c r="CH970" s="23"/>
      <c r="CI970" s="23"/>
      <c r="CJ970" s="23"/>
      <c r="CK970" s="23"/>
      <c r="CL970" s="23"/>
      <c r="CO970" s="30"/>
    </row>
    <row r="971" spans="27:93" ht="12.75" x14ac:dyDescent="0.2"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  <c r="AW971" s="23"/>
      <c r="AX971" s="23"/>
      <c r="AY971" s="23"/>
      <c r="AZ971" s="23"/>
      <c r="BA971" s="23"/>
      <c r="BB971" s="23"/>
      <c r="BC971" s="23"/>
      <c r="BD971" s="23"/>
      <c r="BE971" s="23"/>
      <c r="BF971" s="23"/>
      <c r="BG971" s="23"/>
      <c r="BH971" s="23"/>
      <c r="BI971" s="23"/>
      <c r="BJ971" s="23"/>
      <c r="BK971" s="23"/>
      <c r="BL971" s="23"/>
      <c r="BM971" s="23"/>
      <c r="BN971" s="23"/>
      <c r="BO971" s="23"/>
      <c r="BP971" s="23"/>
      <c r="BQ971" s="23"/>
      <c r="BR971" s="23"/>
      <c r="BS971" s="23"/>
      <c r="BT971" s="23"/>
      <c r="BU971" s="23"/>
      <c r="BV971" s="23"/>
      <c r="BW971" s="23"/>
      <c r="BX971" s="23"/>
      <c r="BY971" s="23"/>
      <c r="BZ971" s="23"/>
      <c r="CA971" s="23"/>
      <c r="CB971" s="23"/>
      <c r="CC971" s="23"/>
      <c r="CD971" s="23"/>
      <c r="CE971" s="23"/>
      <c r="CF971" s="23"/>
      <c r="CG971" s="23"/>
      <c r="CH971" s="23"/>
      <c r="CI971" s="23"/>
      <c r="CJ971" s="23"/>
      <c r="CK971" s="23"/>
      <c r="CL971" s="23"/>
      <c r="CO971" s="30"/>
    </row>
    <row r="972" spans="27:93" ht="12.75" x14ac:dyDescent="0.2"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3"/>
      <c r="AW972" s="23"/>
      <c r="AX972" s="23"/>
      <c r="AY972" s="23"/>
      <c r="AZ972" s="23"/>
      <c r="BA972" s="23"/>
      <c r="BB972" s="23"/>
      <c r="BC972" s="23"/>
      <c r="BD972" s="23"/>
      <c r="BE972" s="23"/>
      <c r="BF972" s="23"/>
      <c r="BG972" s="23"/>
      <c r="BH972" s="23"/>
      <c r="BI972" s="23"/>
      <c r="BJ972" s="23"/>
      <c r="BK972" s="23"/>
      <c r="BL972" s="23"/>
      <c r="BM972" s="23"/>
      <c r="BN972" s="23"/>
      <c r="BO972" s="23"/>
      <c r="BP972" s="23"/>
      <c r="BQ972" s="23"/>
      <c r="BR972" s="23"/>
      <c r="BS972" s="23"/>
      <c r="BT972" s="23"/>
      <c r="BU972" s="23"/>
      <c r="BV972" s="23"/>
      <c r="BW972" s="23"/>
      <c r="BX972" s="23"/>
      <c r="BY972" s="23"/>
      <c r="BZ972" s="23"/>
      <c r="CA972" s="23"/>
      <c r="CB972" s="23"/>
      <c r="CC972" s="23"/>
      <c r="CD972" s="23"/>
      <c r="CE972" s="23"/>
      <c r="CF972" s="23"/>
      <c r="CG972" s="23"/>
      <c r="CH972" s="23"/>
      <c r="CI972" s="23"/>
      <c r="CJ972" s="23"/>
      <c r="CK972" s="23"/>
      <c r="CL972" s="23"/>
      <c r="CO972" s="30"/>
    </row>
    <row r="973" spans="27:93" ht="12.75" x14ac:dyDescent="0.2"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  <c r="AW973" s="23"/>
      <c r="AX973" s="23"/>
      <c r="AY973" s="23"/>
      <c r="AZ973" s="23"/>
      <c r="BA973" s="23"/>
      <c r="BB973" s="23"/>
      <c r="BC973" s="23"/>
      <c r="BD973" s="23"/>
      <c r="BE973" s="23"/>
      <c r="BF973" s="23"/>
      <c r="BG973" s="23"/>
      <c r="BH973" s="23"/>
      <c r="BI973" s="23"/>
      <c r="BJ973" s="23"/>
      <c r="BK973" s="23"/>
      <c r="BL973" s="23"/>
      <c r="BM973" s="23"/>
      <c r="BN973" s="23"/>
      <c r="BO973" s="23"/>
      <c r="BP973" s="23"/>
      <c r="BQ973" s="23"/>
      <c r="BR973" s="23"/>
      <c r="BS973" s="23"/>
      <c r="BT973" s="23"/>
      <c r="BU973" s="23"/>
      <c r="BV973" s="23"/>
      <c r="BW973" s="23"/>
      <c r="BX973" s="23"/>
      <c r="BY973" s="23"/>
      <c r="BZ973" s="23"/>
      <c r="CA973" s="23"/>
      <c r="CB973" s="23"/>
      <c r="CC973" s="23"/>
      <c r="CD973" s="23"/>
      <c r="CE973" s="23"/>
      <c r="CF973" s="23"/>
      <c r="CG973" s="23"/>
      <c r="CH973" s="23"/>
      <c r="CI973" s="23"/>
      <c r="CJ973" s="23"/>
      <c r="CK973" s="23"/>
      <c r="CL973" s="23"/>
      <c r="CO973" s="30"/>
    </row>
    <row r="974" spans="27:93" ht="12.75" x14ac:dyDescent="0.2"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/>
      <c r="BB974" s="23"/>
      <c r="BC974" s="23"/>
      <c r="BD974" s="23"/>
      <c r="BE974" s="23"/>
      <c r="BF974" s="23"/>
      <c r="BG974" s="23"/>
      <c r="BH974" s="23"/>
      <c r="BI974" s="23"/>
      <c r="BJ974" s="23"/>
      <c r="BK974" s="23"/>
      <c r="BL974" s="23"/>
      <c r="BM974" s="23"/>
      <c r="BN974" s="23"/>
      <c r="BO974" s="23"/>
      <c r="BP974" s="23"/>
      <c r="BQ974" s="23"/>
      <c r="BR974" s="23"/>
      <c r="BS974" s="23"/>
      <c r="BT974" s="23"/>
      <c r="BU974" s="23"/>
      <c r="BV974" s="23"/>
      <c r="BW974" s="23"/>
      <c r="BX974" s="23"/>
      <c r="BY974" s="23"/>
      <c r="BZ974" s="23"/>
      <c r="CA974" s="23"/>
      <c r="CB974" s="23"/>
      <c r="CC974" s="23"/>
      <c r="CD974" s="23"/>
      <c r="CE974" s="23"/>
      <c r="CF974" s="23"/>
      <c r="CG974" s="23"/>
      <c r="CH974" s="23"/>
      <c r="CI974" s="23"/>
      <c r="CJ974" s="23"/>
      <c r="CK974" s="23"/>
      <c r="CL974" s="23"/>
      <c r="CO974" s="30"/>
    </row>
    <row r="975" spans="27:93" ht="12.75" x14ac:dyDescent="0.2"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/>
      <c r="BB975" s="23"/>
      <c r="BC975" s="23"/>
      <c r="BD975" s="23"/>
      <c r="BE975" s="23"/>
      <c r="BF975" s="23"/>
      <c r="BG975" s="23"/>
      <c r="BH975" s="23"/>
      <c r="BI975" s="23"/>
      <c r="BJ975" s="23"/>
      <c r="BK975" s="23"/>
      <c r="BL975" s="23"/>
      <c r="BM975" s="23"/>
      <c r="BN975" s="23"/>
      <c r="BO975" s="23"/>
      <c r="BP975" s="23"/>
      <c r="BQ975" s="23"/>
      <c r="BR975" s="23"/>
      <c r="BS975" s="23"/>
      <c r="BT975" s="23"/>
      <c r="BU975" s="23"/>
      <c r="BV975" s="23"/>
      <c r="BW975" s="23"/>
      <c r="BX975" s="23"/>
      <c r="BY975" s="23"/>
      <c r="BZ975" s="23"/>
      <c r="CA975" s="23"/>
      <c r="CB975" s="23"/>
      <c r="CC975" s="23"/>
      <c r="CD975" s="23"/>
      <c r="CE975" s="23"/>
      <c r="CF975" s="23"/>
      <c r="CG975" s="23"/>
      <c r="CH975" s="23"/>
      <c r="CI975" s="23"/>
      <c r="CJ975" s="23"/>
      <c r="CK975" s="23"/>
      <c r="CL975" s="23"/>
      <c r="CO975" s="30"/>
    </row>
    <row r="976" spans="27:93" ht="12.75" x14ac:dyDescent="0.2"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  <c r="AW976" s="23"/>
      <c r="AX976" s="23"/>
      <c r="AY976" s="23"/>
      <c r="AZ976" s="23"/>
      <c r="BA976" s="23"/>
      <c r="BB976" s="23"/>
      <c r="BC976" s="23"/>
      <c r="BD976" s="23"/>
      <c r="BE976" s="23"/>
      <c r="BF976" s="23"/>
      <c r="BG976" s="23"/>
      <c r="BH976" s="23"/>
      <c r="BI976" s="23"/>
      <c r="BJ976" s="23"/>
      <c r="BK976" s="23"/>
      <c r="BL976" s="23"/>
      <c r="BM976" s="23"/>
      <c r="BN976" s="23"/>
      <c r="BO976" s="23"/>
      <c r="BP976" s="23"/>
      <c r="BQ976" s="23"/>
      <c r="BR976" s="23"/>
      <c r="BS976" s="23"/>
      <c r="BT976" s="23"/>
      <c r="BU976" s="23"/>
      <c r="BV976" s="23"/>
      <c r="BW976" s="23"/>
      <c r="BX976" s="23"/>
      <c r="BY976" s="23"/>
      <c r="BZ976" s="23"/>
      <c r="CA976" s="23"/>
      <c r="CB976" s="23"/>
      <c r="CC976" s="23"/>
      <c r="CD976" s="23"/>
      <c r="CE976" s="23"/>
      <c r="CF976" s="23"/>
      <c r="CG976" s="23"/>
      <c r="CH976" s="23"/>
      <c r="CI976" s="23"/>
      <c r="CJ976" s="23"/>
      <c r="CK976" s="23"/>
      <c r="CL976" s="23"/>
      <c r="CO976" s="30"/>
    </row>
    <row r="977" spans="27:93" ht="12.75" x14ac:dyDescent="0.2"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/>
      <c r="BB977" s="23"/>
      <c r="BC977" s="23"/>
      <c r="BD977" s="23"/>
      <c r="BE977" s="23"/>
      <c r="BF977" s="23"/>
      <c r="BG977" s="23"/>
      <c r="BH977" s="23"/>
      <c r="BI977" s="23"/>
      <c r="BJ977" s="23"/>
      <c r="BK977" s="23"/>
      <c r="BL977" s="23"/>
      <c r="BM977" s="23"/>
      <c r="BN977" s="23"/>
      <c r="BO977" s="23"/>
      <c r="BP977" s="23"/>
      <c r="BQ977" s="23"/>
      <c r="BR977" s="23"/>
      <c r="BS977" s="23"/>
      <c r="BT977" s="23"/>
      <c r="BU977" s="23"/>
      <c r="BV977" s="23"/>
      <c r="BW977" s="23"/>
      <c r="BX977" s="23"/>
      <c r="BY977" s="23"/>
      <c r="BZ977" s="23"/>
      <c r="CA977" s="23"/>
      <c r="CB977" s="23"/>
      <c r="CC977" s="23"/>
      <c r="CD977" s="23"/>
      <c r="CE977" s="23"/>
      <c r="CF977" s="23"/>
      <c r="CG977" s="23"/>
      <c r="CH977" s="23"/>
      <c r="CI977" s="23"/>
      <c r="CJ977" s="23"/>
      <c r="CK977" s="23"/>
      <c r="CL977" s="23"/>
      <c r="CO977" s="30"/>
    </row>
    <row r="978" spans="27:93" ht="12.75" x14ac:dyDescent="0.2"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  <c r="AW978" s="23"/>
      <c r="AX978" s="23"/>
      <c r="AY978" s="23"/>
      <c r="AZ978" s="23"/>
      <c r="BA978" s="23"/>
      <c r="BB978" s="23"/>
      <c r="BC978" s="23"/>
      <c r="BD978" s="23"/>
      <c r="BE978" s="23"/>
      <c r="BF978" s="23"/>
      <c r="BG978" s="23"/>
      <c r="BH978" s="23"/>
      <c r="BI978" s="23"/>
      <c r="BJ978" s="23"/>
      <c r="BK978" s="23"/>
      <c r="BL978" s="23"/>
      <c r="BM978" s="23"/>
      <c r="BN978" s="23"/>
      <c r="BO978" s="23"/>
      <c r="BP978" s="23"/>
      <c r="BQ978" s="23"/>
      <c r="BR978" s="23"/>
      <c r="BS978" s="23"/>
      <c r="BT978" s="23"/>
      <c r="BU978" s="23"/>
      <c r="BV978" s="23"/>
      <c r="BW978" s="23"/>
      <c r="BX978" s="23"/>
      <c r="BY978" s="23"/>
      <c r="BZ978" s="23"/>
      <c r="CA978" s="23"/>
      <c r="CB978" s="23"/>
      <c r="CC978" s="23"/>
      <c r="CD978" s="23"/>
      <c r="CE978" s="23"/>
      <c r="CF978" s="23"/>
      <c r="CG978" s="23"/>
      <c r="CH978" s="23"/>
      <c r="CI978" s="23"/>
      <c r="CJ978" s="23"/>
      <c r="CK978" s="23"/>
      <c r="CL978" s="23"/>
      <c r="CO978" s="30"/>
    </row>
    <row r="979" spans="27:93" ht="12.75" x14ac:dyDescent="0.2"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  <c r="AW979" s="23"/>
      <c r="AX979" s="23"/>
      <c r="AY979" s="23"/>
      <c r="AZ979" s="23"/>
      <c r="BA979" s="23"/>
      <c r="BB979" s="23"/>
      <c r="BC979" s="23"/>
      <c r="BD979" s="23"/>
      <c r="BE979" s="23"/>
      <c r="BF979" s="23"/>
      <c r="BG979" s="23"/>
      <c r="BH979" s="23"/>
      <c r="BI979" s="23"/>
      <c r="BJ979" s="23"/>
      <c r="BK979" s="23"/>
      <c r="BL979" s="23"/>
      <c r="BM979" s="23"/>
      <c r="BN979" s="23"/>
      <c r="BO979" s="23"/>
      <c r="BP979" s="23"/>
      <c r="BQ979" s="23"/>
      <c r="BR979" s="23"/>
      <c r="BS979" s="23"/>
      <c r="BT979" s="23"/>
      <c r="BU979" s="23"/>
      <c r="BV979" s="23"/>
      <c r="BW979" s="23"/>
      <c r="BX979" s="23"/>
      <c r="BY979" s="23"/>
      <c r="BZ979" s="23"/>
      <c r="CA979" s="23"/>
      <c r="CB979" s="23"/>
      <c r="CC979" s="23"/>
      <c r="CD979" s="23"/>
      <c r="CE979" s="23"/>
      <c r="CF979" s="23"/>
      <c r="CG979" s="23"/>
      <c r="CH979" s="23"/>
      <c r="CI979" s="23"/>
      <c r="CJ979" s="23"/>
      <c r="CK979" s="23"/>
      <c r="CL979" s="23"/>
      <c r="CO979" s="30"/>
    </row>
    <row r="980" spans="27:93" ht="12.75" x14ac:dyDescent="0.2"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  <c r="AU980" s="23"/>
      <c r="AV980" s="23"/>
      <c r="AW980" s="23"/>
      <c r="AX980" s="23"/>
      <c r="AY980" s="23"/>
      <c r="AZ980" s="23"/>
      <c r="BA980" s="23"/>
      <c r="BB980" s="23"/>
      <c r="BC980" s="23"/>
      <c r="BD980" s="23"/>
      <c r="BE980" s="23"/>
      <c r="BF980" s="23"/>
      <c r="BG980" s="23"/>
      <c r="BH980" s="23"/>
      <c r="BI980" s="23"/>
      <c r="BJ980" s="23"/>
      <c r="BK980" s="23"/>
      <c r="BL980" s="23"/>
      <c r="BM980" s="23"/>
      <c r="BN980" s="23"/>
      <c r="BO980" s="23"/>
      <c r="BP980" s="23"/>
      <c r="BQ980" s="23"/>
      <c r="BR980" s="23"/>
      <c r="BS980" s="23"/>
      <c r="BT980" s="23"/>
      <c r="BU980" s="23"/>
      <c r="BV980" s="23"/>
      <c r="BW980" s="23"/>
      <c r="BX980" s="23"/>
      <c r="BY980" s="23"/>
      <c r="BZ980" s="23"/>
      <c r="CA980" s="23"/>
      <c r="CB980" s="23"/>
      <c r="CC980" s="23"/>
      <c r="CD980" s="23"/>
      <c r="CE980" s="23"/>
      <c r="CF980" s="23"/>
      <c r="CG980" s="23"/>
      <c r="CH980" s="23"/>
      <c r="CI980" s="23"/>
      <c r="CJ980" s="23"/>
      <c r="CK980" s="23"/>
      <c r="CL980" s="23"/>
      <c r="CO980" s="30"/>
    </row>
    <row r="981" spans="27:93" ht="12.75" x14ac:dyDescent="0.2"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  <c r="AS981" s="23"/>
      <c r="AT981" s="23"/>
      <c r="AU981" s="23"/>
      <c r="AV981" s="23"/>
      <c r="AW981" s="23"/>
      <c r="AX981" s="23"/>
      <c r="AY981" s="23"/>
      <c r="AZ981" s="23"/>
      <c r="BA981" s="23"/>
      <c r="BB981" s="23"/>
      <c r="BC981" s="23"/>
      <c r="BD981" s="23"/>
      <c r="BE981" s="23"/>
      <c r="BF981" s="23"/>
      <c r="BG981" s="23"/>
      <c r="BH981" s="23"/>
      <c r="BI981" s="23"/>
      <c r="BJ981" s="23"/>
      <c r="BK981" s="23"/>
      <c r="BL981" s="23"/>
      <c r="BM981" s="23"/>
      <c r="BN981" s="23"/>
      <c r="BO981" s="23"/>
      <c r="BP981" s="23"/>
      <c r="BQ981" s="23"/>
      <c r="BR981" s="23"/>
      <c r="BS981" s="23"/>
      <c r="BT981" s="23"/>
      <c r="BU981" s="23"/>
      <c r="BV981" s="23"/>
      <c r="BW981" s="23"/>
      <c r="BX981" s="23"/>
      <c r="BY981" s="23"/>
      <c r="BZ981" s="23"/>
      <c r="CA981" s="23"/>
      <c r="CB981" s="23"/>
      <c r="CC981" s="23"/>
      <c r="CD981" s="23"/>
      <c r="CE981" s="23"/>
      <c r="CF981" s="23"/>
      <c r="CG981" s="23"/>
      <c r="CH981" s="23"/>
      <c r="CI981" s="23"/>
      <c r="CJ981" s="23"/>
      <c r="CK981" s="23"/>
      <c r="CL981" s="23"/>
      <c r="CO981" s="30"/>
    </row>
    <row r="982" spans="27:93" ht="12.75" x14ac:dyDescent="0.2"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  <c r="AS982" s="23"/>
      <c r="AT982" s="23"/>
      <c r="AU982" s="23"/>
      <c r="AV982" s="23"/>
      <c r="AW982" s="23"/>
      <c r="AX982" s="23"/>
      <c r="AY982" s="23"/>
      <c r="AZ982" s="23"/>
      <c r="BA982" s="23"/>
      <c r="BB982" s="23"/>
      <c r="BC982" s="23"/>
      <c r="BD982" s="23"/>
      <c r="BE982" s="23"/>
      <c r="BF982" s="23"/>
      <c r="BG982" s="23"/>
      <c r="BH982" s="23"/>
      <c r="BI982" s="23"/>
      <c r="BJ982" s="23"/>
      <c r="BK982" s="23"/>
      <c r="BL982" s="23"/>
      <c r="BM982" s="23"/>
      <c r="BN982" s="23"/>
      <c r="BO982" s="23"/>
      <c r="BP982" s="23"/>
      <c r="BQ982" s="23"/>
      <c r="BR982" s="23"/>
      <c r="BS982" s="23"/>
      <c r="BT982" s="23"/>
      <c r="BU982" s="23"/>
      <c r="BV982" s="23"/>
      <c r="BW982" s="23"/>
      <c r="BX982" s="23"/>
      <c r="BY982" s="23"/>
      <c r="BZ982" s="23"/>
      <c r="CA982" s="23"/>
      <c r="CB982" s="23"/>
      <c r="CC982" s="23"/>
      <c r="CD982" s="23"/>
      <c r="CE982" s="23"/>
      <c r="CF982" s="23"/>
      <c r="CG982" s="23"/>
      <c r="CH982" s="23"/>
      <c r="CI982" s="23"/>
      <c r="CJ982" s="23"/>
      <c r="CK982" s="23"/>
      <c r="CL982" s="23"/>
      <c r="CO982" s="30"/>
    </row>
    <row r="983" spans="27:93" ht="12.75" x14ac:dyDescent="0.2"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/>
      <c r="AT983" s="23"/>
      <c r="AU983" s="23"/>
      <c r="AV983" s="23"/>
      <c r="AW983" s="23"/>
      <c r="AX983" s="23"/>
      <c r="AY983" s="23"/>
      <c r="AZ983" s="23"/>
      <c r="BA983" s="23"/>
      <c r="BB983" s="23"/>
      <c r="BC983" s="23"/>
      <c r="BD983" s="23"/>
      <c r="BE983" s="23"/>
      <c r="BF983" s="23"/>
      <c r="BG983" s="23"/>
      <c r="BH983" s="23"/>
      <c r="BI983" s="23"/>
      <c r="BJ983" s="23"/>
      <c r="BK983" s="23"/>
      <c r="BL983" s="23"/>
      <c r="BM983" s="23"/>
      <c r="BN983" s="23"/>
      <c r="BO983" s="23"/>
      <c r="BP983" s="23"/>
      <c r="BQ983" s="23"/>
      <c r="BR983" s="23"/>
      <c r="BS983" s="23"/>
      <c r="BT983" s="23"/>
      <c r="BU983" s="23"/>
      <c r="BV983" s="23"/>
      <c r="BW983" s="23"/>
      <c r="BX983" s="23"/>
      <c r="BY983" s="23"/>
      <c r="BZ983" s="23"/>
      <c r="CA983" s="23"/>
      <c r="CB983" s="23"/>
      <c r="CC983" s="23"/>
      <c r="CD983" s="23"/>
      <c r="CE983" s="23"/>
      <c r="CF983" s="23"/>
      <c r="CG983" s="23"/>
      <c r="CH983" s="23"/>
      <c r="CI983" s="23"/>
      <c r="CJ983" s="23"/>
      <c r="CK983" s="23"/>
      <c r="CL983" s="23"/>
      <c r="CO983" s="30"/>
    </row>
    <row r="984" spans="27:93" ht="12.75" x14ac:dyDescent="0.2"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/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/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3"/>
      <c r="CA984" s="23"/>
      <c r="CB984" s="23"/>
      <c r="CC984" s="23"/>
      <c r="CD984" s="23"/>
      <c r="CE984" s="23"/>
      <c r="CF984" s="23"/>
      <c r="CG984" s="23"/>
      <c r="CH984" s="23"/>
      <c r="CI984" s="23"/>
      <c r="CJ984" s="23"/>
      <c r="CK984" s="23"/>
      <c r="CL984" s="23"/>
      <c r="CO984" s="30"/>
    </row>
    <row r="985" spans="27:93" ht="12.75" x14ac:dyDescent="0.2"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/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/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3"/>
      <c r="CA985" s="23"/>
      <c r="CB985" s="23"/>
      <c r="CC985" s="23"/>
      <c r="CD985" s="23"/>
      <c r="CE985" s="23"/>
      <c r="CF985" s="23"/>
      <c r="CG985" s="23"/>
      <c r="CH985" s="23"/>
      <c r="CI985" s="23"/>
      <c r="CJ985" s="23"/>
      <c r="CK985" s="23"/>
      <c r="CL985" s="23"/>
      <c r="CO985" s="30"/>
    </row>
    <row r="986" spans="27:93" ht="12.75" x14ac:dyDescent="0.2"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  <c r="AS986" s="23"/>
      <c r="AT986" s="23"/>
      <c r="AU986" s="23"/>
      <c r="AV986" s="23"/>
      <c r="AW986" s="23"/>
      <c r="AX986" s="23"/>
      <c r="AY986" s="23"/>
      <c r="AZ986" s="23"/>
      <c r="BA986" s="23"/>
      <c r="BB986" s="23"/>
      <c r="BC986" s="23"/>
      <c r="BD986" s="23"/>
      <c r="BE986" s="23"/>
      <c r="BF986" s="23"/>
      <c r="BG986" s="23"/>
      <c r="BH986" s="23"/>
      <c r="BI986" s="23"/>
      <c r="BJ986" s="23"/>
      <c r="BK986" s="23"/>
      <c r="BL986" s="23"/>
      <c r="BM986" s="23"/>
      <c r="BN986" s="23"/>
      <c r="BO986" s="23"/>
      <c r="BP986" s="23"/>
      <c r="BQ986" s="23"/>
      <c r="BR986" s="23"/>
      <c r="BS986" s="23"/>
      <c r="BT986" s="23"/>
      <c r="BU986" s="23"/>
      <c r="BV986" s="23"/>
      <c r="BW986" s="23"/>
      <c r="BX986" s="23"/>
      <c r="BY986" s="23"/>
      <c r="BZ986" s="23"/>
      <c r="CA986" s="23"/>
      <c r="CB986" s="23"/>
      <c r="CC986" s="23"/>
      <c r="CD986" s="23"/>
      <c r="CE986" s="23"/>
      <c r="CF986" s="23"/>
      <c r="CG986" s="23"/>
      <c r="CH986" s="23"/>
      <c r="CI986" s="23"/>
      <c r="CJ986" s="23"/>
      <c r="CK986" s="23"/>
      <c r="CL986" s="23"/>
      <c r="CO986" s="30"/>
    </row>
    <row r="987" spans="27:93" ht="12.75" x14ac:dyDescent="0.2"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/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/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3"/>
      <c r="CA987" s="23"/>
      <c r="CB987" s="23"/>
      <c r="CC987" s="23"/>
      <c r="CD987" s="23"/>
      <c r="CE987" s="23"/>
      <c r="CF987" s="23"/>
      <c r="CG987" s="23"/>
      <c r="CH987" s="23"/>
      <c r="CI987" s="23"/>
      <c r="CJ987" s="23"/>
      <c r="CK987" s="23"/>
      <c r="CL987" s="23"/>
      <c r="CO987" s="30"/>
    </row>
    <row r="988" spans="27:93" ht="12.75" x14ac:dyDescent="0.2"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  <c r="AR988" s="23"/>
      <c r="AS988" s="23"/>
      <c r="AT988" s="23"/>
      <c r="AU988" s="23"/>
      <c r="AV988" s="23"/>
      <c r="AW988" s="23"/>
      <c r="AX988" s="23"/>
      <c r="AY988" s="23"/>
      <c r="AZ988" s="23"/>
      <c r="BA988" s="23"/>
      <c r="BB988" s="23"/>
      <c r="BC988" s="23"/>
      <c r="BD988" s="23"/>
      <c r="BE988" s="23"/>
      <c r="BF988" s="23"/>
      <c r="BG988" s="23"/>
      <c r="BH988" s="23"/>
      <c r="BI988" s="23"/>
      <c r="BJ988" s="23"/>
      <c r="BK988" s="23"/>
      <c r="BL988" s="23"/>
      <c r="BM988" s="23"/>
      <c r="BN988" s="23"/>
      <c r="BO988" s="23"/>
      <c r="BP988" s="23"/>
      <c r="BQ988" s="23"/>
      <c r="BR988" s="23"/>
      <c r="BS988" s="23"/>
      <c r="BT988" s="23"/>
      <c r="BU988" s="23"/>
      <c r="BV988" s="23"/>
      <c r="BW988" s="23"/>
      <c r="BX988" s="23"/>
      <c r="BY988" s="23"/>
      <c r="BZ988" s="23"/>
      <c r="CA988" s="23"/>
      <c r="CB988" s="23"/>
      <c r="CC988" s="23"/>
      <c r="CD988" s="23"/>
      <c r="CE988" s="23"/>
      <c r="CF988" s="23"/>
      <c r="CG988" s="23"/>
      <c r="CH988" s="23"/>
      <c r="CI988" s="23"/>
      <c r="CJ988" s="23"/>
      <c r="CK988" s="23"/>
      <c r="CL988" s="23"/>
      <c r="CO988" s="30"/>
    </row>
    <row r="989" spans="27:93" ht="12.75" x14ac:dyDescent="0.2"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  <c r="AS989" s="23"/>
      <c r="AT989" s="23"/>
      <c r="AU989" s="23"/>
      <c r="AV989" s="23"/>
      <c r="AW989" s="23"/>
      <c r="AX989" s="23"/>
      <c r="AY989" s="23"/>
      <c r="AZ989" s="23"/>
      <c r="BA989" s="23"/>
      <c r="BB989" s="23"/>
      <c r="BC989" s="23"/>
      <c r="BD989" s="23"/>
      <c r="BE989" s="23"/>
      <c r="BF989" s="23"/>
      <c r="BG989" s="23"/>
      <c r="BH989" s="23"/>
      <c r="BI989" s="23"/>
      <c r="BJ989" s="23"/>
      <c r="BK989" s="23"/>
      <c r="BL989" s="23"/>
      <c r="BM989" s="23"/>
      <c r="BN989" s="23"/>
      <c r="BO989" s="23"/>
      <c r="BP989" s="23"/>
      <c r="BQ989" s="23"/>
      <c r="BR989" s="23"/>
      <c r="BS989" s="23"/>
      <c r="BT989" s="23"/>
      <c r="BU989" s="23"/>
      <c r="BV989" s="23"/>
      <c r="BW989" s="23"/>
      <c r="BX989" s="23"/>
      <c r="BY989" s="23"/>
      <c r="BZ989" s="23"/>
      <c r="CA989" s="23"/>
      <c r="CB989" s="23"/>
      <c r="CC989" s="23"/>
      <c r="CD989" s="23"/>
      <c r="CE989" s="23"/>
      <c r="CF989" s="23"/>
      <c r="CG989" s="23"/>
      <c r="CH989" s="23"/>
      <c r="CI989" s="23"/>
      <c r="CJ989" s="23"/>
      <c r="CK989" s="23"/>
      <c r="CL989" s="23"/>
      <c r="CO989" s="30"/>
    </row>
    <row r="990" spans="27:93" ht="12.75" x14ac:dyDescent="0.2"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  <c r="AR990" s="23"/>
      <c r="AS990" s="23"/>
      <c r="AT990" s="23"/>
      <c r="AU990" s="23"/>
      <c r="AV990" s="23"/>
      <c r="AW990" s="23"/>
      <c r="AX990" s="23"/>
      <c r="AY990" s="23"/>
      <c r="AZ990" s="23"/>
      <c r="BA990" s="23"/>
      <c r="BB990" s="23"/>
      <c r="BC990" s="23"/>
      <c r="BD990" s="23"/>
      <c r="BE990" s="23"/>
      <c r="BF990" s="23"/>
      <c r="BG990" s="23"/>
      <c r="BH990" s="23"/>
      <c r="BI990" s="23"/>
      <c r="BJ990" s="23"/>
      <c r="BK990" s="23"/>
      <c r="BL990" s="23"/>
      <c r="BM990" s="23"/>
      <c r="BN990" s="23"/>
      <c r="BO990" s="23"/>
      <c r="BP990" s="23"/>
      <c r="BQ990" s="23"/>
      <c r="BR990" s="23"/>
      <c r="BS990" s="23"/>
      <c r="BT990" s="23"/>
      <c r="BU990" s="23"/>
      <c r="BV990" s="23"/>
      <c r="BW990" s="23"/>
      <c r="BX990" s="23"/>
      <c r="BY990" s="23"/>
      <c r="BZ990" s="23"/>
      <c r="CA990" s="23"/>
      <c r="CB990" s="23"/>
      <c r="CC990" s="23"/>
      <c r="CD990" s="23"/>
      <c r="CE990" s="23"/>
      <c r="CF990" s="23"/>
      <c r="CG990" s="23"/>
      <c r="CH990" s="23"/>
      <c r="CI990" s="23"/>
      <c r="CJ990" s="23"/>
      <c r="CK990" s="23"/>
      <c r="CL990" s="23"/>
      <c r="CO990" s="30"/>
    </row>
    <row r="991" spans="27:93" ht="12.75" x14ac:dyDescent="0.2"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  <c r="AR991" s="23"/>
      <c r="AS991" s="23"/>
      <c r="AT991" s="23"/>
      <c r="AU991" s="23"/>
      <c r="AV991" s="23"/>
      <c r="AW991" s="23"/>
      <c r="AX991" s="23"/>
      <c r="AY991" s="23"/>
      <c r="AZ991" s="23"/>
      <c r="BA991" s="23"/>
      <c r="BB991" s="23"/>
      <c r="BC991" s="23"/>
      <c r="BD991" s="23"/>
      <c r="BE991" s="23"/>
      <c r="BF991" s="23"/>
      <c r="BG991" s="23"/>
      <c r="BH991" s="23"/>
      <c r="BI991" s="23"/>
      <c r="BJ991" s="23"/>
      <c r="BK991" s="23"/>
      <c r="BL991" s="23"/>
      <c r="BM991" s="23"/>
      <c r="BN991" s="23"/>
      <c r="BO991" s="23"/>
      <c r="BP991" s="23"/>
      <c r="BQ991" s="23"/>
      <c r="BR991" s="23"/>
      <c r="BS991" s="23"/>
      <c r="BT991" s="23"/>
      <c r="BU991" s="23"/>
      <c r="BV991" s="23"/>
      <c r="BW991" s="23"/>
      <c r="BX991" s="23"/>
      <c r="BY991" s="23"/>
      <c r="BZ991" s="23"/>
      <c r="CA991" s="23"/>
      <c r="CB991" s="23"/>
      <c r="CC991" s="23"/>
      <c r="CD991" s="23"/>
      <c r="CE991" s="23"/>
      <c r="CF991" s="23"/>
      <c r="CG991" s="23"/>
      <c r="CH991" s="23"/>
      <c r="CI991" s="23"/>
      <c r="CJ991" s="23"/>
      <c r="CK991" s="23"/>
      <c r="CL991" s="23"/>
      <c r="CO991" s="30"/>
    </row>
    <row r="992" spans="27:93" ht="12.75" x14ac:dyDescent="0.2"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  <c r="AR992" s="23"/>
      <c r="AS992" s="23"/>
      <c r="AT992" s="23"/>
      <c r="AU992" s="23"/>
      <c r="AV992" s="23"/>
      <c r="AW992" s="23"/>
      <c r="AX992" s="23"/>
      <c r="AY992" s="23"/>
      <c r="AZ992" s="23"/>
      <c r="BA992" s="23"/>
      <c r="BB992" s="23"/>
      <c r="BC992" s="23"/>
      <c r="BD992" s="23"/>
      <c r="BE992" s="23"/>
      <c r="BF992" s="23"/>
      <c r="BG992" s="23"/>
      <c r="BH992" s="23"/>
      <c r="BI992" s="23"/>
      <c r="BJ992" s="23"/>
      <c r="BK992" s="23"/>
      <c r="BL992" s="23"/>
      <c r="BM992" s="23"/>
      <c r="BN992" s="23"/>
      <c r="BO992" s="23"/>
      <c r="BP992" s="23"/>
      <c r="BQ992" s="23"/>
      <c r="BR992" s="23"/>
      <c r="BS992" s="23"/>
      <c r="BT992" s="23"/>
      <c r="BU992" s="23"/>
      <c r="BV992" s="23"/>
      <c r="BW992" s="23"/>
      <c r="BX992" s="23"/>
      <c r="BY992" s="23"/>
      <c r="BZ992" s="23"/>
      <c r="CA992" s="23"/>
      <c r="CB992" s="23"/>
      <c r="CC992" s="23"/>
      <c r="CD992" s="23"/>
      <c r="CE992" s="23"/>
      <c r="CF992" s="23"/>
      <c r="CG992" s="23"/>
      <c r="CH992" s="23"/>
      <c r="CI992" s="23"/>
      <c r="CJ992" s="23"/>
      <c r="CK992" s="23"/>
      <c r="CL992" s="23"/>
      <c r="CO992" s="30"/>
    </row>
    <row r="993" spans="27:93" ht="12.75" x14ac:dyDescent="0.2"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  <c r="AR993" s="23"/>
      <c r="AS993" s="23"/>
      <c r="AT993" s="23"/>
      <c r="AU993" s="23"/>
      <c r="AV993" s="23"/>
      <c r="AW993" s="23"/>
      <c r="AX993" s="23"/>
      <c r="AY993" s="23"/>
      <c r="AZ993" s="23"/>
      <c r="BA993" s="23"/>
      <c r="BB993" s="23"/>
      <c r="BC993" s="23"/>
      <c r="BD993" s="23"/>
      <c r="BE993" s="23"/>
      <c r="BF993" s="23"/>
      <c r="BG993" s="23"/>
      <c r="BH993" s="23"/>
      <c r="BI993" s="23"/>
      <c r="BJ993" s="23"/>
      <c r="BK993" s="23"/>
      <c r="BL993" s="23"/>
      <c r="BM993" s="23"/>
      <c r="BN993" s="23"/>
      <c r="BO993" s="23"/>
      <c r="BP993" s="23"/>
      <c r="BQ993" s="23"/>
      <c r="BR993" s="23"/>
      <c r="BS993" s="23"/>
      <c r="BT993" s="23"/>
      <c r="BU993" s="23"/>
      <c r="BV993" s="23"/>
      <c r="BW993" s="23"/>
      <c r="BX993" s="23"/>
      <c r="BY993" s="23"/>
      <c r="BZ993" s="23"/>
      <c r="CA993" s="23"/>
      <c r="CB993" s="23"/>
      <c r="CC993" s="23"/>
      <c r="CD993" s="23"/>
      <c r="CE993" s="23"/>
      <c r="CF993" s="23"/>
      <c r="CG993" s="23"/>
      <c r="CH993" s="23"/>
      <c r="CI993" s="23"/>
      <c r="CJ993" s="23"/>
      <c r="CK993" s="23"/>
      <c r="CL993" s="23"/>
      <c r="CO993" s="30"/>
    </row>
    <row r="994" spans="27:93" ht="12.75" x14ac:dyDescent="0.2"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  <c r="AR994" s="23"/>
      <c r="AS994" s="23"/>
      <c r="AT994" s="23"/>
      <c r="AU994" s="23"/>
      <c r="AV994" s="23"/>
      <c r="AW994" s="23"/>
      <c r="AX994" s="23"/>
      <c r="AY994" s="23"/>
      <c r="AZ994" s="23"/>
      <c r="BA994" s="23"/>
      <c r="BB994" s="23"/>
      <c r="BC994" s="23"/>
      <c r="BD994" s="23"/>
      <c r="BE994" s="23"/>
      <c r="BF994" s="23"/>
      <c r="BG994" s="23"/>
      <c r="BH994" s="23"/>
      <c r="BI994" s="23"/>
      <c r="BJ994" s="23"/>
      <c r="BK994" s="23"/>
      <c r="BL994" s="23"/>
      <c r="BM994" s="23"/>
      <c r="BN994" s="23"/>
      <c r="BO994" s="23"/>
      <c r="BP994" s="23"/>
      <c r="BQ994" s="23"/>
      <c r="BR994" s="23"/>
      <c r="BS994" s="23"/>
      <c r="BT994" s="23"/>
      <c r="BU994" s="23"/>
      <c r="BV994" s="23"/>
      <c r="BW994" s="23"/>
      <c r="BX994" s="23"/>
      <c r="BY994" s="23"/>
      <c r="BZ994" s="23"/>
      <c r="CA994" s="23"/>
      <c r="CB994" s="23"/>
      <c r="CC994" s="23"/>
      <c r="CD994" s="23"/>
      <c r="CE994" s="23"/>
      <c r="CF994" s="23"/>
      <c r="CG994" s="23"/>
      <c r="CH994" s="23"/>
      <c r="CI994" s="23"/>
      <c r="CJ994" s="23"/>
      <c r="CK994" s="23"/>
      <c r="CL994" s="23"/>
      <c r="CO994" s="30"/>
    </row>
    <row r="995" spans="27:93" ht="12.75" x14ac:dyDescent="0.2"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  <c r="AR995" s="23"/>
      <c r="AS995" s="23"/>
      <c r="AT995" s="23"/>
      <c r="AU995" s="23"/>
      <c r="AV995" s="23"/>
      <c r="AW995" s="23"/>
      <c r="AX995" s="23"/>
      <c r="AY995" s="23"/>
      <c r="AZ995" s="23"/>
      <c r="BA995" s="23"/>
      <c r="BB995" s="23"/>
      <c r="BC995" s="23"/>
      <c r="BD995" s="23"/>
      <c r="BE995" s="23"/>
      <c r="BF995" s="23"/>
      <c r="BG995" s="23"/>
      <c r="BH995" s="23"/>
      <c r="BI995" s="23"/>
      <c r="BJ995" s="23"/>
      <c r="BK995" s="23"/>
      <c r="BL995" s="23"/>
      <c r="BM995" s="23"/>
      <c r="BN995" s="23"/>
      <c r="BO995" s="23"/>
      <c r="BP995" s="23"/>
      <c r="BQ995" s="23"/>
      <c r="BR995" s="23"/>
      <c r="BS995" s="23"/>
      <c r="BT995" s="23"/>
      <c r="BU995" s="23"/>
      <c r="BV995" s="23"/>
      <c r="BW995" s="23"/>
      <c r="BX995" s="23"/>
      <c r="BY995" s="23"/>
      <c r="BZ995" s="23"/>
      <c r="CA995" s="23"/>
      <c r="CB995" s="23"/>
      <c r="CC995" s="23"/>
      <c r="CD995" s="23"/>
      <c r="CE995" s="23"/>
      <c r="CF995" s="23"/>
      <c r="CG995" s="23"/>
      <c r="CH995" s="23"/>
      <c r="CI995" s="23"/>
      <c r="CJ995" s="23"/>
      <c r="CK995" s="23"/>
      <c r="CL995" s="23"/>
      <c r="CO995" s="30"/>
    </row>
    <row r="996" spans="27:93" ht="12.75" x14ac:dyDescent="0.2"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  <c r="AR996" s="23"/>
      <c r="AS996" s="23"/>
      <c r="AT996" s="23"/>
      <c r="AU996" s="23"/>
      <c r="AV996" s="23"/>
      <c r="AW996" s="23"/>
      <c r="AX996" s="23"/>
      <c r="AY996" s="23"/>
      <c r="AZ996" s="23"/>
      <c r="BA996" s="23"/>
      <c r="BB996" s="23"/>
      <c r="BC996" s="23"/>
      <c r="BD996" s="23"/>
      <c r="BE996" s="23"/>
      <c r="BF996" s="23"/>
      <c r="BG996" s="23"/>
      <c r="BH996" s="23"/>
      <c r="BI996" s="23"/>
      <c r="BJ996" s="23"/>
      <c r="BK996" s="23"/>
      <c r="BL996" s="23"/>
      <c r="BM996" s="23"/>
      <c r="BN996" s="23"/>
      <c r="BO996" s="23"/>
      <c r="BP996" s="23"/>
      <c r="BQ996" s="23"/>
      <c r="BR996" s="23"/>
      <c r="BS996" s="23"/>
      <c r="BT996" s="23"/>
      <c r="BU996" s="23"/>
      <c r="BV996" s="23"/>
      <c r="BW996" s="23"/>
      <c r="BX996" s="23"/>
      <c r="BY996" s="23"/>
      <c r="BZ996" s="23"/>
      <c r="CA996" s="23"/>
      <c r="CB996" s="23"/>
      <c r="CC996" s="23"/>
      <c r="CD996" s="23"/>
      <c r="CE996" s="23"/>
      <c r="CF996" s="23"/>
      <c r="CG996" s="23"/>
      <c r="CH996" s="23"/>
      <c r="CI996" s="23"/>
      <c r="CJ996" s="23"/>
      <c r="CK996" s="23"/>
      <c r="CL996" s="23"/>
      <c r="CO996" s="30"/>
    </row>
    <row r="997" spans="27:93" ht="12.75" x14ac:dyDescent="0.2"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  <c r="AS997" s="23"/>
      <c r="AT997" s="23"/>
      <c r="AU997" s="23"/>
      <c r="AV997" s="23"/>
      <c r="AW997" s="23"/>
      <c r="AX997" s="23"/>
      <c r="AY997" s="23"/>
      <c r="AZ997" s="23"/>
      <c r="BA997" s="23"/>
      <c r="BB997" s="23"/>
      <c r="BC997" s="23"/>
      <c r="BD997" s="23"/>
      <c r="BE997" s="23"/>
      <c r="BF997" s="23"/>
      <c r="BG997" s="23"/>
      <c r="BH997" s="23"/>
      <c r="BI997" s="23"/>
      <c r="BJ997" s="23"/>
      <c r="BK997" s="23"/>
      <c r="BL997" s="23"/>
      <c r="BM997" s="23"/>
      <c r="BN997" s="23"/>
      <c r="BO997" s="23"/>
      <c r="BP997" s="23"/>
      <c r="BQ997" s="23"/>
      <c r="BR997" s="23"/>
      <c r="BS997" s="23"/>
      <c r="BT997" s="23"/>
      <c r="BU997" s="23"/>
      <c r="BV997" s="23"/>
      <c r="BW997" s="23"/>
      <c r="BX997" s="23"/>
      <c r="BY997" s="23"/>
      <c r="BZ997" s="23"/>
      <c r="CA997" s="23"/>
      <c r="CB997" s="23"/>
      <c r="CC997" s="23"/>
      <c r="CD997" s="23"/>
      <c r="CE997" s="23"/>
      <c r="CF997" s="23"/>
      <c r="CG997" s="23"/>
      <c r="CH997" s="23"/>
      <c r="CI997" s="23"/>
      <c r="CJ997" s="23"/>
      <c r="CK997" s="23"/>
      <c r="CL997" s="23"/>
      <c r="CO997" s="30"/>
    </row>
    <row r="998" spans="27:93" ht="12.75" x14ac:dyDescent="0.2"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  <c r="AR998" s="23"/>
      <c r="AS998" s="23"/>
      <c r="AT998" s="23"/>
      <c r="AU998" s="23"/>
      <c r="AV998" s="23"/>
      <c r="AW998" s="23"/>
      <c r="AX998" s="23"/>
      <c r="AY998" s="23"/>
      <c r="AZ998" s="23"/>
      <c r="BA998" s="23"/>
      <c r="BB998" s="23"/>
      <c r="BC998" s="23"/>
      <c r="BD998" s="23"/>
      <c r="BE998" s="23"/>
      <c r="BF998" s="23"/>
      <c r="BG998" s="23"/>
      <c r="BH998" s="23"/>
      <c r="BI998" s="23"/>
      <c r="BJ998" s="23"/>
      <c r="BK998" s="23"/>
      <c r="BL998" s="23"/>
      <c r="BM998" s="23"/>
      <c r="BN998" s="23"/>
      <c r="BO998" s="23"/>
      <c r="BP998" s="23"/>
      <c r="BQ998" s="23"/>
      <c r="BR998" s="23"/>
      <c r="BS998" s="23"/>
      <c r="BT998" s="23"/>
      <c r="BU998" s="23"/>
      <c r="BV998" s="23"/>
      <c r="BW998" s="23"/>
      <c r="BX998" s="23"/>
      <c r="BY998" s="23"/>
      <c r="BZ998" s="23"/>
      <c r="CA998" s="23"/>
      <c r="CB998" s="23"/>
      <c r="CC998" s="23"/>
      <c r="CD998" s="23"/>
      <c r="CE998" s="23"/>
      <c r="CF998" s="23"/>
      <c r="CG998" s="23"/>
      <c r="CH998" s="23"/>
      <c r="CI998" s="23"/>
      <c r="CJ998" s="23"/>
      <c r="CK998" s="23"/>
      <c r="CL998" s="23"/>
      <c r="CO998" s="30"/>
    </row>
    <row r="999" spans="27:93" ht="12.75" x14ac:dyDescent="0.2"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  <c r="AS999" s="23"/>
      <c r="AT999" s="23"/>
      <c r="AU999" s="23"/>
      <c r="AV999" s="23"/>
      <c r="AW999" s="23"/>
      <c r="AX999" s="23"/>
      <c r="AY999" s="23"/>
      <c r="AZ999" s="23"/>
      <c r="BA999" s="23"/>
      <c r="BB999" s="23"/>
      <c r="BC999" s="23"/>
      <c r="BD999" s="23"/>
      <c r="BE999" s="23"/>
      <c r="BF999" s="23"/>
      <c r="BG999" s="23"/>
      <c r="BH999" s="23"/>
      <c r="BI999" s="23"/>
      <c r="BJ999" s="23"/>
      <c r="BK999" s="23"/>
      <c r="BL999" s="23"/>
      <c r="BM999" s="23"/>
      <c r="BN999" s="23"/>
      <c r="BO999" s="23"/>
      <c r="BP999" s="23"/>
      <c r="BQ999" s="23"/>
      <c r="BR999" s="23"/>
      <c r="BS999" s="23"/>
      <c r="BT999" s="23"/>
      <c r="BU999" s="23"/>
      <c r="BV999" s="23"/>
      <c r="BW999" s="23"/>
      <c r="BX999" s="23"/>
      <c r="BY999" s="23"/>
      <c r="BZ999" s="23"/>
      <c r="CA999" s="23"/>
      <c r="CB999" s="23"/>
      <c r="CC999" s="23"/>
      <c r="CD999" s="23"/>
      <c r="CE999" s="23"/>
      <c r="CF999" s="23"/>
      <c r="CG999" s="23"/>
      <c r="CH999" s="23"/>
      <c r="CI999" s="23"/>
      <c r="CJ999" s="23"/>
      <c r="CK999" s="23"/>
      <c r="CL999" s="23"/>
      <c r="CO999" s="30"/>
    </row>
    <row r="1000" spans="27:93" ht="12.75" x14ac:dyDescent="0.2"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  <c r="AL1000" s="23"/>
      <c r="AM1000" s="23"/>
      <c r="AN1000" s="23"/>
      <c r="AO1000" s="23"/>
      <c r="AP1000" s="23"/>
      <c r="AQ1000" s="23"/>
      <c r="AR1000" s="23"/>
      <c r="AS1000" s="23"/>
      <c r="AT1000" s="23"/>
      <c r="AU1000" s="23"/>
      <c r="AV1000" s="23"/>
      <c r="AW1000" s="23"/>
      <c r="AX1000" s="23"/>
      <c r="AY1000" s="23"/>
      <c r="AZ1000" s="23"/>
      <c r="BA1000" s="23"/>
      <c r="BB1000" s="23"/>
      <c r="BC1000" s="23"/>
      <c r="BD1000" s="23"/>
      <c r="BE1000" s="23"/>
      <c r="BF1000" s="23"/>
      <c r="BG1000" s="23"/>
      <c r="BH1000" s="23"/>
      <c r="BI1000" s="23"/>
      <c r="BJ1000" s="23"/>
      <c r="BK1000" s="23"/>
      <c r="BL1000" s="23"/>
      <c r="BM1000" s="23"/>
      <c r="BN1000" s="23"/>
      <c r="BO1000" s="23"/>
      <c r="BP1000" s="23"/>
      <c r="BQ1000" s="23"/>
      <c r="BR1000" s="23"/>
      <c r="BS1000" s="23"/>
      <c r="BT1000" s="23"/>
      <c r="BU1000" s="23"/>
      <c r="BV1000" s="23"/>
      <c r="BW1000" s="23"/>
      <c r="BX1000" s="23"/>
      <c r="BY1000" s="23"/>
      <c r="BZ1000" s="23"/>
      <c r="CA1000" s="23"/>
      <c r="CB1000" s="23"/>
      <c r="CC1000" s="23"/>
      <c r="CD1000" s="23"/>
      <c r="CE1000" s="23"/>
      <c r="CF1000" s="23"/>
      <c r="CG1000" s="23"/>
      <c r="CH1000" s="23"/>
      <c r="CI1000" s="23"/>
      <c r="CJ1000" s="23"/>
      <c r="CK1000" s="23"/>
      <c r="CL1000" s="23"/>
      <c r="CO1000" s="30"/>
    </row>
    <row r="1001" spans="27:93" ht="12.75" x14ac:dyDescent="0.2">
      <c r="AA1001" s="23"/>
      <c r="AB1001" s="23"/>
      <c r="AC1001" s="23"/>
      <c r="AD1001" s="23"/>
      <c r="AE1001" s="23"/>
      <c r="AF1001" s="23"/>
      <c r="AG1001" s="23"/>
      <c r="AH1001" s="23"/>
      <c r="AI1001" s="23"/>
      <c r="AJ1001" s="23"/>
      <c r="AK1001" s="23"/>
      <c r="AL1001" s="23"/>
      <c r="AM1001" s="23"/>
      <c r="AN1001" s="23"/>
      <c r="AO1001" s="23"/>
      <c r="AP1001" s="23"/>
      <c r="AQ1001" s="23"/>
      <c r="AR1001" s="23"/>
      <c r="AS1001" s="23"/>
      <c r="AT1001" s="23"/>
      <c r="AU1001" s="23"/>
      <c r="AV1001" s="23"/>
      <c r="AW1001" s="23"/>
      <c r="AX1001" s="23"/>
      <c r="AY1001" s="23"/>
      <c r="AZ1001" s="23"/>
      <c r="BA1001" s="23"/>
      <c r="BB1001" s="23"/>
      <c r="BC1001" s="23"/>
      <c r="BD1001" s="23"/>
      <c r="BE1001" s="23"/>
      <c r="BF1001" s="23"/>
      <c r="BG1001" s="23"/>
      <c r="BH1001" s="23"/>
      <c r="BI1001" s="23"/>
      <c r="BJ1001" s="23"/>
      <c r="BK1001" s="23"/>
      <c r="BL1001" s="23"/>
      <c r="BM1001" s="23"/>
      <c r="BN1001" s="23"/>
      <c r="BO1001" s="23"/>
      <c r="BP1001" s="23"/>
      <c r="BQ1001" s="23"/>
      <c r="BR1001" s="23"/>
      <c r="BS1001" s="23"/>
      <c r="BT1001" s="23"/>
      <c r="BU1001" s="23"/>
      <c r="BV1001" s="23"/>
      <c r="BW1001" s="23"/>
      <c r="BX1001" s="23"/>
      <c r="BY1001" s="23"/>
      <c r="BZ1001" s="23"/>
      <c r="CA1001" s="23"/>
      <c r="CB1001" s="23"/>
      <c r="CC1001" s="23"/>
      <c r="CD1001" s="23"/>
      <c r="CE1001" s="23"/>
      <c r="CF1001" s="23"/>
      <c r="CG1001" s="23"/>
      <c r="CH1001" s="23"/>
      <c r="CI1001" s="23"/>
      <c r="CJ1001" s="23"/>
      <c r="CK1001" s="23"/>
      <c r="CL1001" s="23"/>
      <c r="CO1001" s="30"/>
    </row>
    <row r="1002" spans="27:93" ht="12.75" x14ac:dyDescent="0.2">
      <c r="AA1002" s="23"/>
      <c r="AB1002" s="23"/>
      <c r="AC1002" s="23"/>
      <c r="AD1002" s="23"/>
      <c r="AE1002" s="23"/>
      <c r="AF1002" s="23"/>
      <c r="AG1002" s="23"/>
      <c r="AH1002" s="23"/>
      <c r="AI1002" s="23"/>
      <c r="AJ1002" s="23"/>
      <c r="AK1002" s="23"/>
      <c r="AL1002" s="23"/>
      <c r="AM1002" s="23"/>
      <c r="AN1002" s="23"/>
      <c r="AO1002" s="23"/>
      <c r="AP1002" s="23"/>
      <c r="AQ1002" s="23"/>
      <c r="AR1002" s="23"/>
      <c r="AS1002" s="23"/>
      <c r="AT1002" s="23"/>
      <c r="AU1002" s="23"/>
      <c r="AV1002" s="23"/>
      <c r="AW1002" s="23"/>
      <c r="AX1002" s="23"/>
      <c r="AY1002" s="23"/>
      <c r="AZ1002" s="23"/>
      <c r="BA1002" s="23"/>
      <c r="BB1002" s="23"/>
      <c r="BC1002" s="23"/>
      <c r="BD1002" s="23"/>
      <c r="BE1002" s="23"/>
      <c r="BF1002" s="23"/>
      <c r="BG1002" s="23"/>
      <c r="BH1002" s="23"/>
      <c r="BI1002" s="23"/>
      <c r="BJ1002" s="23"/>
      <c r="BK1002" s="23"/>
      <c r="BL1002" s="23"/>
      <c r="BM1002" s="23"/>
      <c r="BN1002" s="23"/>
      <c r="BO1002" s="23"/>
      <c r="BP1002" s="23"/>
      <c r="BQ1002" s="23"/>
      <c r="BR1002" s="23"/>
      <c r="BS1002" s="23"/>
      <c r="BT1002" s="23"/>
      <c r="BU1002" s="23"/>
      <c r="BV1002" s="23"/>
      <c r="BW1002" s="23"/>
      <c r="BX1002" s="23"/>
      <c r="BY1002" s="23"/>
      <c r="BZ1002" s="23"/>
      <c r="CA1002" s="23"/>
      <c r="CB1002" s="23"/>
      <c r="CC1002" s="23"/>
      <c r="CD1002" s="23"/>
      <c r="CE1002" s="23"/>
      <c r="CF1002" s="23"/>
      <c r="CG1002" s="23"/>
      <c r="CH1002" s="23"/>
      <c r="CI1002" s="23"/>
      <c r="CJ1002" s="23"/>
      <c r="CK1002" s="23"/>
      <c r="CL1002" s="23"/>
      <c r="CO1002" s="30"/>
    </row>
    <row r="1003" spans="27:93" ht="12.75" x14ac:dyDescent="0.2">
      <c r="AA1003" s="23"/>
      <c r="AB1003" s="23"/>
      <c r="AC1003" s="23"/>
      <c r="AD1003" s="23"/>
      <c r="AE1003" s="23"/>
      <c r="AF1003" s="23"/>
      <c r="AG1003" s="23"/>
      <c r="AH1003" s="23"/>
      <c r="AI1003" s="23"/>
      <c r="AJ1003" s="23"/>
      <c r="AK1003" s="23"/>
      <c r="AL1003" s="23"/>
      <c r="AM1003" s="23"/>
      <c r="AN1003" s="23"/>
      <c r="AO1003" s="23"/>
      <c r="AP1003" s="23"/>
      <c r="AQ1003" s="23"/>
      <c r="AR1003" s="23"/>
      <c r="AS1003" s="23"/>
      <c r="AT1003" s="23"/>
      <c r="AU1003" s="23"/>
      <c r="AV1003" s="23"/>
      <c r="AW1003" s="23"/>
      <c r="AX1003" s="23"/>
      <c r="AY1003" s="23"/>
      <c r="AZ1003" s="23"/>
      <c r="BA1003" s="23"/>
      <c r="BB1003" s="23"/>
      <c r="BC1003" s="23"/>
      <c r="BD1003" s="23"/>
      <c r="BE1003" s="23"/>
      <c r="BF1003" s="23"/>
      <c r="BG1003" s="23"/>
      <c r="BH1003" s="23"/>
      <c r="BI1003" s="23"/>
      <c r="BJ1003" s="23"/>
      <c r="BK1003" s="23"/>
      <c r="BL1003" s="23"/>
      <c r="BM1003" s="23"/>
      <c r="BN1003" s="23"/>
      <c r="BO1003" s="23"/>
      <c r="BP1003" s="23"/>
      <c r="BQ1003" s="23"/>
      <c r="BR1003" s="23"/>
      <c r="BS1003" s="23"/>
      <c r="BT1003" s="23"/>
      <c r="BU1003" s="23"/>
      <c r="BV1003" s="23"/>
      <c r="BW1003" s="23"/>
      <c r="BX1003" s="23"/>
      <c r="BY1003" s="23"/>
      <c r="BZ1003" s="23"/>
      <c r="CA1003" s="23"/>
      <c r="CB1003" s="23"/>
      <c r="CC1003" s="23"/>
      <c r="CD1003" s="23"/>
      <c r="CE1003" s="23"/>
      <c r="CF1003" s="23"/>
      <c r="CG1003" s="23"/>
      <c r="CH1003" s="23"/>
      <c r="CI1003" s="23"/>
      <c r="CJ1003" s="23"/>
      <c r="CK1003" s="23"/>
      <c r="CL1003" s="23"/>
      <c r="CO1003" s="30"/>
    </row>
    <row r="1004" spans="27:93" ht="12.75" x14ac:dyDescent="0.2">
      <c r="AA1004" s="23"/>
      <c r="AB1004" s="23"/>
      <c r="AC1004" s="23"/>
      <c r="AD1004" s="23"/>
      <c r="AE1004" s="23"/>
      <c r="AF1004" s="23"/>
      <c r="AG1004" s="23"/>
      <c r="AH1004" s="23"/>
      <c r="AI1004" s="23"/>
      <c r="AJ1004" s="23"/>
      <c r="AK1004" s="23"/>
      <c r="AL1004" s="23"/>
      <c r="AM1004" s="23"/>
      <c r="AN1004" s="23"/>
      <c r="AO1004" s="23"/>
      <c r="AP1004" s="23"/>
      <c r="AQ1004" s="23"/>
      <c r="AR1004" s="23"/>
      <c r="AS1004" s="23"/>
      <c r="AT1004" s="23"/>
      <c r="AU1004" s="23"/>
      <c r="AV1004" s="23"/>
      <c r="AW1004" s="23"/>
      <c r="AX1004" s="23"/>
      <c r="AY1004" s="23"/>
      <c r="AZ1004" s="23"/>
      <c r="BA1004" s="23"/>
      <c r="BB1004" s="23"/>
      <c r="BC1004" s="23"/>
      <c r="BD1004" s="23"/>
      <c r="BE1004" s="23"/>
      <c r="BF1004" s="23"/>
      <c r="BG1004" s="23"/>
      <c r="BH1004" s="23"/>
      <c r="BI1004" s="23"/>
      <c r="BJ1004" s="23"/>
      <c r="BK1004" s="23"/>
      <c r="BL1004" s="23"/>
      <c r="BM1004" s="23"/>
      <c r="BN1004" s="23"/>
      <c r="BO1004" s="23"/>
      <c r="BP1004" s="23"/>
      <c r="BQ1004" s="23"/>
      <c r="BR1004" s="23"/>
      <c r="BS1004" s="23"/>
      <c r="BT1004" s="23"/>
      <c r="BU1004" s="23"/>
      <c r="BV1004" s="23"/>
      <c r="BW1004" s="23"/>
      <c r="BX1004" s="23"/>
      <c r="BY1004" s="23"/>
      <c r="BZ1004" s="23"/>
      <c r="CA1004" s="23"/>
      <c r="CB1004" s="23"/>
      <c r="CC1004" s="23"/>
      <c r="CD1004" s="23"/>
      <c r="CE1004" s="23"/>
      <c r="CF1004" s="23"/>
      <c r="CG1004" s="23"/>
      <c r="CH1004" s="23"/>
      <c r="CI1004" s="23"/>
      <c r="CJ1004" s="23"/>
      <c r="CK1004" s="23"/>
      <c r="CL1004" s="23"/>
      <c r="CO1004" s="30"/>
    </row>
    <row r="1005" spans="27:93" ht="12.75" x14ac:dyDescent="0.2">
      <c r="AA1005" s="23"/>
      <c r="AB1005" s="23"/>
      <c r="AC1005" s="23"/>
      <c r="AD1005" s="23"/>
      <c r="AE1005" s="23"/>
      <c r="AF1005" s="23"/>
      <c r="AG1005" s="23"/>
      <c r="AH1005" s="23"/>
      <c r="AI1005" s="23"/>
      <c r="AJ1005" s="23"/>
      <c r="AK1005" s="23"/>
      <c r="AL1005" s="23"/>
      <c r="AM1005" s="23"/>
      <c r="AN1005" s="23"/>
      <c r="AO1005" s="23"/>
      <c r="AP1005" s="23"/>
      <c r="AQ1005" s="23"/>
      <c r="AR1005" s="23"/>
      <c r="AS1005" s="23"/>
      <c r="AT1005" s="23"/>
      <c r="AU1005" s="23"/>
      <c r="AV1005" s="23"/>
      <c r="AW1005" s="23"/>
      <c r="AX1005" s="23"/>
      <c r="AY1005" s="23"/>
      <c r="AZ1005" s="23"/>
      <c r="BA1005" s="23"/>
      <c r="BB1005" s="23"/>
      <c r="BC1005" s="23"/>
      <c r="BD1005" s="23"/>
      <c r="BE1005" s="23"/>
      <c r="BF1005" s="23"/>
      <c r="BG1005" s="23"/>
      <c r="BH1005" s="23"/>
      <c r="BI1005" s="23"/>
      <c r="BJ1005" s="23"/>
      <c r="BK1005" s="23"/>
      <c r="BL1005" s="23"/>
      <c r="BM1005" s="23"/>
      <c r="BN1005" s="23"/>
      <c r="BO1005" s="23"/>
      <c r="BP1005" s="23"/>
      <c r="BQ1005" s="23"/>
      <c r="BR1005" s="23"/>
      <c r="BS1005" s="23"/>
      <c r="BT1005" s="23"/>
      <c r="BU1005" s="23"/>
      <c r="BV1005" s="23"/>
      <c r="BW1005" s="23"/>
      <c r="BX1005" s="23"/>
      <c r="BY1005" s="23"/>
      <c r="BZ1005" s="23"/>
      <c r="CA1005" s="23"/>
      <c r="CB1005" s="23"/>
      <c r="CC1005" s="23"/>
      <c r="CD1005" s="23"/>
      <c r="CE1005" s="23"/>
      <c r="CF1005" s="23"/>
      <c r="CG1005" s="23"/>
      <c r="CH1005" s="23"/>
      <c r="CI1005" s="23"/>
      <c r="CJ1005" s="23"/>
      <c r="CK1005" s="23"/>
      <c r="CL1005" s="23"/>
      <c r="CO1005" s="30"/>
    </row>
    <row r="1006" spans="27:93" ht="12.75" x14ac:dyDescent="0.2">
      <c r="AA1006" s="23"/>
      <c r="AB1006" s="23"/>
      <c r="AC1006" s="23"/>
      <c r="AD1006" s="23"/>
      <c r="AE1006" s="23"/>
      <c r="AF1006" s="23"/>
      <c r="AG1006" s="23"/>
      <c r="AH1006" s="23"/>
      <c r="AI1006" s="23"/>
      <c r="AJ1006" s="23"/>
      <c r="AK1006" s="23"/>
      <c r="AL1006" s="23"/>
      <c r="AM1006" s="23"/>
      <c r="AN1006" s="23"/>
      <c r="AO1006" s="23"/>
      <c r="AP1006" s="23"/>
      <c r="AQ1006" s="23"/>
      <c r="AR1006" s="23"/>
      <c r="AS1006" s="23"/>
      <c r="AT1006" s="23"/>
      <c r="AU1006" s="23"/>
      <c r="AV1006" s="23"/>
      <c r="AW1006" s="23"/>
      <c r="AX1006" s="23"/>
      <c r="AY1006" s="23"/>
      <c r="AZ1006" s="23"/>
      <c r="BA1006" s="23"/>
      <c r="BB1006" s="23"/>
      <c r="BC1006" s="23"/>
      <c r="BD1006" s="23"/>
      <c r="BE1006" s="23"/>
      <c r="BF1006" s="23"/>
      <c r="BG1006" s="23"/>
      <c r="BH1006" s="23"/>
      <c r="BI1006" s="23"/>
      <c r="BJ1006" s="23"/>
      <c r="BK1006" s="23"/>
      <c r="BL1006" s="23"/>
      <c r="BM1006" s="23"/>
      <c r="BN1006" s="23"/>
      <c r="BO1006" s="23"/>
      <c r="BP1006" s="23"/>
      <c r="BQ1006" s="23"/>
      <c r="BR1006" s="23"/>
      <c r="BS1006" s="23"/>
      <c r="BT1006" s="23"/>
      <c r="BU1006" s="23"/>
      <c r="BV1006" s="23"/>
      <c r="BW1006" s="23"/>
      <c r="BX1006" s="23"/>
      <c r="BY1006" s="23"/>
      <c r="BZ1006" s="23"/>
      <c r="CA1006" s="23"/>
      <c r="CB1006" s="23"/>
      <c r="CC1006" s="23"/>
      <c r="CD1006" s="23"/>
      <c r="CE1006" s="23"/>
      <c r="CF1006" s="23"/>
      <c r="CG1006" s="23"/>
      <c r="CH1006" s="23"/>
      <c r="CI1006" s="23"/>
      <c r="CJ1006" s="23"/>
      <c r="CK1006" s="23"/>
      <c r="CL1006" s="23"/>
      <c r="CO1006" s="30"/>
    </row>
    <row r="1007" spans="27:93" ht="12.75" x14ac:dyDescent="0.2">
      <c r="AA1007" s="23"/>
      <c r="AB1007" s="23"/>
      <c r="AC1007" s="23"/>
      <c r="AD1007" s="23"/>
      <c r="AE1007" s="23"/>
      <c r="AF1007" s="23"/>
      <c r="AG1007" s="23"/>
      <c r="AH1007" s="23"/>
      <c r="AI1007" s="23"/>
      <c r="AJ1007" s="23"/>
      <c r="AK1007" s="23"/>
      <c r="AL1007" s="23"/>
      <c r="AM1007" s="23"/>
      <c r="AN1007" s="23"/>
      <c r="AO1007" s="23"/>
      <c r="AP1007" s="23"/>
      <c r="AQ1007" s="23"/>
      <c r="AR1007" s="23"/>
      <c r="AS1007" s="23"/>
      <c r="AT1007" s="23"/>
      <c r="AU1007" s="23"/>
      <c r="AV1007" s="23"/>
      <c r="AW1007" s="23"/>
      <c r="AX1007" s="23"/>
      <c r="AY1007" s="23"/>
      <c r="AZ1007" s="23"/>
      <c r="BA1007" s="23"/>
      <c r="BB1007" s="23"/>
      <c r="BC1007" s="23"/>
      <c r="BD1007" s="23"/>
      <c r="BE1007" s="23"/>
      <c r="BF1007" s="23"/>
      <c r="BG1007" s="23"/>
      <c r="BH1007" s="23"/>
      <c r="BI1007" s="23"/>
      <c r="BJ1007" s="23"/>
      <c r="BK1007" s="23"/>
      <c r="BL1007" s="23"/>
      <c r="BM1007" s="23"/>
      <c r="BN1007" s="23"/>
      <c r="BO1007" s="23"/>
      <c r="BP1007" s="23"/>
      <c r="BQ1007" s="23"/>
      <c r="BR1007" s="23"/>
      <c r="BS1007" s="23"/>
      <c r="BT1007" s="23"/>
      <c r="BU1007" s="23"/>
      <c r="BV1007" s="23"/>
      <c r="BW1007" s="23"/>
      <c r="BX1007" s="23"/>
      <c r="BY1007" s="23"/>
      <c r="BZ1007" s="23"/>
      <c r="CA1007" s="23"/>
      <c r="CB1007" s="23"/>
      <c r="CC1007" s="23"/>
      <c r="CD1007" s="23"/>
      <c r="CE1007" s="23"/>
      <c r="CF1007" s="23"/>
      <c r="CG1007" s="23"/>
      <c r="CH1007" s="23"/>
      <c r="CI1007" s="23"/>
      <c r="CJ1007" s="23"/>
      <c r="CK1007" s="23"/>
      <c r="CL1007" s="23"/>
      <c r="CO1007" s="30"/>
    </row>
    <row r="1008" spans="27:93" ht="12.75" x14ac:dyDescent="0.2">
      <c r="AA1008" s="23"/>
      <c r="AB1008" s="23"/>
      <c r="AC1008" s="23"/>
      <c r="AD1008" s="23"/>
      <c r="AE1008" s="23"/>
      <c r="AF1008" s="23"/>
      <c r="AG1008" s="23"/>
      <c r="AH1008" s="23"/>
      <c r="AI1008" s="23"/>
      <c r="AJ1008" s="23"/>
      <c r="AK1008" s="23"/>
      <c r="AL1008" s="23"/>
      <c r="AM1008" s="23"/>
      <c r="AN1008" s="23"/>
      <c r="AO1008" s="23"/>
      <c r="AP1008" s="23"/>
      <c r="AQ1008" s="23"/>
      <c r="AR1008" s="23"/>
      <c r="AS1008" s="23"/>
      <c r="AT1008" s="23"/>
      <c r="AU1008" s="23"/>
      <c r="AV1008" s="23"/>
      <c r="AW1008" s="23"/>
      <c r="AX1008" s="23"/>
      <c r="AY1008" s="23"/>
      <c r="AZ1008" s="23"/>
      <c r="BA1008" s="23"/>
      <c r="BB1008" s="23"/>
      <c r="BC1008" s="23"/>
      <c r="BD1008" s="23"/>
      <c r="BE1008" s="23"/>
      <c r="BF1008" s="23"/>
      <c r="BG1008" s="23"/>
      <c r="BH1008" s="23"/>
      <c r="BI1008" s="23"/>
      <c r="BJ1008" s="23"/>
      <c r="BK1008" s="23"/>
      <c r="BL1008" s="23"/>
      <c r="BM1008" s="23"/>
      <c r="BN1008" s="23"/>
      <c r="BO1008" s="23"/>
      <c r="BP1008" s="23"/>
      <c r="BQ1008" s="23"/>
      <c r="BR1008" s="23"/>
      <c r="BS1008" s="23"/>
      <c r="BT1008" s="23"/>
      <c r="BU1008" s="23"/>
      <c r="BV1008" s="23"/>
      <c r="BW1008" s="23"/>
      <c r="BX1008" s="23"/>
      <c r="BY1008" s="23"/>
      <c r="BZ1008" s="23"/>
      <c r="CA1008" s="23"/>
      <c r="CB1008" s="23"/>
      <c r="CC1008" s="23"/>
      <c r="CD1008" s="23"/>
      <c r="CE1008" s="23"/>
      <c r="CF1008" s="23"/>
      <c r="CG1008" s="23"/>
      <c r="CH1008" s="23"/>
      <c r="CI1008" s="23"/>
      <c r="CJ1008" s="23"/>
      <c r="CK1008" s="23"/>
      <c r="CL1008" s="23"/>
      <c r="CO1008" s="30"/>
    </row>
    <row r="1009" spans="27:93" ht="12.75" x14ac:dyDescent="0.2">
      <c r="AA1009" s="23"/>
      <c r="AB1009" s="23"/>
      <c r="AC1009" s="23"/>
      <c r="AD1009" s="23"/>
      <c r="AE1009" s="23"/>
      <c r="AF1009" s="23"/>
      <c r="AG1009" s="23"/>
      <c r="AH1009" s="23"/>
      <c r="AI1009" s="23"/>
      <c r="AJ1009" s="23"/>
      <c r="AK1009" s="23"/>
      <c r="AL1009" s="23"/>
      <c r="AM1009" s="23"/>
      <c r="AN1009" s="23"/>
      <c r="AO1009" s="23"/>
      <c r="AP1009" s="23"/>
      <c r="AQ1009" s="23"/>
      <c r="AR1009" s="23"/>
      <c r="AS1009" s="23"/>
      <c r="AT1009" s="23"/>
      <c r="AU1009" s="23"/>
      <c r="AV1009" s="23"/>
      <c r="AW1009" s="23"/>
      <c r="AX1009" s="23"/>
      <c r="AY1009" s="23"/>
      <c r="AZ1009" s="23"/>
      <c r="BA1009" s="23"/>
      <c r="BB1009" s="23"/>
      <c r="BC1009" s="23"/>
      <c r="BD1009" s="23"/>
      <c r="BE1009" s="23"/>
      <c r="BF1009" s="23"/>
      <c r="BG1009" s="23"/>
      <c r="BH1009" s="23"/>
      <c r="BI1009" s="23"/>
      <c r="BJ1009" s="23"/>
      <c r="BK1009" s="23"/>
      <c r="BL1009" s="23"/>
      <c r="BM1009" s="23"/>
      <c r="BN1009" s="23"/>
      <c r="BO1009" s="23"/>
      <c r="BP1009" s="23"/>
      <c r="BQ1009" s="23"/>
      <c r="BR1009" s="23"/>
      <c r="BS1009" s="23"/>
      <c r="BT1009" s="23"/>
      <c r="BU1009" s="23"/>
      <c r="BV1009" s="23"/>
      <c r="BW1009" s="23"/>
      <c r="BX1009" s="23"/>
      <c r="BY1009" s="23"/>
      <c r="BZ1009" s="23"/>
      <c r="CA1009" s="23"/>
      <c r="CB1009" s="23"/>
      <c r="CC1009" s="23"/>
      <c r="CD1009" s="23"/>
      <c r="CE1009" s="23"/>
      <c r="CF1009" s="23"/>
      <c r="CG1009" s="23"/>
      <c r="CH1009" s="23"/>
      <c r="CI1009" s="23"/>
      <c r="CJ1009" s="23"/>
      <c r="CK1009" s="23"/>
      <c r="CL1009" s="23"/>
      <c r="CO1009" s="30"/>
    </row>
    <row r="1010" spans="27:93" ht="12.75" x14ac:dyDescent="0.2">
      <c r="AA1010" s="23"/>
      <c r="AB1010" s="23"/>
      <c r="AC1010" s="23"/>
      <c r="AD1010" s="23"/>
      <c r="AE1010" s="23"/>
      <c r="AF1010" s="23"/>
      <c r="AG1010" s="23"/>
      <c r="AH1010" s="23"/>
      <c r="AI1010" s="23"/>
      <c r="AJ1010" s="23"/>
      <c r="AK1010" s="23"/>
      <c r="AL1010" s="23"/>
      <c r="AM1010" s="23"/>
      <c r="AN1010" s="23"/>
      <c r="AO1010" s="23"/>
      <c r="AP1010" s="23"/>
      <c r="AQ1010" s="23"/>
      <c r="AR1010" s="23"/>
      <c r="AS1010" s="23"/>
      <c r="AT1010" s="23"/>
      <c r="AU1010" s="23"/>
      <c r="AV1010" s="23"/>
      <c r="AW1010" s="23"/>
      <c r="AX1010" s="23"/>
      <c r="AY1010" s="23"/>
      <c r="AZ1010" s="23"/>
      <c r="BA1010" s="23"/>
      <c r="BB1010" s="23"/>
      <c r="BC1010" s="23"/>
      <c r="BD1010" s="23"/>
      <c r="BE1010" s="23"/>
      <c r="BF1010" s="23"/>
      <c r="BG1010" s="23"/>
      <c r="BH1010" s="23"/>
      <c r="BI1010" s="23"/>
      <c r="BJ1010" s="23"/>
      <c r="BK1010" s="23"/>
      <c r="BL1010" s="23"/>
      <c r="BM1010" s="23"/>
      <c r="BN1010" s="23"/>
      <c r="BO1010" s="23"/>
      <c r="BP1010" s="23"/>
      <c r="BQ1010" s="23"/>
      <c r="BR1010" s="23"/>
      <c r="BS1010" s="23"/>
      <c r="BT1010" s="23"/>
      <c r="BU1010" s="23"/>
      <c r="BV1010" s="23"/>
      <c r="BW1010" s="23"/>
      <c r="BX1010" s="23"/>
      <c r="BY1010" s="23"/>
      <c r="BZ1010" s="23"/>
      <c r="CA1010" s="23"/>
      <c r="CB1010" s="23"/>
      <c r="CC1010" s="23"/>
      <c r="CD1010" s="23"/>
      <c r="CE1010" s="23"/>
      <c r="CF1010" s="23"/>
      <c r="CG1010" s="23"/>
      <c r="CH1010" s="23"/>
      <c r="CI1010" s="23"/>
      <c r="CJ1010" s="23"/>
      <c r="CK1010" s="23"/>
      <c r="CL1010" s="23"/>
      <c r="CO1010" s="30"/>
    </row>
    <row r="1011" spans="27:93" ht="12.75" x14ac:dyDescent="0.2">
      <c r="AA1011" s="23"/>
      <c r="AB1011" s="23"/>
      <c r="AC1011" s="23"/>
      <c r="AD1011" s="23"/>
      <c r="AE1011" s="23"/>
      <c r="AF1011" s="23"/>
      <c r="AG1011" s="23"/>
      <c r="AH1011" s="23"/>
      <c r="AI1011" s="23"/>
      <c r="AJ1011" s="23"/>
      <c r="AK1011" s="23"/>
      <c r="AL1011" s="23"/>
      <c r="AM1011" s="23"/>
      <c r="AN1011" s="23"/>
      <c r="AO1011" s="23"/>
      <c r="AP1011" s="23"/>
      <c r="AQ1011" s="23"/>
      <c r="AR1011" s="23"/>
      <c r="AS1011" s="23"/>
      <c r="AT1011" s="23"/>
      <c r="AU1011" s="23"/>
      <c r="AV1011" s="23"/>
      <c r="AW1011" s="23"/>
      <c r="AX1011" s="23"/>
      <c r="AY1011" s="23"/>
      <c r="AZ1011" s="23"/>
      <c r="BA1011" s="23"/>
      <c r="BB1011" s="23"/>
      <c r="BC1011" s="23"/>
      <c r="BD1011" s="23"/>
      <c r="BE1011" s="23"/>
      <c r="BF1011" s="23"/>
      <c r="BG1011" s="23"/>
      <c r="BH1011" s="23"/>
      <c r="BI1011" s="23"/>
      <c r="BJ1011" s="23"/>
      <c r="BK1011" s="23"/>
      <c r="BL1011" s="23"/>
      <c r="BM1011" s="23"/>
      <c r="BN1011" s="23"/>
      <c r="BO1011" s="23"/>
      <c r="BP1011" s="23"/>
      <c r="BQ1011" s="23"/>
      <c r="BR1011" s="23"/>
      <c r="BS1011" s="23"/>
      <c r="BT1011" s="23"/>
      <c r="BU1011" s="23"/>
      <c r="BV1011" s="23"/>
      <c r="BW1011" s="23"/>
      <c r="BX1011" s="23"/>
      <c r="BY1011" s="23"/>
      <c r="BZ1011" s="23"/>
      <c r="CA1011" s="23"/>
      <c r="CB1011" s="23"/>
      <c r="CC1011" s="23"/>
      <c r="CD1011" s="23"/>
      <c r="CE1011" s="23"/>
      <c r="CF1011" s="23"/>
      <c r="CG1011" s="23"/>
      <c r="CH1011" s="23"/>
      <c r="CI1011" s="23"/>
      <c r="CJ1011" s="23"/>
      <c r="CK1011" s="23"/>
      <c r="CL1011" s="23"/>
      <c r="CO1011" s="30"/>
    </row>
    <row r="1012" spans="27:93" ht="12.75" x14ac:dyDescent="0.2">
      <c r="AA1012" s="23"/>
      <c r="AB1012" s="23"/>
      <c r="AC1012" s="23"/>
      <c r="AD1012" s="23"/>
      <c r="AE1012" s="23"/>
      <c r="AF1012" s="23"/>
      <c r="AG1012" s="23"/>
      <c r="AH1012" s="23"/>
      <c r="AI1012" s="23"/>
      <c r="AJ1012" s="23"/>
      <c r="AK1012" s="23"/>
      <c r="AL1012" s="23"/>
      <c r="AM1012" s="23"/>
      <c r="AN1012" s="23"/>
      <c r="AO1012" s="23"/>
      <c r="AP1012" s="23"/>
      <c r="AQ1012" s="23"/>
      <c r="AR1012" s="23"/>
      <c r="AS1012" s="23"/>
      <c r="AT1012" s="23"/>
      <c r="AU1012" s="23"/>
      <c r="AV1012" s="23"/>
      <c r="AW1012" s="23"/>
      <c r="AX1012" s="23"/>
      <c r="AY1012" s="23"/>
      <c r="AZ1012" s="23"/>
      <c r="BA1012" s="23"/>
      <c r="BB1012" s="23"/>
      <c r="BC1012" s="23"/>
      <c r="BD1012" s="23"/>
      <c r="BE1012" s="23"/>
      <c r="BF1012" s="23"/>
      <c r="BG1012" s="23"/>
      <c r="BH1012" s="23"/>
      <c r="BI1012" s="23"/>
      <c r="BJ1012" s="23"/>
      <c r="BK1012" s="23"/>
      <c r="BL1012" s="23"/>
      <c r="BM1012" s="23"/>
      <c r="BN1012" s="23"/>
      <c r="BO1012" s="23"/>
      <c r="BP1012" s="23"/>
      <c r="BQ1012" s="23"/>
      <c r="BR1012" s="23"/>
      <c r="BS1012" s="23"/>
      <c r="BT1012" s="23"/>
      <c r="BU1012" s="23"/>
      <c r="BV1012" s="23"/>
      <c r="BW1012" s="23"/>
      <c r="BX1012" s="23"/>
      <c r="BY1012" s="23"/>
      <c r="BZ1012" s="23"/>
      <c r="CA1012" s="23"/>
      <c r="CB1012" s="23"/>
      <c r="CC1012" s="23"/>
      <c r="CD1012" s="23"/>
      <c r="CE1012" s="23"/>
      <c r="CF1012" s="23"/>
      <c r="CG1012" s="23"/>
      <c r="CH1012" s="23"/>
      <c r="CI1012" s="23"/>
      <c r="CJ1012" s="23"/>
      <c r="CK1012" s="23"/>
      <c r="CL1012" s="23"/>
      <c r="CO1012" s="30"/>
    </row>
    <row r="1013" spans="27:93" ht="12.75" x14ac:dyDescent="0.2">
      <c r="AA1013" s="23"/>
      <c r="AB1013" s="23"/>
      <c r="AC1013" s="23"/>
      <c r="AD1013" s="23"/>
      <c r="AE1013" s="23"/>
      <c r="AF1013" s="23"/>
      <c r="AG1013" s="23"/>
      <c r="AH1013" s="23"/>
      <c r="AI1013" s="23"/>
      <c r="AJ1013" s="23"/>
      <c r="AK1013" s="23"/>
      <c r="AL1013" s="23"/>
      <c r="AM1013" s="23"/>
      <c r="AN1013" s="23"/>
      <c r="AO1013" s="23"/>
      <c r="AP1013" s="23"/>
      <c r="AQ1013" s="23"/>
      <c r="AR1013" s="23"/>
      <c r="AS1013" s="23"/>
      <c r="AT1013" s="23"/>
      <c r="AU1013" s="23"/>
      <c r="AV1013" s="23"/>
      <c r="AW1013" s="23"/>
      <c r="AX1013" s="23"/>
      <c r="AY1013" s="23"/>
      <c r="AZ1013" s="23"/>
      <c r="BA1013" s="23"/>
      <c r="BB1013" s="23"/>
      <c r="BC1013" s="23"/>
      <c r="BD1013" s="23"/>
      <c r="BE1013" s="23"/>
      <c r="BF1013" s="23"/>
      <c r="BG1013" s="23"/>
      <c r="BH1013" s="23"/>
      <c r="BI1013" s="23"/>
      <c r="BJ1013" s="23"/>
      <c r="BK1013" s="23"/>
      <c r="BL1013" s="23"/>
      <c r="BM1013" s="23"/>
      <c r="BN1013" s="23"/>
      <c r="BO1013" s="23"/>
      <c r="BP1013" s="23"/>
      <c r="BQ1013" s="23"/>
      <c r="BR1013" s="23"/>
      <c r="BS1013" s="23"/>
      <c r="BT1013" s="23"/>
      <c r="BU1013" s="23"/>
      <c r="BV1013" s="23"/>
      <c r="BW1013" s="23"/>
      <c r="BX1013" s="23"/>
      <c r="BY1013" s="23"/>
      <c r="BZ1013" s="23"/>
      <c r="CA1013" s="23"/>
      <c r="CB1013" s="23"/>
      <c r="CC1013" s="23"/>
      <c r="CD1013" s="23"/>
      <c r="CE1013" s="23"/>
      <c r="CF1013" s="23"/>
      <c r="CG1013" s="23"/>
      <c r="CH1013" s="23"/>
      <c r="CI1013" s="23"/>
      <c r="CJ1013" s="23"/>
      <c r="CK1013" s="23"/>
      <c r="CL1013" s="23"/>
      <c r="CO1013" s="30"/>
    </row>
    <row r="1014" spans="27:93" ht="12.75" x14ac:dyDescent="0.2">
      <c r="AA1014" s="23"/>
      <c r="AB1014" s="23"/>
      <c r="AC1014" s="23"/>
      <c r="AD1014" s="23"/>
      <c r="AE1014" s="23"/>
      <c r="AF1014" s="23"/>
      <c r="AG1014" s="23"/>
      <c r="AH1014" s="23"/>
      <c r="AI1014" s="23"/>
      <c r="AJ1014" s="23"/>
      <c r="AK1014" s="23"/>
      <c r="AL1014" s="23"/>
      <c r="AM1014" s="23"/>
      <c r="AN1014" s="23"/>
      <c r="AO1014" s="23"/>
      <c r="AP1014" s="23"/>
      <c r="AQ1014" s="23"/>
      <c r="AR1014" s="23"/>
      <c r="AS1014" s="23"/>
      <c r="AT1014" s="23"/>
      <c r="AU1014" s="23"/>
      <c r="AV1014" s="23"/>
      <c r="AW1014" s="23"/>
      <c r="AX1014" s="23"/>
      <c r="AY1014" s="23"/>
      <c r="AZ1014" s="23"/>
      <c r="BA1014" s="23"/>
      <c r="BB1014" s="23"/>
      <c r="BC1014" s="23"/>
      <c r="BD1014" s="23"/>
      <c r="BE1014" s="23"/>
      <c r="BF1014" s="23"/>
      <c r="BG1014" s="23"/>
      <c r="BH1014" s="23"/>
      <c r="BI1014" s="23"/>
      <c r="BJ1014" s="23"/>
      <c r="BK1014" s="23"/>
      <c r="BL1014" s="23"/>
      <c r="BM1014" s="23"/>
      <c r="BN1014" s="23"/>
      <c r="BO1014" s="23"/>
      <c r="BP1014" s="23"/>
      <c r="BQ1014" s="23"/>
      <c r="BR1014" s="23"/>
      <c r="BS1014" s="23"/>
      <c r="BT1014" s="23"/>
      <c r="BU1014" s="23"/>
      <c r="BV1014" s="23"/>
      <c r="BW1014" s="23"/>
      <c r="BX1014" s="23"/>
      <c r="BY1014" s="23"/>
      <c r="BZ1014" s="23"/>
      <c r="CA1014" s="23"/>
      <c r="CB1014" s="23"/>
      <c r="CC1014" s="23"/>
      <c r="CD1014" s="23"/>
      <c r="CE1014" s="23"/>
      <c r="CF1014" s="23"/>
      <c r="CG1014" s="23"/>
      <c r="CH1014" s="23"/>
      <c r="CI1014" s="23"/>
      <c r="CJ1014" s="23"/>
      <c r="CK1014" s="23"/>
      <c r="CL1014" s="23"/>
      <c r="CO1014" s="30"/>
    </row>
    <row r="1015" spans="27:93" ht="12.75" x14ac:dyDescent="0.2">
      <c r="AA1015" s="23"/>
      <c r="AB1015" s="23"/>
      <c r="AC1015" s="23"/>
      <c r="AD1015" s="23"/>
      <c r="AE1015" s="23"/>
      <c r="AF1015" s="23"/>
      <c r="AG1015" s="23"/>
      <c r="AH1015" s="23"/>
      <c r="AI1015" s="23"/>
      <c r="AJ1015" s="23"/>
      <c r="AK1015" s="23"/>
      <c r="AL1015" s="23"/>
      <c r="AM1015" s="23"/>
      <c r="AN1015" s="23"/>
      <c r="AO1015" s="23"/>
      <c r="AP1015" s="23"/>
      <c r="AQ1015" s="23"/>
      <c r="AR1015" s="23"/>
      <c r="AS1015" s="23"/>
      <c r="AT1015" s="23"/>
      <c r="AU1015" s="23"/>
      <c r="AV1015" s="23"/>
      <c r="AW1015" s="23"/>
      <c r="AX1015" s="23"/>
      <c r="AY1015" s="23"/>
      <c r="AZ1015" s="23"/>
      <c r="BA1015" s="23"/>
      <c r="BB1015" s="23"/>
      <c r="BC1015" s="23"/>
      <c r="BD1015" s="23"/>
      <c r="BE1015" s="23"/>
      <c r="BF1015" s="23"/>
      <c r="BG1015" s="23"/>
      <c r="BH1015" s="23"/>
      <c r="BI1015" s="23"/>
      <c r="BJ1015" s="23"/>
      <c r="BK1015" s="23"/>
      <c r="BL1015" s="23"/>
      <c r="BM1015" s="23"/>
      <c r="BN1015" s="23"/>
      <c r="BO1015" s="23"/>
      <c r="BP1015" s="23"/>
      <c r="BQ1015" s="23"/>
      <c r="BR1015" s="23"/>
      <c r="BS1015" s="23"/>
      <c r="BT1015" s="23"/>
      <c r="BU1015" s="23"/>
      <c r="BV1015" s="23"/>
      <c r="BW1015" s="23"/>
      <c r="BX1015" s="23"/>
      <c r="BY1015" s="23"/>
      <c r="BZ1015" s="23"/>
      <c r="CA1015" s="23"/>
      <c r="CB1015" s="23"/>
      <c r="CC1015" s="23"/>
      <c r="CD1015" s="23"/>
      <c r="CE1015" s="23"/>
      <c r="CF1015" s="23"/>
      <c r="CG1015" s="23"/>
      <c r="CH1015" s="23"/>
      <c r="CI1015" s="23"/>
      <c r="CJ1015" s="23"/>
      <c r="CK1015" s="23"/>
      <c r="CL1015" s="23"/>
      <c r="CO1015" s="30"/>
    </row>
    <row r="1016" spans="27:93" ht="12.75" x14ac:dyDescent="0.2">
      <c r="AA1016" s="23"/>
      <c r="AB1016" s="23"/>
      <c r="AC1016" s="23"/>
      <c r="AD1016" s="23"/>
      <c r="AE1016" s="23"/>
      <c r="AF1016" s="23"/>
      <c r="AG1016" s="23"/>
      <c r="AH1016" s="23"/>
      <c r="AI1016" s="23"/>
      <c r="AJ1016" s="23"/>
      <c r="AK1016" s="23"/>
      <c r="AL1016" s="23"/>
      <c r="AM1016" s="23"/>
      <c r="AN1016" s="23"/>
      <c r="AO1016" s="23"/>
      <c r="AP1016" s="23"/>
      <c r="AQ1016" s="23"/>
      <c r="AR1016" s="23"/>
      <c r="AS1016" s="23"/>
      <c r="AT1016" s="23"/>
      <c r="AU1016" s="23"/>
      <c r="AV1016" s="23"/>
      <c r="AW1016" s="23"/>
      <c r="AX1016" s="23"/>
      <c r="AY1016" s="23"/>
      <c r="AZ1016" s="23"/>
      <c r="BA1016" s="23"/>
      <c r="BB1016" s="23"/>
      <c r="BC1016" s="23"/>
      <c r="BD1016" s="23"/>
      <c r="BE1016" s="23"/>
      <c r="BF1016" s="23"/>
      <c r="BG1016" s="23"/>
      <c r="BH1016" s="23"/>
      <c r="BI1016" s="23"/>
      <c r="BJ1016" s="23"/>
      <c r="BK1016" s="23"/>
      <c r="BL1016" s="23"/>
      <c r="BM1016" s="23"/>
      <c r="BN1016" s="23"/>
      <c r="BO1016" s="23"/>
      <c r="BP1016" s="23"/>
      <c r="BQ1016" s="23"/>
      <c r="BR1016" s="23"/>
      <c r="BS1016" s="23"/>
      <c r="BT1016" s="23"/>
      <c r="BU1016" s="23"/>
      <c r="BV1016" s="23"/>
      <c r="BW1016" s="23"/>
      <c r="BX1016" s="23"/>
      <c r="BY1016" s="23"/>
      <c r="BZ1016" s="23"/>
      <c r="CA1016" s="23"/>
      <c r="CB1016" s="23"/>
      <c r="CC1016" s="23"/>
      <c r="CD1016" s="23"/>
      <c r="CE1016" s="23"/>
      <c r="CF1016" s="23"/>
      <c r="CG1016" s="23"/>
      <c r="CH1016" s="23"/>
      <c r="CI1016" s="23"/>
      <c r="CJ1016" s="23"/>
      <c r="CK1016" s="23"/>
      <c r="CL1016" s="23"/>
      <c r="CO1016" s="30"/>
    </row>
    <row r="1017" spans="27:93" ht="12.75" x14ac:dyDescent="0.2">
      <c r="AA1017" s="23"/>
      <c r="AB1017" s="23"/>
      <c r="AC1017" s="23"/>
      <c r="AD1017" s="23"/>
      <c r="AE1017" s="23"/>
      <c r="AF1017" s="23"/>
      <c r="AG1017" s="23"/>
      <c r="AH1017" s="23"/>
      <c r="AI1017" s="23"/>
      <c r="AJ1017" s="23"/>
      <c r="AK1017" s="23"/>
      <c r="AL1017" s="23"/>
      <c r="AM1017" s="23"/>
      <c r="AN1017" s="23"/>
      <c r="AO1017" s="23"/>
      <c r="AP1017" s="23"/>
      <c r="AQ1017" s="23"/>
      <c r="AR1017" s="23"/>
      <c r="AS1017" s="23"/>
      <c r="AT1017" s="23"/>
      <c r="AU1017" s="23"/>
      <c r="AV1017" s="23"/>
      <c r="AW1017" s="23"/>
      <c r="AX1017" s="23"/>
      <c r="AY1017" s="23"/>
      <c r="AZ1017" s="23"/>
      <c r="BA1017" s="23"/>
      <c r="BB1017" s="23"/>
      <c r="BC1017" s="23"/>
      <c r="BD1017" s="23"/>
      <c r="BE1017" s="23"/>
      <c r="BF1017" s="23"/>
      <c r="BG1017" s="23"/>
      <c r="BH1017" s="23"/>
      <c r="BI1017" s="23"/>
      <c r="BJ1017" s="23"/>
      <c r="BK1017" s="23"/>
      <c r="BL1017" s="23"/>
      <c r="BM1017" s="23"/>
      <c r="BN1017" s="23"/>
      <c r="BO1017" s="23"/>
      <c r="BP1017" s="23"/>
      <c r="BQ1017" s="23"/>
      <c r="BR1017" s="23"/>
      <c r="BS1017" s="23"/>
      <c r="BT1017" s="23"/>
      <c r="BU1017" s="23"/>
      <c r="BV1017" s="23"/>
      <c r="BW1017" s="23"/>
      <c r="BX1017" s="23"/>
      <c r="BY1017" s="23"/>
      <c r="BZ1017" s="23"/>
      <c r="CA1017" s="23"/>
      <c r="CB1017" s="23"/>
      <c r="CC1017" s="23"/>
      <c r="CD1017" s="23"/>
      <c r="CE1017" s="23"/>
      <c r="CF1017" s="23"/>
      <c r="CG1017" s="23"/>
      <c r="CH1017" s="23"/>
      <c r="CI1017" s="23"/>
      <c r="CJ1017" s="23"/>
      <c r="CK1017" s="23"/>
      <c r="CL1017" s="23"/>
      <c r="CO1017" s="30"/>
    </row>
    <row r="1018" spans="27:93" ht="12.75" x14ac:dyDescent="0.2">
      <c r="AA1018" s="23"/>
      <c r="AB1018" s="23"/>
      <c r="AC1018" s="23"/>
      <c r="AD1018" s="23"/>
      <c r="AE1018" s="23"/>
      <c r="AF1018" s="23"/>
      <c r="AG1018" s="23"/>
      <c r="AH1018" s="23"/>
      <c r="AI1018" s="23"/>
      <c r="AJ1018" s="23"/>
      <c r="AK1018" s="23"/>
      <c r="AL1018" s="23"/>
      <c r="AM1018" s="23"/>
      <c r="AN1018" s="23"/>
      <c r="AO1018" s="23"/>
      <c r="AP1018" s="23"/>
      <c r="AQ1018" s="23"/>
      <c r="AR1018" s="23"/>
      <c r="AS1018" s="23"/>
      <c r="AT1018" s="23"/>
      <c r="AU1018" s="23"/>
      <c r="AV1018" s="23"/>
      <c r="AW1018" s="23"/>
      <c r="AX1018" s="23"/>
      <c r="AY1018" s="23"/>
      <c r="AZ1018" s="23"/>
      <c r="BA1018" s="23"/>
      <c r="BB1018" s="23"/>
      <c r="BC1018" s="23"/>
      <c r="BD1018" s="23"/>
      <c r="BE1018" s="23"/>
      <c r="BF1018" s="23"/>
      <c r="BG1018" s="23"/>
      <c r="BH1018" s="23"/>
      <c r="BI1018" s="23"/>
      <c r="BJ1018" s="23"/>
      <c r="BK1018" s="23"/>
      <c r="BL1018" s="23"/>
      <c r="BM1018" s="23"/>
      <c r="BN1018" s="23"/>
      <c r="BO1018" s="23"/>
      <c r="BP1018" s="23"/>
      <c r="BQ1018" s="23"/>
      <c r="BR1018" s="23"/>
      <c r="BS1018" s="23"/>
      <c r="BT1018" s="23"/>
      <c r="BU1018" s="23"/>
      <c r="BV1018" s="23"/>
      <c r="BW1018" s="23"/>
      <c r="BX1018" s="23"/>
      <c r="BY1018" s="23"/>
      <c r="BZ1018" s="23"/>
      <c r="CA1018" s="23"/>
      <c r="CB1018" s="23"/>
      <c r="CC1018" s="23"/>
      <c r="CD1018" s="23"/>
      <c r="CE1018" s="23"/>
      <c r="CF1018" s="23"/>
      <c r="CG1018" s="23"/>
      <c r="CH1018" s="23"/>
      <c r="CI1018" s="23"/>
      <c r="CJ1018" s="23"/>
      <c r="CK1018" s="23"/>
      <c r="CL1018" s="23"/>
      <c r="CO1018" s="30"/>
    </row>
    <row r="1019" spans="27:93" ht="12.75" x14ac:dyDescent="0.2">
      <c r="AA1019" s="23"/>
      <c r="AB1019" s="23"/>
      <c r="AC1019" s="23"/>
      <c r="AD1019" s="23"/>
      <c r="AE1019" s="23"/>
      <c r="AF1019" s="23"/>
      <c r="AG1019" s="23"/>
      <c r="AH1019" s="23"/>
      <c r="AI1019" s="23"/>
      <c r="AJ1019" s="23"/>
      <c r="AK1019" s="23"/>
      <c r="AL1019" s="23"/>
      <c r="AM1019" s="23"/>
      <c r="AN1019" s="23"/>
      <c r="AO1019" s="23"/>
      <c r="AP1019" s="23"/>
      <c r="AQ1019" s="23"/>
      <c r="AR1019" s="23"/>
      <c r="AS1019" s="23"/>
      <c r="AT1019" s="23"/>
      <c r="AU1019" s="23"/>
      <c r="AV1019" s="23"/>
      <c r="AW1019" s="23"/>
      <c r="AX1019" s="23"/>
      <c r="AY1019" s="23"/>
      <c r="AZ1019" s="23"/>
      <c r="BA1019" s="23"/>
      <c r="BB1019" s="23"/>
      <c r="BC1019" s="23"/>
      <c r="BD1019" s="23"/>
      <c r="BE1019" s="23"/>
      <c r="BF1019" s="23"/>
      <c r="BG1019" s="23"/>
      <c r="BH1019" s="23"/>
      <c r="BI1019" s="23"/>
      <c r="BJ1019" s="23"/>
      <c r="BK1019" s="23"/>
      <c r="BL1019" s="23"/>
      <c r="BM1019" s="23"/>
      <c r="BN1019" s="23"/>
      <c r="BO1019" s="23"/>
      <c r="BP1019" s="23"/>
      <c r="BQ1019" s="23"/>
      <c r="BR1019" s="23"/>
      <c r="BS1019" s="23"/>
      <c r="BT1019" s="23"/>
      <c r="BU1019" s="23"/>
      <c r="BV1019" s="23"/>
      <c r="BW1019" s="23"/>
      <c r="BX1019" s="23"/>
      <c r="BY1019" s="23"/>
      <c r="BZ1019" s="23"/>
      <c r="CA1019" s="23"/>
      <c r="CB1019" s="23"/>
      <c r="CC1019" s="23"/>
      <c r="CD1019" s="23"/>
      <c r="CE1019" s="23"/>
      <c r="CF1019" s="23"/>
      <c r="CG1019" s="23"/>
      <c r="CH1019" s="23"/>
      <c r="CI1019" s="23"/>
      <c r="CJ1019" s="23"/>
      <c r="CK1019" s="23"/>
      <c r="CL1019" s="23"/>
      <c r="CO1019" s="30"/>
    </row>
    <row r="1020" spans="27:93" ht="12.75" x14ac:dyDescent="0.2">
      <c r="AA1020" s="23"/>
      <c r="AB1020" s="23"/>
      <c r="AC1020" s="23"/>
      <c r="AD1020" s="23"/>
      <c r="AE1020" s="23"/>
      <c r="AF1020" s="23"/>
      <c r="AG1020" s="23"/>
      <c r="AH1020" s="23"/>
      <c r="AI1020" s="23"/>
      <c r="AJ1020" s="23"/>
      <c r="AK1020" s="23"/>
      <c r="AL1020" s="23"/>
      <c r="AM1020" s="23"/>
      <c r="AN1020" s="23"/>
      <c r="AO1020" s="23"/>
      <c r="AP1020" s="23"/>
      <c r="AQ1020" s="23"/>
      <c r="AR1020" s="23"/>
      <c r="AS1020" s="23"/>
      <c r="AT1020" s="23"/>
      <c r="AU1020" s="23"/>
      <c r="AV1020" s="23"/>
      <c r="AW1020" s="23"/>
      <c r="AX1020" s="23"/>
      <c r="AY1020" s="23"/>
      <c r="AZ1020" s="23"/>
      <c r="BA1020" s="23"/>
      <c r="BB1020" s="23"/>
      <c r="BC1020" s="23"/>
      <c r="BD1020" s="23"/>
      <c r="BE1020" s="23"/>
      <c r="BF1020" s="23"/>
      <c r="BG1020" s="23"/>
      <c r="BH1020" s="23"/>
      <c r="BI1020" s="23"/>
      <c r="BJ1020" s="23"/>
      <c r="BK1020" s="23"/>
      <c r="BL1020" s="23"/>
      <c r="BM1020" s="23"/>
      <c r="BN1020" s="23"/>
      <c r="BO1020" s="23"/>
      <c r="BP1020" s="23"/>
      <c r="BQ1020" s="23"/>
      <c r="BR1020" s="23"/>
      <c r="BS1020" s="23"/>
      <c r="BT1020" s="23"/>
      <c r="BU1020" s="23"/>
      <c r="BV1020" s="23"/>
      <c r="BW1020" s="23"/>
      <c r="BX1020" s="23"/>
      <c r="BY1020" s="23"/>
      <c r="BZ1020" s="23"/>
      <c r="CA1020" s="23"/>
      <c r="CB1020" s="23"/>
      <c r="CC1020" s="23"/>
      <c r="CD1020" s="23"/>
      <c r="CE1020" s="23"/>
      <c r="CF1020" s="23"/>
      <c r="CG1020" s="23"/>
      <c r="CH1020" s="23"/>
      <c r="CI1020" s="23"/>
      <c r="CJ1020" s="23"/>
      <c r="CK1020" s="23"/>
      <c r="CL1020" s="23"/>
      <c r="CO1020" s="30"/>
    </row>
    <row r="1021" spans="27:93" ht="12.75" x14ac:dyDescent="0.2">
      <c r="AA1021" s="23"/>
      <c r="AB1021" s="23"/>
      <c r="AC1021" s="23"/>
      <c r="AD1021" s="23"/>
      <c r="AE1021" s="23"/>
      <c r="AF1021" s="23"/>
      <c r="AG1021" s="23"/>
      <c r="AH1021" s="23"/>
      <c r="AI1021" s="23"/>
      <c r="AJ1021" s="23"/>
      <c r="AK1021" s="23"/>
      <c r="AL1021" s="23"/>
      <c r="AM1021" s="23"/>
      <c r="AN1021" s="23"/>
      <c r="AO1021" s="23"/>
      <c r="AP1021" s="23"/>
      <c r="AQ1021" s="23"/>
      <c r="AR1021" s="23"/>
      <c r="AS1021" s="23"/>
      <c r="AT1021" s="23"/>
      <c r="AU1021" s="23"/>
      <c r="AV1021" s="23"/>
      <c r="AW1021" s="23"/>
      <c r="AX1021" s="23"/>
      <c r="AY1021" s="23"/>
      <c r="AZ1021" s="23"/>
      <c r="BA1021" s="23"/>
      <c r="BB1021" s="23"/>
      <c r="BC1021" s="23"/>
      <c r="BD1021" s="23"/>
      <c r="BE1021" s="23"/>
      <c r="BF1021" s="23"/>
      <c r="BG1021" s="23"/>
      <c r="BH1021" s="23"/>
      <c r="BI1021" s="23"/>
      <c r="BJ1021" s="23"/>
      <c r="BK1021" s="23"/>
      <c r="BL1021" s="23"/>
      <c r="BM1021" s="23"/>
      <c r="BN1021" s="23"/>
      <c r="BO1021" s="23"/>
      <c r="BP1021" s="23"/>
      <c r="BQ1021" s="23"/>
      <c r="BR1021" s="23"/>
      <c r="BS1021" s="23"/>
      <c r="BT1021" s="23"/>
      <c r="BU1021" s="23"/>
      <c r="BV1021" s="23"/>
      <c r="BW1021" s="23"/>
      <c r="BX1021" s="23"/>
      <c r="BY1021" s="23"/>
      <c r="BZ1021" s="23"/>
      <c r="CA1021" s="23"/>
      <c r="CB1021" s="23"/>
      <c r="CC1021" s="23"/>
      <c r="CD1021" s="23"/>
      <c r="CE1021" s="23"/>
      <c r="CF1021" s="23"/>
      <c r="CG1021" s="23"/>
      <c r="CH1021" s="23"/>
      <c r="CI1021" s="23"/>
      <c r="CJ1021" s="23"/>
      <c r="CK1021" s="23"/>
      <c r="CL1021" s="23"/>
      <c r="CO1021" s="30"/>
    </row>
    <row r="1022" spans="27:93" ht="12.75" x14ac:dyDescent="0.2">
      <c r="AA1022" s="23"/>
      <c r="AB1022" s="23"/>
      <c r="AC1022" s="23"/>
      <c r="AD1022" s="23"/>
      <c r="AE1022" s="23"/>
      <c r="AF1022" s="23"/>
      <c r="AG1022" s="23"/>
      <c r="AH1022" s="23"/>
      <c r="AI1022" s="23"/>
      <c r="AJ1022" s="23"/>
      <c r="AK1022" s="23"/>
      <c r="AL1022" s="23"/>
      <c r="AM1022" s="23"/>
      <c r="AN1022" s="23"/>
      <c r="AO1022" s="23"/>
      <c r="AP1022" s="23"/>
      <c r="AQ1022" s="23"/>
      <c r="AR1022" s="23"/>
      <c r="AS1022" s="23"/>
      <c r="AT1022" s="23"/>
      <c r="AU1022" s="23"/>
      <c r="AV1022" s="23"/>
      <c r="AW1022" s="23"/>
      <c r="AX1022" s="23"/>
      <c r="AY1022" s="23"/>
      <c r="AZ1022" s="23"/>
      <c r="BA1022" s="23"/>
      <c r="BB1022" s="23"/>
      <c r="BC1022" s="23"/>
      <c r="BD1022" s="23"/>
      <c r="BE1022" s="23"/>
      <c r="BF1022" s="23"/>
      <c r="BG1022" s="23"/>
      <c r="BH1022" s="23"/>
      <c r="BI1022" s="23"/>
      <c r="BJ1022" s="23"/>
      <c r="BK1022" s="23"/>
      <c r="BL1022" s="23"/>
      <c r="BM1022" s="23"/>
      <c r="BN1022" s="23"/>
      <c r="BO1022" s="23"/>
      <c r="BP1022" s="23"/>
      <c r="BQ1022" s="23"/>
      <c r="BR1022" s="23"/>
      <c r="BS1022" s="23"/>
      <c r="BT1022" s="23"/>
      <c r="BU1022" s="23"/>
      <c r="BV1022" s="23"/>
      <c r="BW1022" s="23"/>
      <c r="BX1022" s="23"/>
      <c r="BY1022" s="23"/>
      <c r="BZ1022" s="23"/>
      <c r="CA1022" s="23"/>
      <c r="CB1022" s="23"/>
      <c r="CC1022" s="23"/>
      <c r="CD1022" s="23"/>
      <c r="CE1022" s="23"/>
      <c r="CF1022" s="23"/>
      <c r="CG1022" s="23"/>
      <c r="CH1022" s="23"/>
      <c r="CI1022" s="23"/>
      <c r="CJ1022" s="23"/>
      <c r="CK1022" s="23"/>
      <c r="CL1022" s="23"/>
      <c r="CO1022" s="30"/>
    </row>
    <row r="1023" spans="27:93" ht="12.75" x14ac:dyDescent="0.2">
      <c r="AA1023" s="23"/>
      <c r="AB1023" s="23"/>
      <c r="AC1023" s="23"/>
      <c r="AD1023" s="23"/>
      <c r="AE1023" s="23"/>
      <c r="AF1023" s="23"/>
      <c r="AG1023" s="23"/>
      <c r="AH1023" s="23"/>
      <c r="AI1023" s="23"/>
      <c r="AJ1023" s="23"/>
      <c r="AK1023" s="23"/>
      <c r="AL1023" s="23"/>
      <c r="AM1023" s="23"/>
      <c r="AN1023" s="23"/>
      <c r="AO1023" s="23"/>
      <c r="AP1023" s="23"/>
      <c r="AQ1023" s="23"/>
      <c r="AR1023" s="23"/>
      <c r="AS1023" s="23"/>
      <c r="AT1023" s="23"/>
      <c r="AU1023" s="23"/>
      <c r="AV1023" s="23"/>
      <c r="AW1023" s="23"/>
      <c r="AX1023" s="23"/>
      <c r="AY1023" s="23"/>
      <c r="AZ1023" s="23"/>
      <c r="BA1023" s="23"/>
      <c r="BB1023" s="23"/>
      <c r="BC1023" s="23"/>
      <c r="BD1023" s="23"/>
      <c r="BE1023" s="23"/>
      <c r="BF1023" s="23"/>
      <c r="BG1023" s="23"/>
      <c r="BH1023" s="23"/>
      <c r="BI1023" s="23"/>
      <c r="BJ1023" s="23"/>
      <c r="BK1023" s="23"/>
      <c r="BL1023" s="23"/>
      <c r="BM1023" s="23"/>
      <c r="BN1023" s="23"/>
      <c r="BO1023" s="23"/>
      <c r="BP1023" s="23"/>
      <c r="BQ1023" s="23"/>
      <c r="BR1023" s="23"/>
      <c r="BS1023" s="23"/>
      <c r="BT1023" s="23"/>
      <c r="BU1023" s="23"/>
      <c r="BV1023" s="23"/>
      <c r="BW1023" s="23"/>
      <c r="BX1023" s="23"/>
      <c r="BY1023" s="23"/>
      <c r="BZ1023" s="23"/>
      <c r="CA1023" s="23"/>
      <c r="CB1023" s="23"/>
      <c r="CC1023" s="23"/>
      <c r="CD1023" s="23"/>
      <c r="CE1023" s="23"/>
      <c r="CF1023" s="23"/>
      <c r="CG1023" s="23"/>
      <c r="CH1023" s="23"/>
      <c r="CI1023" s="23"/>
      <c r="CJ1023" s="23"/>
      <c r="CK1023" s="23"/>
      <c r="CL1023" s="23"/>
      <c r="CO1023" s="30"/>
    </row>
  </sheetData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C8936-E1E4-4029-8E03-6B3C23391EC3}">
  <dimension ref="A1:AY3985"/>
  <sheetViews>
    <sheetView tabSelected="1" topLeftCell="AE1" zoomScale="85" zoomScaleNormal="85" workbookViewId="0">
      <selection activeCell="BC15" sqref="BC15"/>
    </sheetView>
  </sheetViews>
  <sheetFormatPr baseColWidth="10" defaultRowHeight="12.75" x14ac:dyDescent="0.2"/>
  <cols>
    <col min="1" max="1" width="41" customWidth="1"/>
    <col min="9" max="11" width="11.42578125" style="128"/>
  </cols>
  <sheetData>
    <row r="1" spans="1:50" s="286" customFormat="1" x14ac:dyDescent="0.2">
      <c r="A1" s="283" t="s">
        <v>0</v>
      </c>
      <c r="B1" s="227" t="s">
        <v>624</v>
      </c>
      <c r="C1" s="227" t="s">
        <v>625</v>
      </c>
      <c r="D1" s="227" t="s">
        <v>626</v>
      </c>
      <c r="E1" s="227" t="s">
        <v>620</v>
      </c>
      <c r="F1" s="227" t="s">
        <v>621</v>
      </c>
      <c r="G1" s="227" t="s">
        <v>622</v>
      </c>
      <c r="H1" s="230" t="s">
        <v>623</v>
      </c>
      <c r="I1" s="284" t="s">
        <v>627</v>
      </c>
      <c r="J1" s="284" t="s">
        <v>628</v>
      </c>
      <c r="K1" s="285" t="s">
        <v>629</v>
      </c>
      <c r="L1" s="284" t="s">
        <v>630</v>
      </c>
      <c r="M1" s="284" t="s">
        <v>631</v>
      </c>
      <c r="N1" s="285" t="s">
        <v>632</v>
      </c>
      <c r="O1" s="284" t="s">
        <v>633</v>
      </c>
      <c r="P1" s="284" t="s">
        <v>634</v>
      </c>
      <c r="Q1" s="285" t="s">
        <v>635</v>
      </c>
      <c r="R1" s="284" t="s">
        <v>678</v>
      </c>
      <c r="S1" s="284" t="s">
        <v>679</v>
      </c>
      <c r="T1" s="284" t="s">
        <v>680</v>
      </c>
      <c r="U1" s="227" t="s">
        <v>681</v>
      </c>
      <c r="V1" s="227" t="s">
        <v>682</v>
      </c>
      <c r="W1" s="227" t="s">
        <v>683</v>
      </c>
      <c r="X1" s="284" t="s">
        <v>684</v>
      </c>
      <c r="Y1" s="284" t="s">
        <v>685</v>
      </c>
      <c r="Z1" s="284" t="s">
        <v>686</v>
      </c>
      <c r="AA1" s="227" t="s">
        <v>687</v>
      </c>
      <c r="AB1" s="227" t="s">
        <v>688</v>
      </c>
      <c r="AC1" s="227" t="s">
        <v>689</v>
      </c>
      <c r="AD1" s="227" t="s">
        <v>690</v>
      </c>
      <c r="AE1" s="227" t="s">
        <v>691</v>
      </c>
      <c r="AF1" s="227" t="s">
        <v>692</v>
      </c>
      <c r="AG1" s="227" t="s">
        <v>693</v>
      </c>
      <c r="AH1" s="227" t="s">
        <v>694</v>
      </c>
      <c r="AI1" s="227" t="s">
        <v>695</v>
      </c>
      <c r="AJ1" s="227" t="s">
        <v>696</v>
      </c>
      <c r="AK1" s="227" t="s">
        <v>697</v>
      </c>
      <c r="AL1" s="227" t="s">
        <v>698</v>
      </c>
      <c r="AM1" s="227" t="s">
        <v>699</v>
      </c>
      <c r="AN1" s="227" t="s">
        <v>700</v>
      </c>
      <c r="AO1" s="227" t="s">
        <v>701</v>
      </c>
      <c r="AP1" s="227" t="s">
        <v>709</v>
      </c>
      <c r="AQ1" s="227" t="s">
        <v>742</v>
      </c>
      <c r="AR1" s="227" t="s">
        <v>743</v>
      </c>
      <c r="AS1" s="227" t="s">
        <v>744</v>
      </c>
      <c r="AT1" s="227" t="s">
        <v>745</v>
      </c>
      <c r="AU1" s="227" t="s">
        <v>746</v>
      </c>
      <c r="AV1" s="227" t="s">
        <v>751</v>
      </c>
      <c r="AW1" s="227" t="s">
        <v>749</v>
      </c>
      <c r="AX1" s="227" t="s">
        <v>750</v>
      </c>
    </row>
    <row r="2" spans="1:50" x14ac:dyDescent="0.2">
      <c r="A2" s="234" t="s">
        <v>1</v>
      </c>
      <c r="B2" s="128"/>
      <c r="C2" s="128"/>
      <c r="D2" s="128"/>
      <c r="E2" s="128"/>
      <c r="F2" s="128"/>
      <c r="G2" s="128"/>
      <c r="H2" s="215"/>
      <c r="K2" s="215"/>
      <c r="L2" s="128"/>
      <c r="M2" s="128"/>
      <c r="N2" s="215"/>
      <c r="O2" s="128"/>
      <c r="P2" s="128"/>
      <c r="Q2" s="215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>
        <v>0</v>
      </c>
      <c r="AR2" s="128">
        <f>AO2+AP2-AQ2</f>
        <v>0</v>
      </c>
      <c r="AS2" s="128"/>
      <c r="AT2" s="128">
        <v>0</v>
      </c>
      <c r="AU2" s="128">
        <f>AR2+AS2-AT2</f>
        <v>0</v>
      </c>
      <c r="AV2" s="128"/>
      <c r="AW2" s="128"/>
      <c r="AX2" s="128">
        <f>AU2+AV2-AW2</f>
        <v>0</v>
      </c>
    </row>
    <row r="3" spans="1:50" x14ac:dyDescent="0.2">
      <c r="A3" s="234" t="s">
        <v>77</v>
      </c>
      <c r="B3" s="128">
        <v>8</v>
      </c>
      <c r="C3" s="128"/>
      <c r="D3" s="128"/>
      <c r="E3" s="128">
        <f t="shared" ref="E3:E61" si="0">B3+C3-D3</f>
        <v>8</v>
      </c>
      <c r="F3" s="128"/>
      <c r="G3" s="128">
        <v>1</v>
      </c>
      <c r="H3" s="215">
        <f>E3+F3-G3</f>
        <v>7</v>
      </c>
      <c r="K3" s="215">
        <f t="shared" ref="K3:K37" si="1">H3+I3-J3</f>
        <v>7</v>
      </c>
      <c r="L3" s="128"/>
      <c r="M3" s="128"/>
      <c r="N3" s="215">
        <f t="shared" ref="N3:N61" si="2">K3+L3-M3</f>
        <v>7</v>
      </c>
      <c r="O3" s="128"/>
      <c r="P3" s="128"/>
      <c r="Q3" s="215">
        <f t="shared" ref="Q3:Q61" si="3">N3+O3-P3</f>
        <v>7</v>
      </c>
      <c r="R3" s="128"/>
      <c r="S3" s="128"/>
      <c r="T3" s="128">
        <f t="shared" ref="T3:T61" si="4">Q3+R3-S3</f>
        <v>7</v>
      </c>
      <c r="U3" s="128">
        <v>3</v>
      </c>
      <c r="V3" s="128">
        <v>2</v>
      </c>
      <c r="W3" s="128">
        <f t="shared" ref="W3:W61" si="5">T3+U3-V3</f>
        <v>8</v>
      </c>
      <c r="X3" s="128"/>
      <c r="Y3" s="128"/>
      <c r="Z3" s="128">
        <f t="shared" ref="Z3:Z65" si="6">W3+X3-Y3</f>
        <v>8</v>
      </c>
      <c r="AA3" s="128"/>
      <c r="AB3" s="128"/>
      <c r="AC3" s="128">
        <f t="shared" ref="AC3:AC65" si="7">Z3+AA3-AB3</f>
        <v>8</v>
      </c>
      <c r="AD3" s="128"/>
      <c r="AE3" s="128"/>
      <c r="AF3" s="128">
        <f t="shared" ref="AF3:AF66" si="8">AC3+AD3-AE3</f>
        <v>8</v>
      </c>
      <c r="AG3" s="128"/>
      <c r="AH3" s="128"/>
      <c r="AI3" s="128">
        <f t="shared" ref="AI3:AI66" si="9">AF3+AG3-AH3</f>
        <v>8</v>
      </c>
      <c r="AJ3" s="128"/>
      <c r="AK3" s="128"/>
      <c r="AL3" s="128">
        <f t="shared" ref="AL3:AL66" si="10">AI3+AJ3-AK3</f>
        <v>8</v>
      </c>
      <c r="AM3" s="128"/>
      <c r="AN3" s="128"/>
      <c r="AO3" s="128">
        <f t="shared" ref="AO3:AO66" si="11">AL3+AM3-AN3</f>
        <v>8</v>
      </c>
      <c r="AP3" s="128"/>
      <c r="AQ3" s="128">
        <v>0</v>
      </c>
      <c r="AR3" s="128">
        <f t="shared" ref="AR3:AR66" si="12">AO3+AP3-AQ3</f>
        <v>8</v>
      </c>
      <c r="AS3" s="128"/>
      <c r="AT3" s="128">
        <v>0</v>
      </c>
      <c r="AU3" s="128">
        <f t="shared" ref="AU3:AU66" si="13">AR3+AS3-AT3</f>
        <v>8</v>
      </c>
      <c r="AV3" s="128"/>
      <c r="AW3" s="128">
        <v>2</v>
      </c>
      <c r="AX3" s="128">
        <f t="shared" ref="AX3:AX66" si="14">AU3+AV3-AW3</f>
        <v>6</v>
      </c>
    </row>
    <row r="4" spans="1:50" x14ac:dyDescent="0.2">
      <c r="A4" s="234" t="s">
        <v>78</v>
      </c>
      <c r="B4" s="128">
        <v>11</v>
      </c>
      <c r="C4" s="128"/>
      <c r="D4" s="128">
        <v>2</v>
      </c>
      <c r="E4" s="128">
        <f t="shared" si="0"/>
        <v>9</v>
      </c>
      <c r="F4" s="128"/>
      <c r="G4" s="128">
        <v>2</v>
      </c>
      <c r="H4" s="215">
        <f t="shared" ref="H4:H61" si="15">E4+F4-G4</f>
        <v>7</v>
      </c>
      <c r="K4" s="215">
        <f t="shared" si="1"/>
        <v>7</v>
      </c>
      <c r="L4" s="128"/>
      <c r="M4" s="128"/>
      <c r="N4" s="215">
        <f t="shared" si="2"/>
        <v>7</v>
      </c>
      <c r="O4" s="128"/>
      <c r="P4" s="128">
        <v>1</v>
      </c>
      <c r="Q4" s="215">
        <f t="shared" si="3"/>
        <v>6</v>
      </c>
      <c r="R4" s="128"/>
      <c r="S4" s="128">
        <v>2</v>
      </c>
      <c r="T4" s="128">
        <f t="shared" si="4"/>
        <v>4</v>
      </c>
      <c r="U4" s="128"/>
      <c r="V4" s="128"/>
      <c r="W4" s="128">
        <f t="shared" si="5"/>
        <v>4</v>
      </c>
      <c r="X4" s="128"/>
      <c r="Y4" s="128"/>
      <c r="Z4" s="128">
        <f t="shared" si="6"/>
        <v>4</v>
      </c>
      <c r="AA4" s="128"/>
      <c r="AB4" s="128">
        <v>1</v>
      </c>
      <c r="AC4" s="128">
        <f t="shared" si="7"/>
        <v>3</v>
      </c>
      <c r="AD4" s="128"/>
      <c r="AE4" s="128">
        <v>1</v>
      </c>
      <c r="AF4" s="128">
        <f t="shared" si="8"/>
        <v>2</v>
      </c>
      <c r="AG4" s="128">
        <v>12</v>
      </c>
      <c r="AH4" s="128">
        <v>1</v>
      </c>
      <c r="AI4" s="128">
        <f t="shared" si="9"/>
        <v>13</v>
      </c>
      <c r="AJ4" s="128"/>
      <c r="AK4" s="128"/>
      <c r="AL4" s="128">
        <f t="shared" si="10"/>
        <v>13</v>
      </c>
      <c r="AM4" s="128"/>
      <c r="AN4" s="128">
        <v>1</v>
      </c>
      <c r="AO4" s="128">
        <f t="shared" si="11"/>
        <v>12</v>
      </c>
      <c r="AP4" s="128"/>
      <c r="AQ4" s="128">
        <v>0</v>
      </c>
      <c r="AR4" s="128">
        <f t="shared" si="12"/>
        <v>12</v>
      </c>
      <c r="AS4" s="128"/>
      <c r="AT4" s="128">
        <v>0</v>
      </c>
      <c r="AU4" s="128">
        <f t="shared" si="13"/>
        <v>12</v>
      </c>
      <c r="AV4" s="128"/>
      <c r="AW4" s="128">
        <v>3</v>
      </c>
      <c r="AX4" s="128">
        <f t="shared" si="14"/>
        <v>9</v>
      </c>
    </row>
    <row r="5" spans="1:50" x14ac:dyDescent="0.2">
      <c r="A5" s="234" t="s">
        <v>79</v>
      </c>
      <c r="B5" s="128">
        <v>11</v>
      </c>
      <c r="C5" s="128"/>
      <c r="D5" s="128"/>
      <c r="E5" s="128">
        <f t="shared" si="0"/>
        <v>11</v>
      </c>
      <c r="F5" s="128"/>
      <c r="G5" s="128"/>
      <c r="H5" s="215">
        <f t="shared" si="15"/>
        <v>11</v>
      </c>
      <c r="J5" s="128">
        <v>1</v>
      </c>
      <c r="K5" s="215">
        <f t="shared" si="1"/>
        <v>10</v>
      </c>
      <c r="L5" s="128"/>
      <c r="M5" s="128">
        <v>2</v>
      </c>
      <c r="N5" s="215">
        <f t="shared" si="2"/>
        <v>8</v>
      </c>
      <c r="O5" s="128"/>
      <c r="P5" s="128"/>
      <c r="Q5" s="215">
        <f t="shared" si="3"/>
        <v>8</v>
      </c>
      <c r="R5" s="128"/>
      <c r="S5" s="128"/>
      <c r="T5" s="128">
        <f t="shared" si="4"/>
        <v>8</v>
      </c>
      <c r="U5" s="128"/>
      <c r="V5" s="128"/>
      <c r="W5" s="128">
        <f t="shared" si="5"/>
        <v>8</v>
      </c>
      <c r="X5" s="128"/>
      <c r="Y5" s="128"/>
      <c r="Z5" s="128">
        <f t="shared" si="6"/>
        <v>8</v>
      </c>
      <c r="AA5" s="128"/>
      <c r="AB5" s="128"/>
      <c r="AC5" s="128">
        <f t="shared" si="7"/>
        <v>8</v>
      </c>
      <c r="AD5" s="128"/>
      <c r="AE5" s="128"/>
      <c r="AF5" s="128">
        <f t="shared" si="8"/>
        <v>8</v>
      </c>
      <c r="AG5" s="128"/>
      <c r="AH5" s="128"/>
      <c r="AI5" s="128">
        <f t="shared" si="9"/>
        <v>8</v>
      </c>
      <c r="AJ5" s="128"/>
      <c r="AK5" s="128"/>
      <c r="AL5" s="128">
        <f t="shared" si="10"/>
        <v>8</v>
      </c>
      <c r="AM5" s="128"/>
      <c r="AN5" s="128"/>
      <c r="AO5" s="128">
        <f t="shared" si="11"/>
        <v>8</v>
      </c>
      <c r="AP5" s="128"/>
      <c r="AQ5" s="128">
        <v>0</v>
      </c>
      <c r="AR5" s="128">
        <f t="shared" si="12"/>
        <v>8</v>
      </c>
      <c r="AS5" s="128"/>
      <c r="AT5" s="128">
        <v>0</v>
      </c>
      <c r="AU5" s="128">
        <f t="shared" si="13"/>
        <v>8</v>
      </c>
      <c r="AV5" s="128"/>
      <c r="AW5" s="128">
        <v>1</v>
      </c>
      <c r="AX5" s="128">
        <f t="shared" si="14"/>
        <v>7</v>
      </c>
    </row>
    <row r="6" spans="1:50" x14ac:dyDescent="0.2">
      <c r="A6" s="234" t="s">
        <v>80</v>
      </c>
      <c r="B6" s="128">
        <v>3</v>
      </c>
      <c r="C6" s="128"/>
      <c r="D6" s="128"/>
      <c r="E6" s="128">
        <f t="shared" si="0"/>
        <v>3</v>
      </c>
      <c r="F6" s="128"/>
      <c r="G6" s="128">
        <v>1</v>
      </c>
      <c r="H6" s="215">
        <f t="shared" si="15"/>
        <v>2</v>
      </c>
      <c r="K6" s="215">
        <f t="shared" si="1"/>
        <v>2</v>
      </c>
      <c r="L6" s="128"/>
      <c r="M6" s="128"/>
      <c r="N6" s="215">
        <f t="shared" si="2"/>
        <v>2</v>
      </c>
      <c r="O6" s="128"/>
      <c r="P6" s="128"/>
      <c r="Q6" s="215">
        <f t="shared" si="3"/>
        <v>2</v>
      </c>
      <c r="R6" s="128"/>
      <c r="S6" s="128"/>
      <c r="T6" s="128">
        <f t="shared" si="4"/>
        <v>2</v>
      </c>
      <c r="U6" s="128"/>
      <c r="V6" s="128"/>
      <c r="W6" s="128">
        <f t="shared" si="5"/>
        <v>2</v>
      </c>
      <c r="X6" s="128"/>
      <c r="Y6" s="128"/>
      <c r="Z6" s="128">
        <f t="shared" si="6"/>
        <v>2</v>
      </c>
      <c r="AA6" s="128"/>
      <c r="AB6" s="128"/>
      <c r="AC6" s="128">
        <f t="shared" si="7"/>
        <v>2</v>
      </c>
      <c r="AD6" s="128"/>
      <c r="AE6" s="128"/>
      <c r="AF6" s="128">
        <f t="shared" si="8"/>
        <v>2</v>
      </c>
      <c r="AG6" s="128"/>
      <c r="AH6" s="128"/>
      <c r="AI6" s="128">
        <f t="shared" si="9"/>
        <v>2</v>
      </c>
      <c r="AJ6" s="128"/>
      <c r="AK6" s="128"/>
      <c r="AL6" s="128">
        <f t="shared" si="10"/>
        <v>2</v>
      </c>
      <c r="AM6" s="128"/>
      <c r="AN6" s="128"/>
      <c r="AO6" s="128">
        <f t="shared" si="11"/>
        <v>2</v>
      </c>
      <c r="AP6" s="128"/>
      <c r="AQ6" s="128">
        <v>0</v>
      </c>
      <c r="AR6" s="128">
        <f t="shared" si="12"/>
        <v>2</v>
      </c>
      <c r="AS6" s="128"/>
      <c r="AT6" s="128">
        <v>0</v>
      </c>
      <c r="AU6" s="128">
        <f t="shared" si="13"/>
        <v>2</v>
      </c>
      <c r="AV6" s="128"/>
      <c r="AW6" s="128"/>
      <c r="AX6" s="128">
        <f t="shared" si="14"/>
        <v>2</v>
      </c>
    </row>
    <row r="7" spans="1:50" x14ac:dyDescent="0.2">
      <c r="A7" s="234" t="s">
        <v>81</v>
      </c>
      <c r="B7" s="128">
        <v>1</v>
      </c>
      <c r="C7" s="128"/>
      <c r="D7" s="128"/>
      <c r="E7" s="128">
        <f t="shared" si="0"/>
        <v>1</v>
      </c>
      <c r="F7" s="128"/>
      <c r="G7" s="128"/>
      <c r="H7" s="215">
        <f t="shared" si="15"/>
        <v>1</v>
      </c>
      <c r="K7" s="215">
        <f t="shared" si="1"/>
        <v>1</v>
      </c>
      <c r="L7" s="128"/>
      <c r="M7" s="128"/>
      <c r="N7" s="215">
        <f t="shared" si="2"/>
        <v>1</v>
      </c>
      <c r="O7" s="128"/>
      <c r="P7" s="128"/>
      <c r="Q7" s="215">
        <f t="shared" si="3"/>
        <v>1</v>
      </c>
      <c r="R7" s="128"/>
      <c r="S7" s="128"/>
      <c r="T7" s="128">
        <f t="shared" si="4"/>
        <v>1</v>
      </c>
      <c r="U7" s="128"/>
      <c r="V7" s="128"/>
      <c r="W7" s="128">
        <f t="shared" si="5"/>
        <v>1</v>
      </c>
      <c r="X7" s="128"/>
      <c r="Y7" s="128"/>
      <c r="Z7" s="128">
        <f t="shared" si="6"/>
        <v>1</v>
      </c>
      <c r="AA7" s="128"/>
      <c r="AB7" s="128"/>
      <c r="AC7" s="128">
        <f t="shared" si="7"/>
        <v>1</v>
      </c>
      <c r="AD7" s="128"/>
      <c r="AE7" s="128"/>
      <c r="AF7" s="128">
        <f t="shared" si="8"/>
        <v>1</v>
      </c>
      <c r="AG7" s="128"/>
      <c r="AH7" s="128"/>
      <c r="AI7" s="128">
        <f t="shared" si="9"/>
        <v>1</v>
      </c>
      <c r="AJ7" s="128"/>
      <c r="AK7" s="128"/>
      <c r="AL7" s="128">
        <f t="shared" si="10"/>
        <v>1</v>
      </c>
      <c r="AM7" s="128"/>
      <c r="AN7" s="128"/>
      <c r="AO7" s="128">
        <f t="shared" si="11"/>
        <v>1</v>
      </c>
      <c r="AP7" s="128"/>
      <c r="AQ7" s="128">
        <v>0</v>
      </c>
      <c r="AR7" s="128">
        <f t="shared" si="12"/>
        <v>1</v>
      </c>
      <c r="AS7" s="128"/>
      <c r="AT7" s="128">
        <v>0</v>
      </c>
      <c r="AU7" s="128">
        <f t="shared" si="13"/>
        <v>1</v>
      </c>
      <c r="AV7" s="128"/>
      <c r="AW7" s="128"/>
      <c r="AX7" s="128">
        <f t="shared" si="14"/>
        <v>1</v>
      </c>
    </row>
    <row r="8" spans="1:50" x14ac:dyDescent="0.2">
      <c r="A8" s="234" t="s">
        <v>82</v>
      </c>
      <c r="B8" s="128">
        <v>4</v>
      </c>
      <c r="C8" s="128"/>
      <c r="D8" s="128"/>
      <c r="E8" s="128">
        <f t="shared" si="0"/>
        <v>4</v>
      </c>
      <c r="F8" s="128"/>
      <c r="G8" s="128"/>
      <c r="H8" s="215">
        <f t="shared" si="15"/>
        <v>4</v>
      </c>
      <c r="K8" s="215">
        <f t="shared" si="1"/>
        <v>4</v>
      </c>
      <c r="L8" s="128"/>
      <c r="M8" s="128"/>
      <c r="N8" s="215">
        <f t="shared" si="2"/>
        <v>4</v>
      </c>
      <c r="O8" s="128"/>
      <c r="P8" s="128"/>
      <c r="Q8" s="215">
        <f t="shared" si="3"/>
        <v>4</v>
      </c>
      <c r="R8" s="128"/>
      <c r="S8" s="128"/>
      <c r="T8" s="128">
        <f t="shared" si="4"/>
        <v>4</v>
      </c>
      <c r="U8" s="128"/>
      <c r="V8" s="128"/>
      <c r="W8" s="128">
        <f t="shared" si="5"/>
        <v>4</v>
      </c>
      <c r="X8" s="128"/>
      <c r="Y8" s="128"/>
      <c r="Z8" s="128">
        <f t="shared" si="6"/>
        <v>4</v>
      </c>
      <c r="AA8" s="128"/>
      <c r="AB8" s="128"/>
      <c r="AC8" s="128">
        <f t="shared" si="7"/>
        <v>4</v>
      </c>
      <c r="AD8" s="128"/>
      <c r="AE8" s="128"/>
      <c r="AF8" s="128">
        <f t="shared" si="8"/>
        <v>4</v>
      </c>
      <c r="AG8" s="128"/>
      <c r="AH8" s="128"/>
      <c r="AI8" s="128">
        <f t="shared" si="9"/>
        <v>4</v>
      </c>
      <c r="AJ8" s="128"/>
      <c r="AK8" s="128"/>
      <c r="AL8" s="128">
        <f t="shared" si="10"/>
        <v>4</v>
      </c>
      <c r="AM8" s="128"/>
      <c r="AN8" s="128"/>
      <c r="AO8" s="128">
        <f t="shared" si="11"/>
        <v>4</v>
      </c>
      <c r="AP8" s="128"/>
      <c r="AQ8" s="128">
        <v>0</v>
      </c>
      <c r="AR8" s="128">
        <f t="shared" si="12"/>
        <v>4</v>
      </c>
      <c r="AS8" s="128"/>
      <c r="AT8" s="128">
        <v>0</v>
      </c>
      <c r="AU8" s="128">
        <f t="shared" si="13"/>
        <v>4</v>
      </c>
      <c r="AV8" s="128"/>
      <c r="AW8" s="128"/>
      <c r="AX8" s="128">
        <f t="shared" si="14"/>
        <v>4</v>
      </c>
    </row>
    <row r="9" spans="1:50" x14ac:dyDescent="0.2">
      <c r="A9" s="234" t="s">
        <v>83</v>
      </c>
      <c r="B9" s="128">
        <v>9</v>
      </c>
      <c r="C9" s="128"/>
      <c r="D9" s="128"/>
      <c r="E9" s="128">
        <f t="shared" si="0"/>
        <v>9</v>
      </c>
      <c r="F9" s="128"/>
      <c r="G9" s="128"/>
      <c r="H9" s="215">
        <f t="shared" si="15"/>
        <v>9</v>
      </c>
      <c r="K9" s="215">
        <f t="shared" si="1"/>
        <v>9</v>
      </c>
      <c r="L9" s="128"/>
      <c r="M9" s="128"/>
      <c r="N9" s="215">
        <f t="shared" si="2"/>
        <v>9</v>
      </c>
      <c r="O9" s="128"/>
      <c r="P9" s="128"/>
      <c r="Q9" s="215">
        <f t="shared" si="3"/>
        <v>9</v>
      </c>
      <c r="R9" s="128"/>
      <c r="S9" s="128"/>
      <c r="T9" s="128">
        <f t="shared" si="4"/>
        <v>9</v>
      </c>
      <c r="U9" s="128"/>
      <c r="V9" s="128"/>
      <c r="W9" s="128">
        <f t="shared" si="5"/>
        <v>9</v>
      </c>
      <c r="X9" s="128"/>
      <c r="Y9" s="128"/>
      <c r="Z9" s="128">
        <f t="shared" si="6"/>
        <v>9</v>
      </c>
      <c r="AA9" s="128"/>
      <c r="AB9" s="128"/>
      <c r="AC9" s="128">
        <f t="shared" si="7"/>
        <v>9</v>
      </c>
      <c r="AD9" s="128"/>
      <c r="AE9" s="128"/>
      <c r="AF9" s="128">
        <f t="shared" si="8"/>
        <v>9</v>
      </c>
      <c r="AG9" s="128"/>
      <c r="AH9" s="128"/>
      <c r="AI9" s="128">
        <f t="shared" si="9"/>
        <v>9</v>
      </c>
      <c r="AJ9" s="128"/>
      <c r="AK9" s="128">
        <v>1</v>
      </c>
      <c r="AL9" s="128">
        <f t="shared" si="10"/>
        <v>8</v>
      </c>
      <c r="AM9" s="128"/>
      <c r="AN9" s="128"/>
      <c r="AO9" s="128">
        <f t="shared" si="11"/>
        <v>8</v>
      </c>
      <c r="AP9" s="128"/>
      <c r="AQ9" s="128">
        <v>0</v>
      </c>
      <c r="AR9" s="128">
        <f t="shared" si="12"/>
        <v>8</v>
      </c>
      <c r="AS9" s="128"/>
      <c r="AT9" s="128">
        <v>0</v>
      </c>
      <c r="AU9" s="128">
        <f t="shared" si="13"/>
        <v>8</v>
      </c>
      <c r="AV9" s="128"/>
      <c r="AW9" s="128"/>
      <c r="AX9" s="128">
        <f t="shared" si="14"/>
        <v>8</v>
      </c>
    </row>
    <row r="10" spans="1:50" x14ac:dyDescent="0.2">
      <c r="A10" s="234" t="s">
        <v>84</v>
      </c>
      <c r="B10" s="128">
        <v>3</v>
      </c>
      <c r="C10" s="128"/>
      <c r="D10" s="128"/>
      <c r="E10" s="128">
        <f t="shared" si="0"/>
        <v>3</v>
      </c>
      <c r="F10" s="128"/>
      <c r="G10" s="128"/>
      <c r="H10" s="215">
        <f t="shared" si="15"/>
        <v>3</v>
      </c>
      <c r="K10" s="215">
        <f t="shared" si="1"/>
        <v>3</v>
      </c>
      <c r="L10" s="128"/>
      <c r="M10" s="128"/>
      <c r="N10" s="215">
        <f t="shared" si="2"/>
        <v>3</v>
      </c>
      <c r="O10" s="128"/>
      <c r="P10" s="128"/>
      <c r="Q10" s="215">
        <f t="shared" si="3"/>
        <v>3</v>
      </c>
      <c r="R10" s="128"/>
      <c r="S10" s="128"/>
      <c r="T10" s="128">
        <f t="shared" si="4"/>
        <v>3</v>
      </c>
      <c r="U10" s="128"/>
      <c r="V10" s="128"/>
      <c r="W10" s="128">
        <f t="shared" si="5"/>
        <v>3</v>
      </c>
      <c r="X10" s="128"/>
      <c r="Y10" s="128"/>
      <c r="Z10" s="128">
        <f t="shared" si="6"/>
        <v>3</v>
      </c>
      <c r="AA10" s="128"/>
      <c r="AB10" s="128"/>
      <c r="AC10" s="128">
        <f t="shared" si="7"/>
        <v>3</v>
      </c>
      <c r="AD10" s="128"/>
      <c r="AE10" s="128"/>
      <c r="AF10" s="128">
        <f t="shared" si="8"/>
        <v>3</v>
      </c>
      <c r="AG10" s="128"/>
      <c r="AH10" s="128"/>
      <c r="AI10" s="128">
        <f t="shared" si="9"/>
        <v>3</v>
      </c>
      <c r="AJ10" s="128"/>
      <c r="AK10" s="128"/>
      <c r="AL10" s="128">
        <f t="shared" si="10"/>
        <v>3</v>
      </c>
      <c r="AM10" s="128"/>
      <c r="AN10" s="128"/>
      <c r="AO10" s="128">
        <f t="shared" si="11"/>
        <v>3</v>
      </c>
      <c r="AP10" s="128"/>
      <c r="AQ10" s="128">
        <v>0</v>
      </c>
      <c r="AR10" s="128">
        <f t="shared" si="12"/>
        <v>3</v>
      </c>
      <c r="AS10" s="128"/>
      <c r="AT10" s="128">
        <v>0</v>
      </c>
      <c r="AU10" s="128">
        <f t="shared" si="13"/>
        <v>3</v>
      </c>
      <c r="AV10" s="128"/>
      <c r="AW10" s="128"/>
      <c r="AX10" s="128">
        <f t="shared" si="14"/>
        <v>3</v>
      </c>
    </row>
    <row r="11" spans="1:50" x14ac:dyDescent="0.2">
      <c r="A11" s="234" t="s">
        <v>85</v>
      </c>
      <c r="B11" s="128">
        <v>11</v>
      </c>
      <c r="C11" s="128"/>
      <c r="D11" s="128"/>
      <c r="E11" s="128">
        <f t="shared" si="0"/>
        <v>11</v>
      </c>
      <c r="F11" s="128"/>
      <c r="G11" s="128"/>
      <c r="H11" s="215">
        <f t="shared" si="15"/>
        <v>11</v>
      </c>
      <c r="K11" s="215">
        <f t="shared" si="1"/>
        <v>11</v>
      </c>
      <c r="L11" s="128"/>
      <c r="M11" s="128"/>
      <c r="N11" s="215">
        <f t="shared" si="2"/>
        <v>11</v>
      </c>
      <c r="O11" s="128"/>
      <c r="P11" s="128"/>
      <c r="Q11" s="215">
        <f t="shared" si="3"/>
        <v>11</v>
      </c>
      <c r="R11" s="128"/>
      <c r="S11" s="128"/>
      <c r="T11" s="128">
        <f t="shared" si="4"/>
        <v>11</v>
      </c>
      <c r="U11" s="128"/>
      <c r="V11" s="128"/>
      <c r="W11" s="128">
        <f t="shared" si="5"/>
        <v>11</v>
      </c>
      <c r="X11" s="128"/>
      <c r="Y11" s="128"/>
      <c r="Z11" s="128">
        <f t="shared" si="6"/>
        <v>11</v>
      </c>
      <c r="AA11" s="128"/>
      <c r="AB11" s="128"/>
      <c r="AC11" s="128">
        <f t="shared" si="7"/>
        <v>11</v>
      </c>
      <c r="AD11" s="128"/>
      <c r="AE11" s="128"/>
      <c r="AF11" s="128">
        <f t="shared" si="8"/>
        <v>11</v>
      </c>
      <c r="AG11" s="128"/>
      <c r="AH11" s="128"/>
      <c r="AI11" s="128">
        <f t="shared" si="9"/>
        <v>11</v>
      </c>
      <c r="AJ11" s="128"/>
      <c r="AK11" s="128"/>
      <c r="AL11" s="128">
        <f t="shared" si="10"/>
        <v>11</v>
      </c>
      <c r="AM11" s="128"/>
      <c r="AN11" s="128"/>
      <c r="AO11" s="128">
        <f t="shared" si="11"/>
        <v>11</v>
      </c>
      <c r="AP11" s="128"/>
      <c r="AQ11" s="128">
        <v>0</v>
      </c>
      <c r="AR11" s="128">
        <f t="shared" si="12"/>
        <v>11</v>
      </c>
      <c r="AS11" s="128"/>
      <c r="AT11" s="128">
        <v>0</v>
      </c>
      <c r="AU11" s="128">
        <f t="shared" si="13"/>
        <v>11</v>
      </c>
      <c r="AV11" s="128"/>
      <c r="AW11" s="128"/>
      <c r="AX11" s="128">
        <f t="shared" si="14"/>
        <v>11</v>
      </c>
    </row>
    <row r="12" spans="1:50" x14ac:dyDescent="0.2">
      <c r="A12" s="234" t="s">
        <v>86</v>
      </c>
      <c r="B12" s="128">
        <v>5</v>
      </c>
      <c r="C12" s="128"/>
      <c r="D12" s="128"/>
      <c r="E12" s="128">
        <f t="shared" si="0"/>
        <v>5</v>
      </c>
      <c r="F12" s="128"/>
      <c r="G12" s="128"/>
      <c r="H12" s="215">
        <f t="shared" si="15"/>
        <v>5</v>
      </c>
      <c r="K12" s="215">
        <f t="shared" si="1"/>
        <v>5</v>
      </c>
      <c r="L12" s="128"/>
      <c r="M12" s="128"/>
      <c r="N12" s="215">
        <f t="shared" si="2"/>
        <v>5</v>
      </c>
      <c r="O12" s="128"/>
      <c r="P12" s="128"/>
      <c r="Q12" s="215">
        <f t="shared" si="3"/>
        <v>5</v>
      </c>
      <c r="R12" s="128"/>
      <c r="S12" s="128"/>
      <c r="T12" s="128">
        <f t="shared" si="4"/>
        <v>5</v>
      </c>
      <c r="U12" s="128"/>
      <c r="V12" s="128"/>
      <c r="W12" s="128">
        <f t="shared" si="5"/>
        <v>5</v>
      </c>
      <c r="X12" s="128"/>
      <c r="Y12" s="128"/>
      <c r="Z12" s="128">
        <f t="shared" si="6"/>
        <v>5</v>
      </c>
      <c r="AA12" s="128"/>
      <c r="AB12" s="128"/>
      <c r="AC12" s="128">
        <f t="shared" si="7"/>
        <v>5</v>
      </c>
      <c r="AD12" s="128"/>
      <c r="AE12" s="128"/>
      <c r="AF12" s="128">
        <f t="shared" si="8"/>
        <v>5</v>
      </c>
      <c r="AG12" s="128"/>
      <c r="AH12" s="128"/>
      <c r="AI12" s="128">
        <f t="shared" si="9"/>
        <v>5</v>
      </c>
      <c r="AJ12" s="128"/>
      <c r="AK12" s="128"/>
      <c r="AL12" s="128">
        <f t="shared" si="10"/>
        <v>5</v>
      </c>
      <c r="AM12" s="128"/>
      <c r="AN12" s="128"/>
      <c r="AO12" s="128">
        <f t="shared" si="11"/>
        <v>5</v>
      </c>
      <c r="AP12" s="128"/>
      <c r="AQ12" s="128">
        <v>0</v>
      </c>
      <c r="AR12" s="128">
        <f t="shared" si="12"/>
        <v>5</v>
      </c>
      <c r="AS12" s="128"/>
      <c r="AT12" s="128">
        <v>0</v>
      </c>
      <c r="AU12" s="128">
        <f t="shared" si="13"/>
        <v>5</v>
      </c>
      <c r="AV12" s="128"/>
      <c r="AW12" s="128"/>
      <c r="AX12" s="128">
        <f t="shared" si="14"/>
        <v>5</v>
      </c>
    </row>
    <row r="13" spans="1:50" x14ac:dyDescent="0.2">
      <c r="A13" s="234" t="s">
        <v>87</v>
      </c>
      <c r="B13" s="128">
        <v>5</v>
      </c>
      <c r="C13" s="128"/>
      <c r="D13" s="128"/>
      <c r="E13" s="128">
        <f t="shared" si="0"/>
        <v>5</v>
      </c>
      <c r="F13" s="128"/>
      <c r="G13" s="128"/>
      <c r="H13" s="215">
        <f t="shared" si="15"/>
        <v>5</v>
      </c>
      <c r="K13" s="215">
        <f t="shared" si="1"/>
        <v>5</v>
      </c>
      <c r="L13" s="128"/>
      <c r="M13" s="128"/>
      <c r="N13" s="215">
        <f t="shared" si="2"/>
        <v>5</v>
      </c>
      <c r="O13" s="128"/>
      <c r="P13" s="128"/>
      <c r="Q13" s="215">
        <f t="shared" si="3"/>
        <v>5</v>
      </c>
      <c r="R13" s="128"/>
      <c r="S13" s="128"/>
      <c r="T13" s="128">
        <f t="shared" si="4"/>
        <v>5</v>
      </c>
      <c r="U13" s="128"/>
      <c r="V13" s="128"/>
      <c r="W13" s="128">
        <f t="shared" si="5"/>
        <v>5</v>
      </c>
      <c r="X13" s="128"/>
      <c r="Y13" s="128"/>
      <c r="Z13" s="128">
        <f t="shared" si="6"/>
        <v>5</v>
      </c>
      <c r="AA13" s="128"/>
      <c r="AB13" s="128"/>
      <c r="AC13" s="128">
        <f t="shared" si="7"/>
        <v>5</v>
      </c>
      <c r="AD13" s="128"/>
      <c r="AE13" s="128"/>
      <c r="AF13" s="128">
        <f t="shared" si="8"/>
        <v>5</v>
      </c>
      <c r="AG13" s="128"/>
      <c r="AH13" s="128"/>
      <c r="AI13" s="128">
        <f t="shared" si="9"/>
        <v>5</v>
      </c>
      <c r="AJ13" s="128"/>
      <c r="AK13" s="128"/>
      <c r="AL13" s="128">
        <f t="shared" si="10"/>
        <v>5</v>
      </c>
      <c r="AM13" s="128"/>
      <c r="AN13" s="128"/>
      <c r="AO13" s="128">
        <f t="shared" si="11"/>
        <v>5</v>
      </c>
      <c r="AP13" s="128"/>
      <c r="AQ13" s="128">
        <v>0</v>
      </c>
      <c r="AR13" s="128">
        <f t="shared" si="12"/>
        <v>5</v>
      </c>
      <c r="AS13" s="128"/>
      <c r="AT13" s="128">
        <v>0</v>
      </c>
      <c r="AU13" s="128">
        <f t="shared" si="13"/>
        <v>5</v>
      </c>
      <c r="AV13" s="128"/>
      <c r="AW13" s="128"/>
      <c r="AX13" s="128">
        <f t="shared" si="14"/>
        <v>5</v>
      </c>
    </row>
    <row r="14" spans="1:50" x14ac:dyDescent="0.2">
      <c r="A14" s="234" t="s">
        <v>88</v>
      </c>
      <c r="B14" s="128">
        <v>10</v>
      </c>
      <c r="C14" s="128"/>
      <c r="D14" s="128"/>
      <c r="E14" s="128">
        <f t="shared" si="0"/>
        <v>10</v>
      </c>
      <c r="F14" s="128"/>
      <c r="G14" s="128"/>
      <c r="H14" s="215">
        <f t="shared" si="15"/>
        <v>10</v>
      </c>
      <c r="K14" s="215">
        <f t="shared" si="1"/>
        <v>10</v>
      </c>
      <c r="L14" s="128"/>
      <c r="M14" s="128"/>
      <c r="N14" s="215">
        <f t="shared" si="2"/>
        <v>10</v>
      </c>
      <c r="O14" s="128"/>
      <c r="P14" s="128"/>
      <c r="Q14" s="215">
        <f t="shared" si="3"/>
        <v>10</v>
      </c>
      <c r="R14" s="128"/>
      <c r="S14" s="128"/>
      <c r="T14" s="128">
        <f t="shared" si="4"/>
        <v>10</v>
      </c>
      <c r="U14" s="128"/>
      <c r="V14" s="128"/>
      <c r="W14" s="128">
        <f t="shared" si="5"/>
        <v>10</v>
      </c>
      <c r="X14" s="128"/>
      <c r="Y14" s="128"/>
      <c r="Z14" s="128">
        <f t="shared" si="6"/>
        <v>10</v>
      </c>
      <c r="AA14" s="128"/>
      <c r="AB14" s="128"/>
      <c r="AC14" s="128">
        <f t="shared" si="7"/>
        <v>10</v>
      </c>
      <c r="AD14" s="128"/>
      <c r="AE14" s="128"/>
      <c r="AF14" s="128">
        <f t="shared" si="8"/>
        <v>10</v>
      </c>
      <c r="AG14" s="128"/>
      <c r="AH14" s="128"/>
      <c r="AI14" s="128">
        <f t="shared" si="9"/>
        <v>10</v>
      </c>
      <c r="AJ14" s="128"/>
      <c r="AK14" s="128"/>
      <c r="AL14" s="128">
        <f t="shared" si="10"/>
        <v>10</v>
      </c>
      <c r="AM14" s="128"/>
      <c r="AN14" s="128"/>
      <c r="AO14" s="128">
        <f t="shared" si="11"/>
        <v>10</v>
      </c>
      <c r="AP14" s="128"/>
      <c r="AQ14" s="128">
        <v>0</v>
      </c>
      <c r="AR14" s="128">
        <f t="shared" si="12"/>
        <v>10</v>
      </c>
      <c r="AS14" s="128"/>
      <c r="AT14" s="128">
        <v>0</v>
      </c>
      <c r="AU14" s="128">
        <f t="shared" si="13"/>
        <v>10</v>
      </c>
      <c r="AV14" s="128"/>
      <c r="AW14" s="128"/>
      <c r="AX14" s="128">
        <f t="shared" si="14"/>
        <v>10</v>
      </c>
    </row>
    <row r="15" spans="1:50" x14ac:dyDescent="0.2">
      <c r="A15" s="234" t="s">
        <v>89</v>
      </c>
      <c r="B15" s="128">
        <v>0</v>
      </c>
      <c r="C15" s="128"/>
      <c r="D15" s="128"/>
      <c r="E15" s="128">
        <f t="shared" si="0"/>
        <v>0</v>
      </c>
      <c r="F15" s="128"/>
      <c r="G15" s="128"/>
      <c r="H15" s="215">
        <f t="shared" si="15"/>
        <v>0</v>
      </c>
      <c r="K15" s="215">
        <f t="shared" si="1"/>
        <v>0</v>
      </c>
      <c r="L15" s="128"/>
      <c r="M15" s="128"/>
      <c r="N15" s="215">
        <f t="shared" si="2"/>
        <v>0</v>
      </c>
      <c r="O15" s="128"/>
      <c r="P15" s="128"/>
      <c r="Q15" s="215">
        <f t="shared" si="3"/>
        <v>0</v>
      </c>
      <c r="R15" s="128"/>
      <c r="S15" s="128"/>
      <c r="T15" s="128">
        <f t="shared" si="4"/>
        <v>0</v>
      </c>
      <c r="U15" s="128"/>
      <c r="V15" s="128"/>
      <c r="W15" s="128">
        <f t="shared" si="5"/>
        <v>0</v>
      </c>
      <c r="X15" s="128"/>
      <c r="Y15" s="128"/>
      <c r="Z15" s="128">
        <f t="shared" si="6"/>
        <v>0</v>
      </c>
      <c r="AA15" s="128"/>
      <c r="AB15" s="128"/>
      <c r="AC15" s="128">
        <f t="shared" si="7"/>
        <v>0</v>
      </c>
      <c r="AD15" s="128"/>
      <c r="AE15" s="128"/>
      <c r="AF15" s="128">
        <f t="shared" si="8"/>
        <v>0</v>
      </c>
      <c r="AG15" s="128"/>
      <c r="AH15" s="128"/>
      <c r="AI15" s="128">
        <f t="shared" si="9"/>
        <v>0</v>
      </c>
      <c r="AJ15" s="128"/>
      <c r="AK15" s="128"/>
      <c r="AL15" s="128">
        <f t="shared" si="10"/>
        <v>0</v>
      </c>
      <c r="AM15" s="128"/>
      <c r="AN15" s="128"/>
      <c r="AO15" s="128">
        <f t="shared" si="11"/>
        <v>0</v>
      </c>
      <c r="AP15" s="128"/>
      <c r="AQ15" s="128">
        <v>0</v>
      </c>
      <c r="AR15" s="128">
        <f t="shared" si="12"/>
        <v>0</v>
      </c>
      <c r="AS15" s="128"/>
      <c r="AT15" s="128">
        <v>0</v>
      </c>
      <c r="AU15" s="128">
        <f t="shared" si="13"/>
        <v>0</v>
      </c>
      <c r="AV15" s="128"/>
      <c r="AW15" s="128"/>
      <c r="AX15" s="128">
        <f t="shared" si="14"/>
        <v>0</v>
      </c>
    </row>
    <row r="16" spans="1:50" x14ac:dyDescent="0.2">
      <c r="A16" s="234" t="s">
        <v>90</v>
      </c>
      <c r="B16" s="128">
        <v>11</v>
      </c>
      <c r="C16" s="128"/>
      <c r="D16" s="128"/>
      <c r="E16" s="128">
        <f t="shared" si="0"/>
        <v>11</v>
      </c>
      <c r="F16" s="128"/>
      <c r="G16" s="128"/>
      <c r="H16" s="215">
        <f t="shared" si="15"/>
        <v>11</v>
      </c>
      <c r="K16" s="215">
        <f t="shared" si="1"/>
        <v>11</v>
      </c>
      <c r="L16" s="128"/>
      <c r="M16" s="128"/>
      <c r="N16" s="215">
        <f t="shared" si="2"/>
        <v>11</v>
      </c>
      <c r="O16" s="128"/>
      <c r="P16" s="128"/>
      <c r="Q16" s="215">
        <f t="shared" si="3"/>
        <v>11</v>
      </c>
      <c r="R16" s="128"/>
      <c r="S16" s="128"/>
      <c r="T16" s="128">
        <f t="shared" si="4"/>
        <v>11</v>
      </c>
      <c r="U16" s="128"/>
      <c r="V16" s="128"/>
      <c r="W16" s="128">
        <f t="shared" si="5"/>
        <v>11</v>
      </c>
      <c r="X16" s="128"/>
      <c r="Y16" s="128"/>
      <c r="Z16" s="128">
        <f t="shared" si="6"/>
        <v>11</v>
      </c>
      <c r="AA16" s="128"/>
      <c r="AB16" s="128"/>
      <c r="AC16" s="128">
        <f t="shared" si="7"/>
        <v>11</v>
      </c>
      <c r="AD16" s="128"/>
      <c r="AE16" s="128"/>
      <c r="AF16" s="128">
        <f t="shared" si="8"/>
        <v>11</v>
      </c>
      <c r="AG16" s="128"/>
      <c r="AH16" s="128"/>
      <c r="AI16" s="128">
        <f t="shared" si="9"/>
        <v>11</v>
      </c>
      <c r="AJ16" s="128"/>
      <c r="AK16" s="128"/>
      <c r="AL16" s="128">
        <f t="shared" si="10"/>
        <v>11</v>
      </c>
      <c r="AM16" s="128"/>
      <c r="AN16" s="128"/>
      <c r="AO16" s="128">
        <f t="shared" si="11"/>
        <v>11</v>
      </c>
      <c r="AP16" s="128"/>
      <c r="AQ16" s="128">
        <v>0</v>
      </c>
      <c r="AR16" s="128">
        <f t="shared" si="12"/>
        <v>11</v>
      </c>
      <c r="AS16" s="128"/>
      <c r="AT16" s="128">
        <v>0</v>
      </c>
      <c r="AU16" s="128">
        <f t="shared" si="13"/>
        <v>11</v>
      </c>
      <c r="AV16" s="128"/>
      <c r="AW16" s="128"/>
      <c r="AX16" s="128">
        <f t="shared" si="14"/>
        <v>11</v>
      </c>
    </row>
    <row r="17" spans="1:50" x14ac:dyDescent="0.2">
      <c r="A17" s="234" t="s">
        <v>91</v>
      </c>
      <c r="B17" s="128">
        <v>2</v>
      </c>
      <c r="C17" s="128"/>
      <c r="D17" s="128"/>
      <c r="E17" s="128">
        <f t="shared" si="0"/>
        <v>2</v>
      </c>
      <c r="F17" s="128"/>
      <c r="G17" s="128"/>
      <c r="H17" s="215">
        <f t="shared" si="15"/>
        <v>2</v>
      </c>
      <c r="K17" s="215">
        <f t="shared" si="1"/>
        <v>2</v>
      </c>
      <c r="L17" s="128"/>
      <c r="M17" s="128"/>
      <c r="N17" s="215">
        <f t="shared" si="2"/>
        <v>2</v>
      </c>
      <c r="O17" s="128"/>
      <c r="P17" s="128"/>
      <c r="Q17" s="215">
        <f t="shared" si="3"/>
        <v>2</v>
      </c>
      <c r="R17" s="128"/>
      <c r="S17" s="128"/>
      <c r="T17" s="128">
        <f t="shared" si="4"/>
        <v>2</v>
      </c>
      <c r="U17" s="128"/>
      <c r="V17" s="128"/>
      <c r="W17" s="128">
        <f t="shared" si="5"/>
        <v>2</v>
      </c>
      <c r="X17" s="128"/>
      <c r="Y17" s="128"/>
      <c r="Z17" s="128">
        <f t="shared" si="6"/>
        <v>2</v>
      </c>
      <c r="AA17" s="128"/>
      <c r="AB17" s="128"/>
      <c r="AC17" s="128">
        <f t="shared" si="7"/>
        <v>2</v>
      </c>
      <c r="AD17" s="128"/>
      <c r="AE17" s="128"/>
      <c r="AF17" s="128">
        <f t="shared" si="8"/>
        <v>2</v>
      </c>
      <c r="AG17" s="128"/>
      <c r="AH17" s="128"/>
      <c r="AI17" s="128">
        <f t="shared" si="9"/>
        <v>2</v>
      </c>
      <c r="AJ17" s="128"/>
      <c r="AK17" s="128"/>
      <c r="AL17" s="128">
        <f t="shared" si="10"/>
        <v>2</v>
      </c>
      <c r="AM17" s="128"/>
      <c r="AN17" s="128"/>
      <c r="AO17" s="128">
        <f t="shared" si="11"/>
        <v>2</v>
      </c>
      <c r="AP17" s="128"/>
      <c r="AQ17" s="128">
        <v>0</v>
      </c>
      <c r="AR17" s="128">
        <f t="shared" si="12"/>
        <v>2</v>
      </c>
      <c r="AS17" s="128"/>
      <c r="AT17" s="128">
        <v>0</v>
      </c>
      <c r="AU17" s="128">
        <f t="shared" si="13"/>
        <v>2</v>
      </c>
      <c r="AV17" s="128"/>
      <c r="AW17" s="128"/>
      <c r="AX17" s="128">
        <f t="shared" si="14"/>
        <v>2</v>
      </c>
    </row>
    <row r="18" spans="1:50" x14ac:dyDescent="0.2">
      <c r="A18" s="234" t="s">
        <v>92</v>
      </c>
      <c r="B18" s="128">
        <v>4</v>
      </c>
      <c r="C18" s="128"/>
      <c r="D18" s="128"/>
      <c r="E18" s="128">
        <f t="shared" si="0"/>
        <v>4</v>
      </c>
      <c r="F18" s="128"/>
      <c r="G18" s="128"/>
      <c r="H18" s="215">
        <f t="shared" si="15"/>
        <v>4</v>
      </c>
      <c r="K18" s="215">
        <f t="shared" si="1"/>
        <v>4</v>
      </c>
      <c r="L18" s="128"/>
      <c r="M18" s="128"/>
      <c r="N18" s="215">
        <f t="shared" si="2"/>
        <v>4</v>
      </c>
      <c r="O18" s="128"/>
      <c r="P18" s="128"/>
      <c r="Q18" s="215">
        <f t="shared" si="3"/>
        <v>4</v>
      </c>
      <c r="R18" s="128"/>
      <c r="S18" s="128"/>
      <c r="T18" s="128">
        <f t="shared" si="4"/>
        <v>4</v>
      </c>
      <c r="U18" s="128"/>
      <c r="V18" s="128"/>
      <c r="W18" s="128">
        <f t="shared" si="5"/>
        <v>4</v>
      </c>
      <c r="X18" s="128"/>
      <c r="Y18" s="128"/>
      <c r="Z18" s="128">
        <f t="shared" si="6"/>
        <v>4</v>
      </c>
      <c r="AA18" s="128"/>
      <c r="AB18" s="128"/>
      <c r="AC18" s="128">
        <f t="shared" si="7"/>
        <v>4</v>
      </c>
      <c r="AD18" s="128"/>
      <c r="AE18" s="128"/>
      <c r="AF18" s="128">
        <f t="shared" si="8"/>
        <v>4</v>
      </c>
      <c r="AG18" s="128"/>
      <c r="AH18" s="128"/>
      <c r="AI18" s="128">
        <f t="shared" si="9"/>
        <v>4</v>
      </c>
      <c r="AJ18" s="128"/>
      <c r="AK18" s="128"/>
      <c r="AL18" s="128">
        <f t="shared" si="10"/>
        <v>4</v>
      </c>
      <c r="AM18" s="128"/>
      <c r="AN18" s="128"/>
      <c r="AO18" s="128">
        <f t="shared" si="11"/>
        <v>4</v>
      </c>
      <c r="AP18" s="128"/>
      <c r="AQ18" s="128">
        <v>0</v>
      </c>
      <c r="AR18" s="128">
        <f t="shared" si="12"/>
        <v>4</v>
      </c>
      <c r="AS18" s="128"/>
      <c r="AT18" s="128">
        <v>0</v>
      </c>
      <c r="AU18" s="128">
        <f t="shared" si="13"/>
        <v>4</v>
      </c>
      <c r="AV18" s="128"/>
      <c r="AW18" s="128"/>
      <c r="AX18" s="128">
        <f t="shared" si="14"/>
        <v>4</v>
      </c>
    </row>
    <row r="19" spans="1:50" x14ac:dyDescent="0.2">
      <c r="A19" s="234" t="s">
        <v>93</v>
      </c>
      <c r="B19" s="128">
        <v>31</v>
      </c>
      <c r="C19" s="128"/>
      <c r="D19" s="128"/>
      <c r="E19" s="128">
        <f t="shared" si="0"/>
        <v>31</v>
      </c>
      <c r="F19" s="128"/>
      <c r="G19" s="128"/>
      <c r="H19" s="215">
        <f t="shared" si="15"/>
        <v>31</v>
      </c>
      <c r="K19" s="215">
        <f t="shared" si="1"/>
        <v>31</v>
      </c>
      <c r="L19" s="128"/>
      <c r="M19" s="128"/>
      <c r="N19" s="215">
        <f t="shared" si="2"/>
        <v>31</v>
      </c>
      <c r="O19" s="128"/>
      <c r="P19" s="128"/>
      <c r="Q19" s="215">
        <f t="shared" si="3"/>
        <v>31</v>
      </c>
      <c r="R19" s="128"/>
      <c r="S19" s="128"/>
      <c r="T19" s="128">
        <f t="shared" si="4"/>
        <v>31</v>
      </c>
      <c r="U19" s="128"/>
      <c r="V19" s="128"/>
      <c r="W19" s="128">
        <f t="shared" si="5"/>
        <v>31</v>
      </c>
      <c r="X19" s="128"/>
      <c r="Y19" s="128"/>
      <c r="Z19" s="128">
        <f t="shared" si="6"/>
        <v>31</v>
      </c>
      <c r="AA19" s="128"/>
      <c r="AB19" s="128"/>
      <c r="AC19" s="128">
        <f t="shared" si="7"/>
        <v>31</v>
      </c>
      <c r="AD19" s="128"/>
      <c r="AE19" s="128"/>
      <c r="AF19" s="128">
        <f t="shared" si="8"/>
        <v>31</v>
      </c>
      <c r="AG19" s="128"/>
      <c r="AH19" s="128"/>
      <c r="AI19" s="128">
        <f t="shared" si="9"/>
        <v>31</v>
      </c>
      <c r="AJ19" s="128"/>
      <c r="AK19" s="128"/>
      <c r="AL19" s="128">
        <f t="shared" si="10"/>
        <v>31</v>
      </c>
      <c r="AM19" s="128"/>
      <c r="AN19" s="128"/>
      <c r="AO19" s="128">
        <f t="shared" si="11"/>
        <v>31</v>
      </c>
      <c r="AP19" s="128"/>
      <c r="AQ19" s="128">
        <v>0</v>
      </c>
      <c r="AR19" s="128">
        <f t="shared" si="12"/>
        <v>31</v>
      </c>
      <c r="AS19" s="128"/>
      <c r="AT19" s="128">
        <v>0</v>
      </c>
      <c r="AU19" s="128">
        <f t="shared" si="13"/>
        <v>31</v>
      </c>
      <c r="AV19" s="128"/>
      <c r="AW19" s="128"/>
      <c r="AX19" s="128">
        <f t="shared" si="14"/>
        <v>31</v>
      </c>
    </row>
    <row r="20" spans="1:50" x14ac:dyDescent="0.2">
      <c r="A20" s="234" t="s">
        <v>94</v>
      </c>
      <c r="B20" s="128">
        <v>8</v>
      </c>
      <c r="C20" s="128"/>
      <c r="D20" s="128"/>
      <c r="E20" s="128">
        <f>B20+C20-D20</f>
        <v>8</v>
      </c>
      <c r="F20" s="128"/>
      <c r="G20" s="128"/>
      <c r="H20" s="215">
        <f>E20+F20-G20</f>
        <v>8</v>
      </c>
      <c r="K20" s="215">
        <f t="shared" si="1"/>
        <v>8</v>
      </c>
      <c r="L20" s="128"/>
      <c r="M20" s="128"/>
      <c r="N20" s="215">
        <f t="shared" si="2"/>
        <v>8</v>
      </c>
      <c r="O20" s="128"/>
      <c r="P20" s="128"/>
      <c r="Q20" s="215">
        <f t="shared" si="3"/>
        <v>8</v>
      </c>
      <c r="R20" s="128"/>
      <c r="S20" s="128"/>
      <c r="T20" s="128">
        <f t="shared" si="4"/>
        <v>8</v>
      </c>
      <c r="U20" s="128"/>
      <c r="V20" s="128"/>
      <c r="W20" s="128">
        <f t="shared" si="5"/>
        <v>8</v>
      </c>
      <c r="X20" s="128"/>
      <c r="Y20" s="128"/>
      <c r="Z20" s="128">
        <f t="shared" si="6"/>
        <v>8</v>
      </c>
      <c r="AA20" s="128"/>
      <c r="AB20" s="128"/>
      <c r="AC20" s="128">
        <f t="shared" si="7"/>
        <v>8</v>
      </c>
      <c r="AD20" s="128"/>
      <c r="AE20" s="128"/>
      <c r="AF20" s="128">
        <f t="shared" si="8"/>
        <v>8</v>
      </c>
      <c r="AG20" s="128"/>
      <c r="AH20" s="128"/>
      <c r="AI20" s="128">
        <f t="shared" si="9"/>
        <v>8</v>
      </c>
      <c r="AJ20" s="128"/>
      <c r="AK20" s="128"/>
      <c r="AL20" s="128">
        <f t="shared" si="10"/>
        <v>8</v>
      </c>
      <c r="AM20" s="128"/>
      <c r="AN20" s="128"/>
      <c r="AO20" s="128">
        <f t="shared" si="11"/>
        <v>8</v>
      </c>
      <c r="AP20" s="128"/>
      <c r="AQ20" s="128">
        <v>0</v>
      </c>
      <c r="AR20" s="128">
        <f t="shared" si="12"/>
        <v>8</v>
      </c>
      <c r="AS20" s="128"/>
      <c r="AT20" s="128">
        <v>0</v>
      </c>
      <c r="AU20" s="128">
        <f t="shared" si="13"/>
        <v>8</v>
      </c>
      <c r="AV20" s="128"/>
      <c r="AW20" s="128"/>
      <c r="AX20" s="128">
        <f t="shared" si="14"/>
        <v>8</v>
      </c>
    </row>
    <row r="21" spans="1:50" x14ac:dyDescent="0.2">
      <c r="A21" s="234" t="s">
        <v>95</v>
      </c>
      <c r="B21" s="128">
        <v>25</v>
      </c>
      <c r="C21" s="128"/>
      <c r="D21" s="128"/>
      <c r="E21" s="128">
        <f t="shared" si="0"/>
        <v>25</v>
      </c>
      <c r="F21" s="128"/>
      <c r="G21" s="128"/>
      <c r="H21" s="215">
        <f t="shared" si="15"/>
        <v>25</v>
      </c>
      <c r="K21" s="215">
        <f t="shared" si="1"/>
        <v>25</v>
      </c>
      <c r="L21" s="128"/>
      <c r="M21" s="128"/>
      <c r="N21" s="215">
        <f t="shared" si="2"/>
        <v>25</v>
      </c>
      <c r="O21" s="128"/>
      <c r="P21" s="128"/>
      <c r="Q21" s="215">
        <f t="shared" si="3"/>
        <v>25</v>
      </c>
      <c r="R21" s="128"/>
      <c r="S21" s="128"/>
      <c r="T21" s="128">
        <f t="shared" si="4"/>
        <v>25</v>
      </c>
      <c r="U21" s="128"/>
      <c r="V21" s="128"/>
      <c r="W21" s="128">
        <f t="shared" si="5"/>
        <v>25</v>
      </c>
      <c r="X21" s="128"/>
      <c r="Y21" s="128"/>
      <c r="Z21" s="128">
        <f t="shared" si="6"/>
        <v>25</v>
      </c>
      <c r="AA21" s="128"/>
      <c r="AB21" s="128"/>
      <c r="AC21" s="128">
        <f t="shared" si="7"/>
        <v>25</v>
      </c>
      <c r="AD21" s="128"/>
      <c r="AE21" s="128"/>
      <c r="AF21" s="128">
        <f t="shared" si="8"/>
        <v>25</v>
      </c>
      <c r="AG21" s="128"/>
      <c r="AH21" s="128"/>
      <c r="AI21" s="128">
        <f t="shared" si="9"/>
        <v>25</v>
      </c>
      <c r="AJ21" s="128"/>
      <c r="AK21" s="128"/>
      <c r="AL21" s="128">
        <f t="shared" si="10"/>
        <v>25</v>
      </c>
      <c r="AM21" s="128"/>
      <c r="AN21" s="128"/>
      <c r="AO21" s="128">
        <f t="shared" si="11"/>
        <v>25</v>
      </c>
      <c r="AP21" s="128"/>
      <c r="AQ21" s="128">
        <v>0</v>
      </c>
      <c r="AR21" s="128">
        <f t="shared" si="12"/>
        <v>25</v>
      </c>
      <c r="AS21" s="128"/>
      <c r="AT21" s="128">
        <v>0</v>
      </c>
      <c r="AU21" s="128">
        <f t="shared" si="13"/>
        <v>25</v>
      </c>
      <c r="AV21" s="128"/>
      <c r="AW21" s="128"/>
      <c r="AX21" s="128">
        <f t="shared" si="14"/>
        <v>25</v>
      </c>
    </row>
    <row r="22" spans="1:50" x14ac:dyDescent="0.2">
      <c r="A22" s="234" t="s">
        <v>96</v>
      </c>
      <c r="B22" s="128">
        <v>19</v>
      </c>
      <c r="C22" s="128"/>
      <c r="D22" s="128"/>
      <c r="E22" s="128">
        <f t="shared" si="0"/>
        <v>19</v>
      </c>
      <c r="F22" s="128"/>
      <c r="G22" s="128"/>
      <c r="H22" s="215">
        <f t="shared" si="15"/>
        <v>19</v>
      </c>
      <c r="K22" s="215">
        <f t="shared" si="1"/>
        <v>19</v>
      </c>
      <c r="L22" s="128"/>
      <c r="M22" s="128"/>
      <c r="N22" s="215">
        <f t="shared" si="2"/>
        <v>19</v>
      </c>
      <c r="O22" s="128"/>
      <c r="P22" s="128"/>
      <c r="Q22" s="215">
        <f t="shared" si="3"/>
        <v>19</v>
      </c>
      <c r="R22" s="128"/>
      <c r="S22" s="128"/>
      <c r="T22" s="128">
        <f t="shared" si="4"/>
        <v>19</v>
      </c>
      <c r="U22" s="128"/>
      <c r="V22" s="128"/>
      <c r="W22" s="128">
        <f t="shared" si="5"/>
        <v>19</v>
      </c>
      <c r="X22" s="128"/>
      <c r="Y22" s="128"/>
      <c r="Z22" s="128">
        <f t="shared" si="6"/>
        <v>19</v>
      </c>
      <c r="AA22" s="128"/>
      <c r="AB22" s="128"/>
      <c r="AC22" s="128">
        <f t="shared" si="7"/>
        <v>19</v>
      </c>
      <c r="AD22" s="128"/>
      <c r="AE22" s="128"/>
      <c r="AF22" s="128">
        <f t="shared" si="8"/>
        <v>19</v>
      </c>
      <c r="AG22" s="128"/>
      <c r="AH22" s="128"/>
      <c r="AI22" s="128">
        <f t="shared" si="9"/>
        <v>19</v>
      </c>
      <c r="AJ22" s="128"/>
      <c r="AK22" s="128"/>
      <c r="AL22" s="128">
        <f t="shared" si="10"/>
        <v>19</v>
      </c>
      <c r="AM22" s="128"/>
      <c r="AN22" s="128"/>
      <c r="AO22" s="128">
        <f t="shared" si="11"/>
        <v>19</v>
      </c>
      <c r="AP22" s="128"/>
      <c r="AQ22" s="128">
        <v>0</v>
      </c>
      <c r="AR22" s="128">
        <f t="shared" si="12"/>
        <v>19</v>
      </c>
      <c r="AS22" s="128"/>
      <c r="AT22" s="128">
        <v>0</v>
      </c>
      <c r="AU22" s="128">
        <f t="shared" si="13"/>
        <v>19</v>
      </c>
      <c r="AV22" s="128"/>
      <c r="AW22" s="128"/>
      <c r="AX22" s="128">
        <f t="shared" si="14"/>
        <v>19</v>
      </c>
    </row>
    <row r="23" spans="1:50" x14ac:dyDescent="0.2">
      <c r="A23" s="234" t="s">
        <v>97</v>
      </c>
      <c r="B23" s="128">
        <v>3</v>
      </c>
      <c r="C23" s="128"/>
      <c r="D23" s="128"/>
      <c r="E23" s="128">
        <f t="shared" si="0"/>
        <v>3</v>
      </c>
      <c r="F23" s="128"/>
      <c r="G23" s="128"/>
      <c r="H23" s="215">
        <f t="shared" si="15"/>
        <v>3</v>
      </c>
      <c r="K23" s="215">
        <f t="shared" si="1"/>
        <v>3</v>
      </c>
      <c r="L23" s="128"/>
      <c r="M23" s="128"/>
      <c r="N23" s="215">
        <f t="shared" si="2"/>
        <v>3</v>
      </c>
      <c r="O23" s="128"/>
      <c r="P23" s="128"/>
      <c r="Q23" s="215">
        <f t="shared" si="3"/>
        <v>3</v>
      </c>
      <c r="R23" s="128"/>
      <c r="S23" s="128"/>
      <c r="T23" s="128">
        <f t="shared" si="4"/>
        <v>3</v>
      </c>
      <c r="U23" s="128"/>
      <c r="V23" s="128"/>
      <c r="W23" s="128">
        <f t="shared" si="5"/>
        <v>3</v>
      </c>
      <c r="X23" s="128"/>
      <c r="Y23" s="128"/>
      <c r="Z23" s="128">
        <f t="shared" si="6"/>
        <v>3</v>
      </c>
      <c r="AA23" s="128"/>
      <c r="AB23" s="128"/>
      <c r="AC23" s="128">
        <f t="shared" si="7"/>
        <v>3</v>
      </c>
      <c r="AD23" s="128"/>
      <c r="AE23" s="128"/>
      <c r="AF23" s="128">
        <f t="shared" si="8"/>
        <v>3</v>
      </c>
      <c r="AG23" s="128"/>
      <c r="AH23" s="128"/>
      <c r="AI23" s="128">
        <f t="shared" si="9"/>
        <v>3</v>
      </c>
      <c r="AJ23" s="128"/>
      <c r="AK23" s="128"/>
      <c r="AL23" s="128">
        <f t="shared" si="10"/>
        <v>3</v>
      </c>
      <c r="AM23" s="128"/>
      <c r="AN23" s="128"/>
      <c r="AO23" s="128">
        <f t="shared" si="11"/>
        <v>3</v>
      </c>
      <c r="AP23" s="128"/>
      <c r="AQ23" s="128">
        <v>0</v>
      </c>
      <c r="AR23" s="128">
        <f t="shared" si="12"/>
        <v>3</v>
      </c>
      <c r="AS23" s="128"/>
      <c r="AT23" s="128">
        <v>0</v>
      </c>
      <c r="AU23" s="128">
        <f t="shared" si="13"/>
        <v>3</v>
      </c>
      <c r="AV23" s="128"/>
      <c r="AW23" s="128"/>
      <c r="AX23" s="128">
        <f t="shared" si="14"/>
        <v>3</v>
      </c>
    </row>
    <row r="24" spans="1:50" x14ac:dyDescent="0.2">
      <c r="A24" s="234" t="s">
        <v>98</v>
      </c>
      <c r="B24" s="128">
        <v>7</v>
      </c>
      <c r="C24" s="128"/>
      <c r="D24" s="128"/>
      <c r="E24" s="128">
        <f t="shared" si="0"/>
        <v>7</v>
      </c>
      <c r="F24" s="128"/>
      <c r="G24" s="128"/>
      <c r="H24" s="215">
        <f t="shared" si="15"/>
        <v>7</v>
      </c>
      <c r="K24" s="215">
        <f t="shared" si="1"/>
        <v>7</v>
      </c>
      <c r="L24" s="128"/>
      <c r="M24" s="128"/>
      <c r="N24" s="215">
        <f t="shared" si="2"/>
        <v>7</v>
      </c>
      <c r="O24" s="128"/>
      <c r="P24" s="128"/>
      <c r="Q24" s="215">
        <f t="shared" si="3"/>
        <v>7</v>
      </c>
      <c r="R24" s="128"/>
      <c r="S24" s="128"/>
      <c r="T24" s="128">
        <f t="shared" si="4"/>
        <v>7</v>
      </c>
      <c r="U24" s="128"/>
      <c r="V24" s="128"/>
      <c r="W24" s="128">
        <f t="shared" si="5"/>
        <v>7</v>
      </c>
      <c r="X24" s="128"/>
      <c r="Y24" s="128"/>
      <c r="Z24" s="128">
        <f t="shared" si="6"/>
        <v>7</v>
      </c>
      <c r="AA24" s="128"/>
      <c r="AB24" s="128"/>
      <c r="AC24" s="128">
        <f t="shared" si="7"/>
        <v>7</v>
      </c>
      <c r="AD24" s="128"/>
      <c r="AE24" s="128"/>
      <c r="AF24" s="128">
        <f t="shared" si="8"/>
        <v>7</v>
      </c>
      <c r="AG24" s="128"/>
      <c r="AH24" s="128"/>
      <c r="AI24" s="128">
        <f t="shared" si="9"/>
        <v>7</v>
      </c>
      <c r="AJ24" s="128"/>
      <c r="AK24" s="128"/>
      <c r="AL24" s="128">
        <f t="shared" si="10"/>
        <v>7</v>
      </c>
      <c r="AM24" s="128"/>
      <c r="AN24" s="128"/>
      <c r="AO24" s="128">
        <f t="shared" si="11"/>
        <v>7</v>
      </c>
      <c r="AP24" s="128"/>
      <c r="AQ24" s="128">
        <v>0</v>
      </c>
      <c r="AR24" s="128">
        <f t="shared" si="12"/>
        <v>7</v>
      </c>
      <c r="AS24" s="128"/>
      <c r="AT24" s="128">
        <v>0</v>
      </c>
      <c r="AU24" s="128">
        <f t="shared" si="13"/>
        <v>7</v>
      </c>
      <c r="AV24" s="128"/>
      <c r="AW24" s="128"/>
      <c r="AX24" s="128">
        <f t="shared" si="14"/>
        <v>7</v>
      </c>
    </row>
    <row r="25" spans="1:50" s="143" customFormat="1" x14ac:dyDescent="0.2">
      <c r="A25" s="235" t="s">
        <v>99</v>
      </c>
      <c r="B25" s="142">
        <v>27</v>
      </c>
      <c r="C25" s="142"/>
      <c r="D25" s="142">
        <v>5</v>
      </c>
      <c r="E25" s="142">
        <f t="shared" si="0"/>
        <v>22</v>
      </c>
      <c r="F25" s="142">
        <v>24</v>
      </c>
      <c r="G25" s="142"/>
      <c r="H25" s="216">
        <f t="shared" si="15"/>
        <v>46</v>
      </c>
      <c r="I25" s="142"/>
      <c r="J25" s="142">
        <v>33</v>
      </c>
      <c r="K25" s="216">
        <f t="shared" si="1"/>
        <v>13</v>
      </c>
      <c r="L25" s="142"/>
      <c r="M25" s="142">
        <v>13</v>
      </c>
      <c r="N25" s="216">
        <f t="shared" si="2"/>
        <v>0</v>
      </c>
      <c r="O25" s="142"/>
      <c r="P25" s="142">
        <v>0</v>
      </c>
      <c r="Q25" s="216">
        <f t="shared" si="3"/>
        <v>0</v>
      </c>
      <c r="R25" s="142">
        <v>24</v>
      </c>
      <c r="S25" s="142">
        <v>13</v>
      </c>
      <c r="T25" s="128">
        <f t="shared" si="4"/>
        <v>11</v>
      </c>
      <c r="U25" s="142"/>
      <c r="V25" s="142"/>
      <c r="W25" s="128">
        <f t="shared" si="5"/>
        <v>11</v>
      </c>
      <c r="X25" s="142">
        <v>7</v>
      </c>
      <c r="Y25" s="142">
        <v>13</v>
      </c>
      <c r="Z25" s="128">
        <f t="shared" si="6"/>
        <v>5</v>
      </c>
      <c r="AA25" s="142">
        <v>24</v>
      </c>
      <c r="AB25" s="142"/>
      <c r="AC25" s="128">
        <f t="shared" si="7"/>
        <v>29</v>
      </c>
      <c r="AD25" s="142"/>
      <c r="AE25" s="142">
        <v>4</v>
      </c>
      <c r="AF25" s="128">
        <f t="shared" si="8"/>
        <v>25</v>
      </c>
      <c r="AG25" s="142">
        <v>24</v>
      </c>
      <c r="AH25" s="142">
        <v>3</v>
      </c>
      <c r="AI25" s="128">
        <f t="shared" si="9"/>
        <v>46</v>
      </c>
      <c r="AJ25" s="142"/>
      <c r="AK25" s="142">
        <v>4</v>
      </c>
      <c r="AL25" s="128">
        <f>AI25+AJ25-AK25</f>
        <v>42</v>
      </c>
      <c r="AM25" s="142"/>
      <c r="AN25" s="142">
        <v>11</v>
      </c>
      <c r="AO25" s="128">
        <v>20</v>
      </c>
      <c r="AP25" s="142"/>
      <c r="AQ25" s="142">
        <v>1</v>
      </c>
      <c r="AR25" s="128">
        <f t="shared" si="12"/>
        <v>19</v>
      </c>
      <c r="AS25" s="142">
        <v>24</v>
      </c>
      <c r="AT25" s="142">
        <v>0</v>
      </c>
      <c r="AU25" s="128">
        <f t="shared" si="13"/>
        <v>43</v>
      </c>
      <c r="AV25" s="142"/>
      <c r="AW25" s="142">
        <v>9</v>
      </c>
      <c r="AX25" s="128">
        <f t="shared" si="14"/>
        <v>34</v>
      </c>
    </row>
    <row r="26" spans="1:50" s="122" customFormat="1" x14ac:dyDescent="0.2">
      <c r="A26" s="236" t="s">
        <v>100</v>
      </c>
      <c r="B26" s="130">
        <v>145</v>
      </c>
      <c r="C26" s="130"/>
      <c r="D26" s="130">
        <v>27</v>
      </c>
      <c r="E26" s="130">
        <f t="shared" si="0"/>
        <v>118</v>
      </c>
      <c r="F26" s="130">
        <v>60</v>
      </c>
      <c r="G26" s="142">
        <v>25</v>
      </c>
      <c r="H26" s="217">
        <f t="shared" si="15"/>
        <v>153</v>
      </c>
      <c r="I26" s="130"/>
      <c r="J26" s="130">
        <v>48</v>
      </c>
      <c r="K26" s="215">
        <f t="shared" si="1"/>
        <v>105</v>
      </c>
      <c r="L26" s="130"/>
      <c r="M26" s="130">
        <v>8</v>
      </c>
      <c r="N26" s="215">
        <f t="shared" si="2"/>
        <v>97</v>
      </c>
      <c r="O26" s="130"/>
      <c r="P26" s="130">
        <v>49</v>
      </c>
      <c r="Q26" s="215">
        <v>42</v>
      </c>
      <c r="R26" s="130">
        <v>120</v>
      </c>
      <c r="S26" s="130">
        <v>68</v>
      </c>
      <c r="T26" s="128">
        <f t="shared" si="4"/>
        <v>94</v>
      </c>
      <c r="U26" s="130"/>
      <c r="V26" s="130">
        <v>35</v>
      </c>
      <c r="W26" s="128">
        <f t="shared" si="5"/>
        <v>59</v>
      </c>
      <c r="X26" s="130"/>
      <c r="Y26" s="130">
        <v>47</v>
      </c>
      <c r="Z26" s="128">
        <f t="shared" si="6"/>
        <v>12</v>
      </c>
      <c r="AA26" s="130">
        <v>180</v>
      </c>
      <c r="AB26" s="130">
        <v>59</v>
      </c>
      <c r="AC26" s="128">
        <f t="shared" si="7"/>
        <v>133</v>
      </c>
      <c r="AD26" s="130"/>
      <c r="AE26" s="130">
        <v>71</v>
      </c>
      <c r="AF26" s="128">
        <f t="shared" si="8"/>
        <v>62</v>
      </c>
      <c r="AG26" s="130">
        <v>120</v>
      </c>
      <c r="AH26" s="130">
        <v>70</v>
      </c>
      <c r="AI26" s="128">
        <f t="shared" si="9"/>
        <v>112</v>
      </c>
      <c r="AJ26" s="130"/>
      <c r="AK26" s="130">
        <v>9</v>
      </c>
      <c r="AL26" s="128">
        <f t="shared" si="10"/>
        <v>103</v>
      </c>
      <c r="AM26" s="130"/>
      <c r="AN26" s="130">
        <v>50</v>
      </c>
      <c r="AO26" s="128">
        <f t="shared" si="11"/>
        <v>53</v>
      </c>
      <c r="AP26" s="130"/>
      <c r="AQ26" s="130">
        <v>26</v>
      </c>
      <c r="AR26" s="128">
        <f t="shared" si="12"/>
        <v>27</v>
      </c>
      <c r="AS26" s="130">
        <v>150</v>
      </c>
      <c r="AT26" s="130">
        <v>2</v>
      </c>
      <c r="AU26" s="128">
        <f t="shared" si="13"/>
        <v>175</v>
      </c>
      <c r="AV26" s="130"/>
      <c r="AW26" s="130">
        <v>68</v>
      </c>
      <c r="AX26" s="128">
        <f t="shared" si="14"/>
        <v>107</v>
      </c>
    </row>
    <row r="27" spans="1:50" s="246" customFormat="1" x14ac:dyDescent="0.2">
      <c r="A27" s="244" t="s">
        <v>101</v>
      </c>
      <c r="B27" s="245">
        <v>143</v>
      </c>
      <c r="C27" s="245"/>
      <c r="D27" s="245">
        <v>24</v>
      </c>
      <c r="E27" s="245">
        <f t="shared" si="0"/>
        <v>119</v>
      </c>
      <c r="F27" s="245">
        <v>60</v>
      </c>
      <c r="G27" s="245">
        <v>24</v>
      </c>
      <c r="H27" s="252">
        <f t="shared" si="15"/>
        <v>155</v>
      </c>
      <c r="I27" s="245"/>
      <c r="J27" s="245">
        <v>25</v>
      </c>
      <c r="K27" s="215">
        <f t="shared" si="1"/>
        <v>130</v>
      </c>
      <c r="L27" s="245"/>
      <c r="M27" s="245">
        <v>31</v>
      </c>
      <c r="N27" s="215">
        <f t="shared" si="2"/>
        <v>99</v>
      </c>
      <c r="O27" s="245"/>
      <c r="P27" s="245">
        <v>12</v>
      </c>
      <c r="Q27" s="215">
        <f t="shared" si="3"/>
        <v>87</v>
      </c>
      <c r="R27" s="245">
        <v>120</v>
      </c>
      <c r="S27" s="245">
        <v>44</v>
      </c>
      <c r="T27" s="128">
        <f t="shared" si="4"/>
        <v>163</v>
      </c>
      <c r="U27" s="245"/>
      <c r="V27" s="245">
        <v>6</v>
      </c>
      <c r="W27" s="128">
        <f t="shared" si="5"/>
        <v>157</v>
      </c>
      <c r="X27" s="245"/>
      <c r="Y27" s="245">
        <v>44</v>
      </c>
      <c r="Z27" s="128">
        <f t="shared" si="6"/>
        <v>113</v>
      </c>
      <c r="AA27" s="245">
        <v>60</v>
      </c>
      <c r="AB27" s="245">
        <v>31</v>
      </c>
      <c r="AC27" s="128">
        <f t="shared" si="7"/>
        <v>142</v>
      </c>
      <c r="AD27" s="245"/>
      <c r="AE27" s="245">
        <v>42</v>
      </c>
      <c r="AF27" s="128">
        <f t="shared" si="8"/>
        <v>100</v>
      </c>
      <c r="AG27" s="245">
        <v>120</v>
      </c>
      <c r="AH27" s="245">
        <v>38</v>
      </c>
      <c r="AI27" s="128">
        <f t="shared" si="9"/>
        <v>182</v>
      </c>
      <c r="AJ27" s="245"/>
      <c r="AK27" s="245">
        <v>2</v>
      </c>
      <c r="AL27" s="128">
        <f t="shared" si="10"/>
        <v>180</v>
      </c>
      <c r="AM27" s="245"/>
      <c r="AN27" s="245">
        <v>6</v>
      </c>
      <c r="AO27" s="128">
        <f t="shared" si="11"/>
        <v>174</v>
      </c>
      <c r="AP27" s="245"/>
      <c r="AQ27" s="245">
        <v>11</v>
      </c>
      <c r="AR27" s="128">
        <f t="shared" si="12"/>
        <v>163</v>
      </c>
      <c r="AS27" s="245">
        <v>0</v>
      </c>
      <c r="AT27" s="245">
        <v>5</v>
      </c>
      <c r="AU27" s="128">
        <f t="shared" si="13"/>
        <v>158</v>
      </c>
      <c r="AV27" s="245"/>
      <c r="AW27" s="245">
        <v>30</v>
      </c>
      <c r="AX27" s="128">
        <f t="shared" si="14"/>
        <v>128</v>
      </c>
    </row>
    <row r="28" spans="1:50" s="113" customFormat="1" x14ac:dyDescent="0.2">
      <c r="A28" s="237" t="s">
        <v>102</v>
      </c>
      <c r="B28" s="132">
        <v>112</v>
      </c>
      <c r="C28" s="132"/>
      <c r="D28" s="132">
        <v>0</v>
      </c>
      <c r="E28" s="132">
        <f t="shared" si="0"/>
        <v>112</v>
      </c>
      <c r="F28" s="132">
        <v>0</v>
      </c>
      <c r="G28" s="132">
        <v>0</v>
      </c>
      <c r="H28" s="219">
        <v>114</v>
      </c>
      <c r="I28" s="132"/>
      <c r="J28" s="132">
        <v>12</v>
      </c>
      <c r="K28" s="215">
        <f t="shared" si="1"/>
        <v>102</v>
      </c>
      <c r="L28" s="132"/>
      <c r="M28" s="132">
        <v>0</v>
      </c>
      <c r="N28" s="215">
        <f t="shared" si="2"/>
        <v>102</v>
      </c>
      <c r="O28" s="132"/>
      <c r="P28" s="132">
        <v>0</v>
      </c>
      <c r="Q28" s="215">
        <f t="shared" si="3"/>
        <v>102</v>
      </c>
      <c r="R28" s="132">
        <v>0</v>
      </c>
      <c r="S28" s="132">
        <v>2</v>
      </c>
      <c r="T28" s="128">
        <f t="shared" si="4"/>
        <v>100</v>
      </c>
      <c r="U28" s="132"/>
      <c r="V28" s="132">
        <v>4</v>
      </c>
      <c r="W28" s="128">
        <f t="shared" si="5"/>
        <v>96</v>
      </c>
      <c r="X28" s="132">
        <v>4</v>
      </c>
      <c r="Y28" s="132">
        <v>0</v>
      </c>
      <c r="Z28" s="128">
        <f t="shared" si="6"/>
        <v>100</v>
      </c>
      <c r="AA28" s="132">
        <v>0</v>
      </c>
      <c r="AB28" s="132">
        <v>7</v>
      </c>
      <c r="AC28" s="128">
        <f t="shared" si="7"/>
        <v>93</v>
      </c>
      <c r="AD28" s="132"/>
      <c r="AE28" s="132">
        <v>11</v>
      </c>
      <c r="AF28" s="128">
        <f t="shared" si="8"/>
        <v>82</v>
      </c>
      <c r="AG28" s="132">
        <v>0</v>
      </c>
      <c r="AH28" s="132">
        <v>14</v>
      </c>
      <c r="AI28" s="128">
        <f t="shared" si="9"/>
        <v>68</v>
      </c>
      <c r="AJ28" s="132"/>
      <c r="AK28" s="132">
        <v>2</v>
      </c>
      <c r="AL28" s="128">
        <f t="shared" si="10"/>
        <v>66</v>
      </c>
      <c r="AM28" s="132"/>
      <c r="AN28" s="132">
        <v>7</v>
      </c>
      <c r="AO28" s="128">
        <f t="shared" si="11"/>
        <v>59</v>
      </c>
      <c r="AP28" s="132"/>
      <c r="AQ28" s="132">
        <v>0</v>
      </c>
      <c r="AR28" s="128">
        <f t="shared" si="12"/>
        <v>59</v>
      </c>
      <c r="AS28" s="132">
        <v>30</v>
      </c>
      <c r="AT28" s="132">
        <v>0</v>
      </c>
      <c r="AU28" s="128">
        <f t="shared" si="13"/>
        <v>89</v>
      </c>
      <c r="AV28" s="132"/>
      <c r="AW28" s="132">
        <v>25</v>
      </c>
      <c r="AX28" s="128">
        <f t="shared" si="14"/>
        <v>64</v>
      </c>
    </row>
    <row r="29" spans="1:50" s="251" customFormat="1" x14ac:dyDescent="0.2">
      <c r="A29" s="250" t="s">
        <v>103</v>
      </c>
      <c r="B29" s="144">
        <v>124</v>
      </c>
      <c r="C29" s="144"/>
      <c r="D29" s="144">
        <v>7</v>
      </c>
      <c r="E29" s="144">
        <f t="shared" si="0"/>
        <v>117</v>
      </c>
      <c r="F29" s="144">
        <v>30</v>
      </c>
      <c r="G29" s="144">
        <v>0</v>
      </c>
      <c r="H29" s="220">
        <f t="shared" si="15"/>
        <v>147</v>
      </c>
      <c r="I29" s="144"/>
      <c r="J29" s="144">
        <v>11</v>
      </c>
      <c r="K29" s="215">
        <f t="shared" si="1"/>
        <v>136</v>
      </c>
      <c r="L29" s="144"/>
      <c r="M29" s="144">
        <v>39</v>
      </c>
      <c r="N29" s="215">
        <f t="shared" si="2"/>
        <v>97</v>
      </c>
      <c r="O29" s="144"/>
      <c r="P29" s="144">
        <v>0</v>
      </c>
      <c r="Q29" s="215">
        <f t="shared" si="3"/>
        <v>97</v>
      </c>
      <c r="R29" s="144">
        <v>30</v>
      </c>
      <c r="S29" s="144">
        <v>18</v>
      </c>
      <c r="T29" s="128">
        <f t="shared" si="4"/>
        <v>109</v>
      </c>
      <c r="U29" s="144"/>
      <c r="V29" s="144">
        <v>0</v>
      </c>
      <c r="W29" s="128">
        <f t="shared" si="5"/>
        <v>109</v>
      </c>
      <c r="X29" s="144"/>
      <c r="Y29" s="144">
        <v>8</v>
      </c>
      <c r="Z29" s="128">
        <f t="shared" si="6"/>
        <v>101</v>
      </c>
      <c r="AA29" s="144">
        <v>30</v>
      </c>
      <c r="AB29" s="144">
        <v>25</v>
      </c>
      <c r="AC29" s="128">
        <f t="shared" si="7"/>
        <v>106</v>
      </c>
      <c r="AD29" s="144"/>
      <c r="AE29" s="144">
        <v>30</v>
      </c>
      <c r="AF29" s="128">
        <f t="shared" si="8"/>
        <v>76</v>
      </c>
      <c r="AG29" s="144">
        <v>60</v>
      </c>
      <c r="AH29" s="144">
        <v>0</v>
      </c>
      <c r="AI29" s="128">
        <f t="shared" si="9"/>
        <v>136</v>
      </c>
      <c r="AJ29" s="144"/>
      <c r="AK29" s="144">
        <v>5</v>
      </c>
      <c r="AL29" s="128">
        <f t="shared" si="10"/>
        <v>131</v>
      </c>
      <c r="AM29" s="144"/>
      <c r="AN29" s="144">
        <v>4</v>
      </c>
      <c r="AO29" s="128">
        <f t="shared" si="11"/>
        <v>127</v>
      </c>
      <c r="AP29" s="144"/>
      <c r="AQ29" s="144">
        <v>13</v>
      </c>
      <c r="AR29" s="128">
        <f t="shared" si="12"/>
        <v>114</v>
      </c>
      <c r="AS29" s="144">
        <v>0</v>
      </c>
      <c r="AT29" s="144">
        <v>1</v>
      </c>
      <c r="AU29" s="128">
        <f t="shared" si="13"/>
        <v>113</v>
      </c>
      <c r="AV29" s="144"/>
      <c r="AW29" s="144">
        <v>4</v>
      </c>
      <c r="AX29" s="128">
        <f t="shared" si="14"/>
        <v>109</v>
      </c>
    </row>
    <row r="30" spans="1:50" s="249" customFormat="1" x14ac:dyDescent="0.2">
      <c r="A30" s="247" t="s">
        <v>104</v>
      </c>
      <c r="B30" s="248">
        <v>62</v>
      </c>
      <c r="C30" s="248"/>
      <c r="D30" s="248">
        <v>2</v>
      </c>
      <c r="E30" s="248">
        <f t="shared" si="0"/>
        <v>60</v>
      </c>
      <c r="F30" s="248"/>
      <c r="G30" s="248"/>
      <c r="H30" s="253">
        <f t="shared" si="15"/>
        <v>60</v>
      </c>
      <c r="I30" s="248"/>
      <c r="J30" s="248">
        <v>17</v>
      </c>
      <c r="K30" s="215">
        <f t="shared" si="1"/>
        <v>43</v>
      </c>
      <c r="L30" s="248"/>
      <c r="M30" s="248">
        <v>0</v>
      </c>
      <c r="N30" s="215">
        <f t="shared" si="2"/>
        <v>43</v>
      </c>
      <c r="O30" s="248"/>
      <c r="P30" s="248">
        <v>0</v>
      </c>
      <c r="Q30" s="215">
        <f t="shared" si="3"/>
        <v>43</v>
      </c>
      <c r="R30" s="248">
        <v>0</v>
      </c>
      <c r="S30" s="248">
        <v>0</v>
      </c>
      <c r="T30" s="128">
        <f t="shared" si="4"/>
        <v>43</v>
      </c>
      <c r="U30" s="248"/>
      <c r="V30" s="248">
        <v>0</v>
      </c>
      <c r="W30" s="128">
        <f t="shared" si="5"/>
        <v>43</v>
      </c>
      <c r="X30" s="248"/>
      <c r="Y30" s="248">
        <v>7</v>
      </c>
      <c r="Z30" s="128">
        <f t="shared" si="6"/>
        <v>36</v>
      </c>
      <c r="AA30" s="248">
        <v>30</v>
      </c>
      <c r="AB30" s="248">
        <v>0</v>
      </c>
      <c r="AC30" s="128">
        <f t="shared" si="7"/>
        <v>66</v>
      </c>
      <c r="AD30" s="248"/>
      <c r="AE30" s="248"/>
      <c r="AF30" s="128">
        <f t="shared" si="8"/>
        <v>66</v>
      </c>
      <c r="AG30" s="248">
        <v>0</v>
      </c>
      <c r="AH30" s="248">
        <v>0</v>
      </c>
      <c r="AI30" s="128">
        <f t="shared" si="9"/>
        <v>66</v>
      </c>
      <c r="AJ30" s="248"/>
      <c r="AK30" s="248"/>
      <c r="AL30" s="128">
        <f t="shared" si="10"/>
        <v>66</v>
      </c>
      <c r="AM30" s="248"/>
      <c r="AN30" s="248">
        <v>0</v>
      </c>
      <c r="AO30" s="128">
        <f t="shared" si="11"/>
        <v>66</v>
      </c>
      <c r="AP30" s="248"/>
      <c r="AQ30" s="248">
        <v>0</v>
      </c>
      <c r="AR30" s="128">
        <f t="shared" si="12"/>
        <v>66</v>
      </c>
      <c r="AS30" s="248">
        <v>30</v>
      </c>
      <c r="AT30" s="248">
        <v>0</v>
      </c>
      <c r="AU30" s="128">
        <f t="shared" si="13"/>
        <v>96</v>
      </c>
      <c r="AV30" s="248"/>
      <c r="AW30" s="248">
        <v>0</v>
      </c>
      <c r="AX30" s="128">
        <f t="shared" si="14"/>
        <v>96</v>
      </c>
    </row>
    <row r="31" spans="1:50" x14ac:dyDescent="0.2">
      <c r="A31" s="234" t="s">
        <v>105</v>
      </c>
      <c r="B31" s="128">
        <v>4</v>
      </c>
      <c r="C31" s="128"/>
      <c r="D31" s="128"/>
      <c r="E31" s="128">
        <f t="shared" si="0"/>
        <v>4</v>
      </c>
      <c r="F31" s="128"/>
      <c r="G31" s="128"/>
      <c r="H31" s="215">
        <f t="shared" si="15"/>
        <v>4</v>
      </c>
      <c r="J31" s="128">
        <v>1</v>
      </c>
      <c r="K31" s="215">
        <f t="shared" si="1"/>
        <v>3</v>
      </c>
      <c r="L31" s="128"/>
      <c r="M31" s="128">
        <v>1</v>
      </c>
      <c r="N31" s="215">
        <f t="shared" si="2"/>
        <v>2</v>
      </c>
      <c r="O31" s="128"/>
      <c r="P31" s="128"/>
      <c r="Q31" s="215">
        <f t="shared" si="3"/>
        <v>2</v>
      </c>
      <c r="R31" s="128">
        <v>3</v>
      </c>
      <c r="S31" s="128"/>
      <c r="T31" s="128">
        <f t="shared" si="4"/>
        <v>5</v>
      </c>
      <c r="U31" s="128"/>
      <c r="V31" s="128"/>
      <c r="W31" s="128">
        <f t="shared" si="5"/>
        <v>5</v>
      </c>
      <c r="X31" s="128"/>
      <c r="Y31" s="128"/>
      <c r="Z31" s="128">
        <f t="shared" si="6"/>
        <v>5</v>
      </c>
      <c r="AA31" s="128"/>
      <c r="AB31" s="128"/>
      <c r="AC31" s="128">
        <f t="shared" si="7"/>
        <v>5</v>
      </c>
      <c r="AD31" s="128"/>
      <c r="AE31" s="128"/>
      <c r="AF31" s="128">
        <f t="shared" si="8"/>
        <v>5</v>
      </c>
      <c r="AG31" s="128"/>
      <c r="AH31" s="128"/>
      <c r="AI31" s="128">
        <f t="shared" si="9"/>
        <v>5</v>
      </c>
      <c r="AJ31" s="128"/>
      <c r="AK31" s="128"/>
      <c r="AL31" s="128">
        <f t="shared" si="10"/>
        <v>5</v>
      </c>
      <c r="AM31" s="128"/>
      <c r="AN31" s="128"/>
      <c r="AO31" s="128">
        <f t="shared" si="11"/>
        <v>5</v>
      </c>
      <c r="AP31" s="128"/>
      <c r="AQ31" s="128">
        <v>0</v>
      </c>
      <c r="AR31" s="128">
        <f t="shared" si="12"/>
        <v>5</v>
      </c>
      <c r="AS31" s="128"/>
      <c r="AT31" s="128">
        <v>0</v>
      </c>
      <c r="AU31" s="128">
        <f t="shared" si="13"/>
        <v>5</v>
      </c>
      <c r="AV31" s="128"/>
      <c r="AW31" s="128"/>
      <c r="AX31" s="128">
        <f t="shared" si="14"/>
        <v>5</v>
      </c>
    </row>
    <row r="32" spans="1:50" x14ac:dyDescent="0.2">
      <c r="A32" s="234" t="s">
        <v>106</v>
      </c>
      <c r="B32" s="128">
        <v>0</v>
      </c>
      <c r="C32" s="128"/>
      <c r="D32" s="128"/>
      <c r="E32" s="128">
        <f t="shared" si="0"/>
        <v>0</v>
      </c>
      <c r="F32" s="128"/>
      <c r="G32" s="128"/>
      <c r="H32" s="215">
        <f t="shared" si="15"/>
        <v>0</v>
      </c>
      <c r="K32" s="215">
        <f t="shared" si="1"/>
        <v>0</v>
      </c>
      <c r="L32" s="128"/>
      <c r="M32" s="128"/>
      <c r="N32" s="215">
        <f t="shared" si="2"/>
        <v>0</v>
      </c>
      <c r="O32" s="128"/>
      <c r="P32" s="128"/>
      <c r="Q32" s="215">
        <f t="shared" si="3"/>
        <v>0</v>
      </c>
      <c r="R32" s="128"/>
      <c r="S32" s="128"/>
      <c r="T32" s="128">
        <f t="shared" si="4"/>
        <v>0</v>
      </c>
      <c r="U32" s="128"/>
      <c r="V32" s="128"/>
      <c r="W32" s="128">
        <f t="shared" si="5"/>
        <v>0</v>
      </c>
      <c r="X32" s="128"/>
      <c r="Y32" s="128"/>
      <c r="Z32" s="128">
        <f t="shared" si="6"/>
        <v>0</v>
      </c>
      <c r="AA32" s="128"/>
      <c r="AB32" s="128"/>
      <c r="AC32" s="128">
        <f t="shared" si="7"/>
        <v>0</v>
      </c>
      <c r="AD32" s="128"/>
      <c r="AE32" s="128"/>
      <c r="AF32" s="128">
        <f t="shared" si="8"/>
        <v>0</v>
      </c>
      <c r="AG32" s="128"/>
      <c r="AH32" s="128"/>
      <c r="AI32" s="128">
        <f t="shared" si="9"/>
        <v>0</v>
      </c>
      <c r="AJ32" s="128"/>
      <c r="AK32" s="128"/>
      <c r="AL32" s="128">
        <f t="shared" si="10"/>
        <v>0</v>
      </c>
      <c r="AM32" s="128"/>
      <c r="AN32" s="128"/>
      <c r="AO32" s="128">
        <f t="shared" si="11"/>
        <v>0</v>
      </c>
      <c r="AP32" s="128"/>
      <c r="AQ32" s="128">
        <v>0</v>
      </c>
      <c r="AR32" s="128">
        <f t="shared" si="12"/>
        <v>0</v>
      </c>
      <c r="AS32" s="128"/>
      <c r="AT32" s="128">
        <v>0</v>
      </c>
      <c r="AU32" s="128">
        <f t="shared" si="13"/>
        <v>0</v>
      </c>
      <c r="AV32" s="128"/>
      <c r="AW32" s="128"/>
      <c r="AX32" s="128">
        <f t="shared" si="14"/>
        <v>0</v>
      </c>
    </row>
    <row r="33" spans="1:50" x14ac:dyDescent="0.2">
      <c r="A33" s="295" t="s">
        <v>706</v>
      </c>
      <c r="B33" s="128">
        <v>0</v>
      </c>
      <c r="C33" s="128"/>
      <c r="D33" s="128"/>
      <c r="E33" s="128"/>
      <c r="F33" s="128"/>
      <c r="G33" s="128"/>
      <c r="H33" s="215"/>
      <c r="K33" s="215"/>
      <c r="L33" s="128"/>
      <c r="M33" s="128"/>
      <c r="N33" s="215"/>
      <c r="O33" s="128"/>
      <c r="P33" s="128"/>
      <c r="Q33" s="215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>
        <v>1</v>
      </c>
      <c r="AF33" s="128">
        <f t="shared" si="8"/>
        <v>-1</v>
      </c>
      <c r="AG33" s="128"/>
      <c r="AH33" s="128"/>
      <c r="AI33" s="128"/>
      <c r="AJ33" s="128"/>
      <c r="AK33" s="128"/>
      <c r="AL33" s="128"/>
      <c r="AM33" s="128"/>
      <c r="AN33" s="128"/>
      <c r="AO33" s="128"/>
      <c r="AP33" s="128"/>
      <c r="AQ33" s="128">
        <v>0</v>
      </c>
      <c r="AR33" s="128">
        <f t="shared" si="12"/>
        <v>0</v>
      </c>
      <c r="AS33" s="128"/>
      <c r="AT33" s="128">
        <v>0</v>
      </c>
      <c r="AU33" s="128">
        <f t="shared" si="13"/>
        <v>0</v>
      </c>
      <c r="AV33" s="128"/>
      <c r="AW33" s="128"/>
      <c r="AX33" s="128">
        <f t="shared" si="14"/>
        <v>0</v>
      </c>
    </row>
    <row r="34" spans="1:50" x14ac:dyDescent="0.2">
      <c r="A34" s="234" t="s">
        <v>107</v>
      </c>
      <c r="B34" s="128">
        <v>0</v>
      </c>
      <c r="C34" s="128"/>
      <c r="D34" s="128"/>
      <c r="E34" s="128">
        <f>B34+C34-D34</f>
        <v>0</v>
      </c>
      <c r="F34" s="128"/>
      <c r="G34" s="128"/>
      <c r="H34" s="215">
        <f>E34+F34-G34</f>
        <v>0</v>
      </c>
      <c r="K34" s="215">
        <f t="shared" si="1"/>
        <v>0</v>
      </c>
      <c r="L34" s="128"/>
      <c r="M34" s="128"/>
      <c r="N34" s="215">
        <f t="shared" si="2"/>
        <v>0</v>
      </c>
      <c r="O34" s="128"/>
      <c r="P34" s="128"/>
      <c r="Q34" s="215">
        <f t="shared" si="3"/>
        <v>0</v>
      </c>
      <c r="R34" s="128"/>
      <c r="S34" s="128"/>
      <c r="T34" s="128">
        <f t="shared" si="4"/>
        <v>0</v>
      </c>
      <c r="U34" s="128"/>
      <c r="V34" s="128"/>
      <c r="W34" s="128">
        <f t="shared" si="5"/>
        <v>0</v>
      </c>
      <c r="X34" s="128"/>
      <c r="Y34" s="128"/>
      <c r="Z34" s="128">
        <f t="shared" si="6"/>
        <v>0</v>
      </c>
      <c r="AA34" s="128"/>
      <c r="AB34" s="128">
        <v>1</v>
      </c>
      <c r="AC34" s="128">
        <f t="shared" si="7"/>
        <v>-1</v>
      </c>
      <c r="AD34" s="128"/>
      <c r="AE34" s="128"/>
      <c r="AF34" s="128">
        <f t="shared" si="8"/>
        <v>-1</v>
      </c>
      <c r="AG34" s="128"/>
      <c r="AH34" s="128">
        <v>1</v>
      </c>
      <c r="AI34" s="128">
        <f t="shared" si="9"/>
        <v>-2</v>
      </c>
      <c r="AJ34" s="128"/>
      <c r="AK34" s="128"/>
      <c r="AL34" s="128">
        <f t="shared" si="10"/>
        <v>-2</v>
      </c>
      <c r="AM34" s="128"/>
      <c r="AN34" s="128"/>
      <c r="AO34" s="128">
        <f t="shared" si="11"/>
        <v>-2</v>
      </c>
      <c r="AP34" s="128"/>
      <c r="AQ34" s="128">
        <v>0</v>
      </c>
      <c r="AR34" s="128">
        <f t="shared" si="12"/>
        <v>-2</v>
      </c>
      <c r="AS34" s="128"/>
      <c r="AT34" s="128">
        <v>0</v>
      </c>
      <c r="AU34" s="128">
        <f t="shared" si="13"/>
        <v>-2</v>
      </c>
      <c r="AV34" s="128"/>
      <c r="AW34" s="128"/>
      <c r="AX34" s="128">
        <f t="shared" si="14"/>
        <v>-2</v>
      </c>
    </row>
    <row r="35" spans="1:50" x14ac:dyDescent="0.2">
      <c r="A35" s="234" t="s">
        <v>108</v>
      </c>
      <c r="B35" s="128">
        <v>0</v>
      </c>
      <c r="C35" s="128"/>
      <c r="D35" s="128"/>
      <c r="E35" s="128">
        <f t="shared" si="0"/>
        <v>0</v>
      </c>
      <c r="F35" s="128"/>
      <c r="G35" s="128"/>
      <c r="H35" s="215">
        <f t="shared" si="15"/>
        <v>0</v>
      </c>
      <c r="K35" s="215">
        <f t="shared" si="1"/>
        <v>0</v>
      </c>
      <c r="L35" s="128"/>
      <c r="M35" s="128"/>
      <c r="N35" s="215">
        <f t="shared" si="2"/>
        <v>0</v>
      </c>
      <c r="O35" s="128"/>
      <c r="P35" s="128"/>
      <c r="Q35" s="215">
        <f t="shared" si="3"/>
        <v>0</v>
      </c>
      <c r="R35" s="128"/>
      <c r="S35" s="128"/>
      <c r="T35" s="128">
        <f t="shared" si="4"/>
        <v>0</v>
      </c>
      <c r="U35" s="128"/>
      <c r="V35" s="128"/>
      <c r="W35" s="128">
        <f t="shared" si="5"/>
        <v>0</v>
      </c>
      <c r="X35" s="128"/>
      <c r="Y35" s="128"/>
      <c r="Z35" s="128">
        <f t="shared" si="6"/>
        <v>0</v>
      </c>
      <c r="AA35" s="128"/>
      <c r="AB35" s="128"/>
      <c r="AC35" s="128">
        <f t="shared" si="7"/>
        <v>0</v>
      </c>
      <c r="AD35" s="128"/>
      <c r="AE35" s="128"/>
      <c r="AF35" s="128">
        <f t="shared" si="8"/>
        <v>0</v>
      </c>
      <c r="AG35" s="128"/>
      <c r="AH35" s="128"/>
      <c r="AI35" s="128">
        <f t="shared" si="9"/>
        <v>0</v>
      </c>
      <c r="AJ35" s="128"/>
      <c r="AK35" s="128"/>
      <c r="AL35" s="128">
        <f t="shared" si="10"/>
        <v>0</v>
      </c>
      <c r="AM35" s="128"/>
      <c r="AN35" s="128"/>
      <c r="AO35" s="128">
        <f t="shared" si="11"/>
        <v>0</v>
      </c>
      <c r="AP35" s="128"/>
      <c r="AQ35" s="128">
        <v>0</v>
      </c>
      <c r="AR35" s="128">
        <f t="shared" si="12"/>
        <v>0</v>
      </c>
      <c r="AS35" s="128"/>
      <c r="AT35" s="128">
        <v>0</v>
      </c>
      <c r="AU35" s="128">
        <f t="shared" si="13"/>
        <v>0</v>
      </c>
      <c r="AV35" s="128"/>
      <c r="AW35" s="128"/>
      <c r="AX35" s="128">
        <f t="shared" si="14"/>
        <v>0</v>
      </c>
    </row>
    <row r="36" spans="1:50" x14ac:dyDescent="0.2">
      <c r="A36" s="234" t="s">
        <v>109</v>
      </c>
      <c r="B36" s="128">
        <v>2</v>
      </c>
      <c r="C36" s="128"/>
      <c r="D36" s="128"/>
      <c r="E36" s="128">
        <f t="shared" si="0"/>
        <v>2</v>
      </c>
      <c r="F36" s="128"/>
      <c r="G36" s="128"/>
      <c r="H36" s="215">
        <f t="shared" si="15"/>
        <v>2</v>
      </c>
      <c r="K36" s="215">
        <f t="shared" si="1"/>
        <v>2</v>
      </c>
      <c r="L36" s="128"/>
      <c r="M36" s="128"/>
      <c r="N36" s="215">
        <f t="shared" si="2"/>
        <v>2</v>
      </c>
      <c r="O36" s="128"/>
      <c r="P36" s="128"/>
      <c r="Q36" s="215">
        <f t="shared" si="3"/>
        <v>2</v>
      </c>
      <c r="R36" s="128"/>
      <c r="S36" s="128"/>
      <c r="T36" s="128">
        <f t="shared" si="4"/>
        <v>2</v>
      </c>
      <c r="U36" s="128"/>
      <c r="V36" s="128"/>
      <c r="W36" s="128">
        <f t="shared" si="5"/>
        <v>2</v>
      </c>
      <c r="X36" s="128"/>
      <c r="Y36" s="128"/>
      <c r="Z36" s="128">
        <f t="shared" si="6"/>
        <v>2</v>
      </c>
      <c r="AA36" s="128"/>
      <c r="AB36" s="128"/>
      <c r="AC36" s="128">
        <f t="shared" si="7"/>
        <v>2</v>
      </c>
      <c r="AD36" s="128"/>
      <c r="AE36" s="128"/>
      <c r="AF36" s="128">
        <f t="shared" si="8"/>
        <v>2</v>
      </c>
      <c r="AG36" s="128"/>
      <c r="AH36" s="128"/>
      <c r="AI36" s="128">
        <f t="shared" si="9"/>
        <v>2</v>
      </c>
      <c r="AJ36" s="128"/>
      <c r="AK36" s="128"/>
      <c r="AL36" s="128">
        <f t="shared" si="10"/>
        <v>2</v>
      </c>
      <c r="AM36" s="128"/>
      <c r="AN36" s="128"/>
      <c r="AO36" s="128">
        <f t="shared" si="11"/>
        <v>2</v>
      </c>
      <c r="AP36" s="128"/>
      <c r="AQ36" s="128">
        <v>0</v>
      </c>
      <c r="AR36" s="128">
        <f t="shared" si="12"/>
        <v>2</v>
      </c>
      <c r="AS36" s="128"/>
      <c r="AT36" s="128">
        <v>0</v>
      </c>
      <c r="AU36" s="128">
        <f t="shared" si="13"/>
        <v>2</v>
      </c>
      <c r="AV36" s="128"/>
      <c r="AW36" s="128"/>
      <c r="AX36" s="128">
        <f t="shared" si="14"/>
        <v>2</v>
      </c>
    </row>
    <row r="37" spans="1:50" x14ac:dyDescent="0.2">
      <c r="A37" s="234" t="s">
        <v>110</v>
      </c>
      <c r="B37" s="128">
        <v>1</v>
      </c>
      <c r="C37" s="128"/>
      <c r="D37" s="128"/>
      <c r="E37" s="128">
        <f t="shared" si="0"/>
        <v>1</v>
      </c>
      <c r="F37" s="128"/>
      <c r="G37" s="128"/>
      <c r="H37" s="215">
        <f t="shared" si="15"/>
        <v>1</v>
      </c>
      <c r="K37" s="215">
        <f t="shared" si="1"/>
        <v>1</v>
      </c>
      <c r="L37" s="128"/>
      <c r="M37" s="128"/>
      <c r="N37" s="215">
        <f t="shared" si="2"/>
        <v>1</v>
      </c>
      <c r="O37" s="128"/>
      <c r="P37" s="128"/>
      <c r="Q37" s="215">
        <f t="shared" si="3"/>
        <v>1</v>
      </c>
      <c r="R37" s="128"/>
      <c r="S37" s="128"/>
      <c r="T37" s="128">
        <f t="shared" si="4"/>
        <v>1</v>
      </c>
      <c r="U37" s="128"/>
      <c r="V37" s="128"/>
      <c r="W37" s="128">
        <f t="shared" si="5"/>
        <v>1</v>
      </c>
      <c r="X37" s="128"/>
      <c r="Y37" s="128"/>
      <c r="Z37" s="128">
        <f t="shared" si="6"/>
        <v>1</v>
      </c>
      <c r="AA37" s="128"/>
      <c r="AB37" s="128"/>
      <c r="AC37" s="128">
        <f t="shared" si="7"/>
        <v>1</v>
      </c>
      <c r="AD37" s="128"/>
      <c r="AE37" s="128"/>
      <c r="AF37" s="128">
        <f t="shared" si="8"/>
        <v>1</v>
      </c>
      <c r="AG37" s="128"/>
      <c r="AH37" s="128"/>
      <c r="AI37" s="128">
        <f t="shared" si="9"/>
        <v>1</v>
      </c>
      <c r="AJ37" s="128"/>
      <c r="AK37" s="128"/>
      <c r="AL37" s="128">
        <f t="shared" si="10"/>
        <v>1</v>
      </c>
      <c r="AM37" s="128"/>
      <c r="AN37" s="128"/>
      <c r="AO37" s="128">
        <f t="shared" si="11"/>
        <v>1</v>
      </c>
      <c r="AP37" s="128"/>
      <c r="AQ37" s="128">
        <v>0</v>
      </c>
      <c r="AR37" s="128">
        <f t="shared" si="12"/>
        <v>1</v>
      </c>
      <c r="AS37" s="128"/>
      <c r="AT37" s="128">
        <v>0</v>
      </c>
      <c r="AU37" s="128">
        <f t="shared" si="13"/>
        <v>1</v>
      </c>
      <c r="AV37" s="128"/>
      <c r="AW37" s="128"/>
      <c r="AX37" s="128">
        <f t="shared" si="14"/>
        <v>1</v>
      </c>
    </row>
    <row r="38" spans="1:50" x14ac:dyDescent="0.2">
      <c r="A38" s="234" t="s">
        <v>111</v>
      </c>
      <c r="B38" s="128">
        <v>1</v>
      </c>
      <c r="C38" s="128"/>
      <c r="D38" s="128"/>
      <c r="E38" s="128">
        <f t="shared" si="0"/>
        <v>1</v>
      </c>
      <c r="F38" s="128"/>
      <c r="G38" s="128"/>
      <c r="H38" s="215">
        <f t="shared" si="15"/>
        <v>1</v>
      </c>
      <c r="K38" s="215">
        <f t="shared" ref="K38:K61" si="16">H38+I38-J38</f>
        <v>1</v>
      </c>
      <c r="L38" s="128"/>
      <c r="M38" s="128"/>
      <c r="N38" s="215">
        <f t="shared" si="2"/>
        <v>1</v>
      </c>
      <c r="O38" s="128"/>
      <c r="P38" s="128"/>
      <c r="Q38" s="215">
        <f t="shared" si="3"/>
        <v>1</v>
      </c>
      <c r="R38" s="128"/>
      <c r="S38" s="128"/>
      <c r="T38" s="128">
        <f t="shared" si="4"/>
        <v>1</v>
      </c>
      <c r="U38" s="128"/>
      <c r="V38" s="128"/>
      <c r="W38" s="128">
        <f t="shared" si="5"/>
        <v>1</v>
      </c>
      <c r="X38" s="128"/>
      <c r="Y38" s="128"/>
      <c r="Z38" s="128">
        <f t="shared" si="6"/>
        <v>1</v>
      </c>
      <c r="AA38" s="128"/>
      <c r="AB38" s="128"/>
      <c r="AC38" s="128">
        <f t="shared" si="7"/>
        <v>1</v>
      </c>
      <c r="AD38" s="128"/>
      <c r="AE38" s="128"/>
      <c r="AF38" s="128">
        <f t="shared" si="8"/>
        <v>1</v>
      </c>
      <c r="AG38" s="128"/>
      <c r="AH38" s="128"/>
      <c r="AI38" s="128">
        <f t="shared" si="9"/>
        <v>1</v>
      </c>
      <c r="AJ38" s="128"/>
      <c r="AK38" s="128"/>
      <c r="AL38" s="128">
        <f t="shared" si="10"/>
        <v>1</v>
      </c>
      <c r="AM38" s="128"/>
      <c r="AN38" s="128"/>
      <c r="AO38" s="128">
        <f t="shared" si="11"/>
        <v>1</v>
      </c>
      <c r="AP38" s="128"/>
      <c r="AQ38" s="128">
        <v>0</v>
      </c>
      <c r="AR38" s="128">
        <f t="shared" si="12"/>
        <v>1</v>
      </c>
      <c r="AS38" s="128"/>
      <c r="AT38" s="128">
        <v>0</v>
      </c>
      <c r="AU38" s="128">
        <f t="shared" si="13"/>
        <v>1</v>
      </c>
      <c r="AV38" s="128"/>
      <c r="AW38" s="128"/>
      <c r="AX38" s="128">
        <f t="shared" si="14"/>
        <v>1</v>
      </c>
    </row>
    <row r="39" spans="1:50" x14ac:dyDescent="0.2">
      <c r="A39" s="234" t="s">
        <v>112</v>
      </c>
      <c r="B39" s="128">
        <v>0</v>
      </c>
      <c r="C39" s="128"/>
      <c r="D39" s="128"/>
      <c r="E39" s="128">
        <f t="shared" si="0"/>
        <v>0</v>
      </c>
      <c r="F39" s="128"/>
      <c r="G39" s="128"/>
      <c r="H39" s="215">
        <f t="shared" si="15"/>
        <v>0</v>
      </c>
      <c r="K39" s="215">
        <f t="shared" si="16"/>
        <v>0</v>
      </c>
      <c r="L39" s="128"/>
      <c r="M39" s="128"/>
      <c r="N39" s="215">
        <f t="shared" si="2"/>
        <v>0</v>
      </c>
      <c r="O39" s="128"/>
      <c r="P39" s="128"/>
      <c r="Q39" s="128">
        <f t="shared" si="3"/>
        <v>0</v>
      </c>
      <c r="R39" s="128"/>
      <c r="S39" s="128"/>
      <c r="T39" s="128">
        <f t="shared" si="4"/>
        <v>0</v>
      </c>
      <c r="U39" s="128"/>
      <c r="V39" s="128"/>
      <c r="W39" s="128">
        <f t="shared" si="5"/>
        <v>0</v>
      </c>
      <c r="X39" s="128"/>
      <c r="Y39" s="128"/>
      <c r="Z39" s="128">
        <f t="shared" si="6"/>
        <v>0</v>
      </c>
      <c r="AA39" s="128"/>
      <c r="AB39" s="128"/>
      <c r="AC39" s="128">
        <f t="shared" si="7"/>
        <v>0</v>
      </c>
      <c r="AD39" s="128"/>
      <c r="AE39" s="128"/>
      <c r="AF39" s="128">
        <f t="shared" si="8"/>
        <v>0</v>
      </c>
      <c r="AG39" s="128"/>
      <c r="AH39" s="128"/>
      <c r="AI39" s="128">
        <f t="shared" si="9"/>
        <v>0</v>
      </c>
      <c r="AJ39" s="128"/>
      <c r="AK39" s="128"/>
      <c r="AL39" s="128">
        <f t="shared" si="10"/>
        <v>0</v>
      </c>
      <c r="AM39" s="128"/>
      <c r="AN39" s="128"/>
      <c r="AO39" s="128">
        <f t="shared" si="11"/>
        <v>0</v>
      </c>
      <c r="AP39" s="128"/>
      <c r="AQ39" s="128">
        <v>0</v>
      </c>
      <c r="AR39" s="128">
        <f t="shared" si="12"/>
        <v>0</v>
      </c>
      <c r="AS39" s="128"/>
      <c r="AT39" s="128">
        <v>0</v>
      </c>
      <c r="AU39" s="128">
        <f t="shared" si="13"/>
        <v>0</v>
      </c>
      <c r="AV39" s="128"/>
      <c r="AW39" s="128"/>
      <c r="AX39" s="128">
        <f t="shared" si="14"/>
        <v>0</v>
      </c>
    </row>
    <row r="40" spans="1:50" x14ac:dyDescent="0.2">
      <c r="A40" s="234" t="s">
        <v>113</v>
      </c>
      <c r="B40" s="128">
        <v>1</v>
      </c>
      <c r="C40" s="128"/>
      <c r="D40" s="128"/>
      <c r="E40" s="128">
        <f t="shared" si="0"/>
        <v>1</v>
      </c>
      <c r="F40" s="128"/>
      <c r="G40" s="128"/>
      <c r="H40" s="215">
        <f t="shared" si="15"/>
        <v>1</v>
      </c>
      <c r="K40" s="215">
        <f t="shared" si="16"/>
        <v>1</v>
      </c>
      <c r="L40" s="128"/>
      <c r="M40" s="128"/>
      <c r="N40" s="215">
        <f t="shared" si="2"/>
        <v>1</v>
      </c>
      <c r="O40" s="128"/>
      <c r="P40" s="128"/>
      <c r="Q40" s="128">
        <f t="shared" si="3"/>
        <v>1</v>
      </c>
      <c r="R40" s="128"/>
      <c r="S40" s="128"/>
      <c r="T40" s="128">
        <f t="shared" si="4"/>
        <v>1</v>
      </c>
      <c r="U40" s="128"/>
      <c r="V40" s="128"/>
      <c r="W40" s="128">
        <f t="shared" si="5"/>
        <v>1</v>
      </c>
      <c r="X40" s="128"/>
      <c r="Y40" s="128"/>
      <c r="Z40" s="128">
        <f t="shared" si="6"/>
        <v>1</v>
      </c>
      <c r="AA40" s="128"/>
      <c r="AB40" s="128"/>
      <c r="AC40" s="128">
        <f t="shared" si="7"/>
        <v>1</v>
      </c>
      <c r="AD40" s="128"/>
      <c r="AE40" s="128"/>
      <c r="AF40" s="128">
        <f t="shared" si="8"/>
        <v>1</v>
      </c>
      <c r="AG40" s="128"/>
      <c r="AH40" s="128"/>
      <c r="AI40" s="128">
        <f t="shared" si="9"/>
        <v>1</v>
      </c>
      <c r="AJ40" s="128"/>
      <c r="AK40" s="128"/>
      <c r="AL40" s="128">
        <f t="shared" si="10"/>
        <v>1</v>
      </c>
      <c r="AM40" s="128"/>
      <c r="AN40" s="128"/>
      <c r="AO40" s="128">
        <f t="shared" si="11"/>
        <v>1</v>
      </c>
      <c r="AP40" s="128"/>
      <c r="AQ40" s="128">
        <v>0</v>
      </c>
      <c r="AR40" s="128">
        <f t="shared" si="12"/>
        <v>1</v>
      </c>
      <c r="AS40" s="128"/>
      <c r="AT40" s="128">
        <v>0</v>
      </c>
      <c r="AU40" s="128">
        <f t="shared" si="13"/>
        <v>1</v>
      </c>
      <c r="AV40" s="128"/>
      <c r="AW40" s="128"/>
      <c r="AX40" s="128">
        <f t="shared" si="14"/>
        <v>1</v>
      </c>
    </row>
    <row r="41" spans="1:50" x14ac:dyDescent="0.2">
      <c r="A41" s="234" t="s">
        <v>114</v>
      </c>
      <c r="B41" s="128">
        <v>1</v>
      </c>
      <c r="C41" s="128"/>
      <c r="D41" s="128"/>
      <c r="E41" s="128">
        <f t="shared" si="0"/>
        <v>1</v>
      </c>
      <c r="F41" s="128"/>
      <c r="G41" s="128"/>
      <c r="H41" s="215">
        <f t="shared" si="15"/>
        <v>1</v>
      </c>
      <c r="K41" s="215">
        <f t="shared" si="16"/>
        <v>1</v>
      </c>
      <c r="L41" s="128"/>
      <c r="M41" s="128"/>
      <c r="N41" s="215">
        <f t="shared" si="2"/>
        <v>1</v>
      </c>
      <c r="O41" s="128"/>
      <c r="P41" s="128"/>
      <c r="Q41" s="128">
        <f t="shared" si="3"/>
        <v>1</v>
      </c>
      <c r="R41" s="128"/>
      <c r="S41" s="128"/>
      <c r="T41" s="128">
        <f t="shared" si="4"/>
        <v>1</v>
      </c>
      <c r="U41" s="128"/>
      <c r="V41" s="128"/>
      <c r="W41" s="128">
        <f t="shared" si="5"/>
        <v>1</v>
      </c>
      <c r="X41" s="128"/>
      <c r="Y41" s="128"/>
      <c r="Z41" s="128">
        <f t="shared" si="6"/>
        <v>1</v>
      </c>
      <c r="AA41" s="128"/>
      <c r="AB41" s="128"/>
      <c r="AC41" s="128">
        <f t="shared" si="7"/>
        <v>1</v>
      </c>
      <c r="AD41" s="128"/>
      <c r="AE41" s="128"/>
      <c r="AF41" s="128">
        <f t="shared" si="8"/>
        <v>1</v>
      </c>
      <c r="AG41" s="128"/>
      <c r="AH41" s="128"/>
      <c r="AI41" s="128">
        <f t="shared" si="9"/>
        <v>1</v>
      </c>
      <c r="AJ41" s="128"/>
      <c r="AK41" s="128"/>
      <c r="AL41" s="128">
        <f t="shared" si="10"/>
        <v>1</v>
      </c>
      <c r="AM41" s="128"/>
      <c r="AN41" s="128"/>
      <c r="AO41" s="128">
        <f t="shared" si="11"/>
        <v>1</v>
      </c>
      <c r="AP41" s="128"/>
      <c r="AQ41" s="128">
        <v>0</v>
      </c>
      <c r="AR41" s="128">
        <f t="shared" si="12"/>
        <v>1</v>
      </c>
      <c r="AS41" s="128"/>
      <c r="AT41" s="128">
        <v>0</v>
      </c>
      <c r="AU41" s="128">
        <f t="shared" si="13"/>
        <v>1</v>
      </c>
      <c r="AV41" s="128"/>
      <c r="AW41" s="128"/>
      <c r="AX41" s="128">
        <f t="shared" si="14"/>
        <v>1</v>
      </c>
    </row>
    <row r="42" spans="1:50" x14ac:dyDescent="0.2">
      <c r="A42" s="295" t="s">
        <v>710</v>
      </c>
      <c r="B42" s="128">
        <v>0</v>
      </c>
      <c r="C42" s="128"/>
      <c r="D42" s="128"/>
      <c r="E42" s="128">
        <f t="shared" si="0"/>
        <v>0</v>
      </c>
      <c r="F42" s="128"/>
      <c r="G42" s="128"/>
      <c r="H42" s="215">
        <f t="shared" si="15"/>
        <v>0</v>
      </c>
      <c r="K42" s="215">
        <f t="shared" si="16"/>
        <v>0</v>
      </c>
      <c r="L42" s="128"/>
      <c r="M42" s="128"/>
      <c r="N42" s="215">
        <f t="shared" si="2"/>
        <v>0</v>
      </c>
      <c r="O42" s="128"/>
      <c r="P42" s="128"/>
      <c r="Q42" s="128">
        <f t="shared" si="3"/>
        <v>0</v>
      </c>
      <c r="R42" s="128"/>
      <c r="S42" s="128"/>
      <c r="T42" s="128">
        <f t="shared" si="4"/>
        <v>0</v>
      </c>
      <c r="U42" s="128"/>
      <c r="V42" s="128"/>
      <c r="W42" s="128">
        <f t="shared" si="5"/>
        <v>0</v>
      </c>
      <c r="X42" s="128"/>
      <c r="Y42" s="128"/>
      <c r="Z42" s="128">
        <f t="shared" si="6"/>
        <v>0</v>
      </c>
      <c r="AA42" s="128"/>
      <c r="AB42" s="128"/>
      <c r="AC42" s="128">
        <f t="shared" si="7"/>
        <v>0</v>
      </c>
      <c r="AD42" s="128"/>
      <c r="AE42" s="128">
        <v>1</v>
      </c>
      <c r="AF42" s="128">
        <f t="shared" si="8"/>
        <v>-1</v>
      </c>
      <c r="AG42" s="128"/>
      <c r="AH42" s="128"/>
      <c r="AI42" s="128">
        <f t="shared" si="9"/>
        <v>-1</v>
      </c>
      <c r="AJ42" s="128"/>
      <c r="AK42" s="128"/>
      <c r="AL42" s="128">
        <f t="shared" si="10"/>
        <v>-1</v>
      </c>
      <c r="AM42" s="128">
        <v>5</v>
      </c>
      <c r="AN42" s="128"/>
      <c r="AO42" s="128">
        <f t="shared" si="11"/>
        <v>4</v>
      </c>
      <c r="AP42" s="128"/>
      <c r="AQ42" s="128">
        <v>0</v>
      </c>
      <c r="AR42" s="128">
        <f t="shared" si="12"/>
        <v>4</v>
      </c>
      <c r="AS42" s="128"/>
      <c r="AT42" s="128">
        <v>0</v>
      </c>
      <c r="AU42" s="128">
        <f t="shared" si="13"/>
        <v>4</v>
      </c>
      <c r="AV42" s="128"/>
      <c r="AW42" s="128">
        <v>1</v>
      </c>
      <c r="AX42" s="128">
        <f t="shared" si="14"/>
        <v>3</v>
      </c>
    </row>
    <row r="43" spans="1:50" x14ac:dyDescent="0.2">
      <c r="A43" s="234" t="s">
        <v>115</v>
      </c>
      <c r="B43" s="128">
        <v>2</v>
      </c>
      <c r="C43" s="128"/>
      <c r="D43" s="128"/>
      <c r="E43" s="128">
        <f t="shared" si="0"/>
        <v>2</v>
      </c>
      <c r="F43" s="128"/>
      <c r="G43" s="128"/>
      <c r="H43" s="215">
        <f t="shared" si="15"/>
        <v>2</v>
      </c>
      <c r="K43" s="215">
        <f t="shared" si="16"/>
        <v>2</v>
      </c>
      <c r="L43" s="128"/>
      <c r="M43" s="128"/>
      <c r="N43" s="215">
        <f t="shared" si="2"/>
        <v>2</v>
      </c>
      <c r="O43" s="128"/>
      <c r="P43" s="128"/>
      <c r="Q43" s="128">
        <f t="shared" si="3"/>
        <v>2</v>
      </c>
      <c r="R43" s="128"/>
      <c r="S43" s="128"/>
      <c r="T43" s="128">
        <f t="shared" si="4"/>
        <v>2</v>
      </c>
      <c r="U43" s="128"/>
      <c r="V43" s="128">
        <v>1</v>
      </c>
      <c r="W43" s="128">
        <f t="shared" si="5"/>
        <v>1</v>
      </c>
      <c r="X43" s="128"/>
      <c r="Y43" s="128"/>
      <c r="Z43" s="128">
        <f t="shared" si="6"/>
        <v>1</v>
      </c>
      <c r="AA43" s="128"/>
      <c r="AB43" s="128"/>
      <c r="AC43" s="128">
        <f t="shared" si="7"/>
        <v>1</v>
      </c>
      <c r="AD43" s="128"/>
      <c r="AE43" s="128"/>
      <c r="AF43" s="128">
        <f t="shared" si="8"/>
        <v>1</v>
      </c>
      <c r="AG43" s="128"/>
      <c r="AH43" s="128"/>
      <c r="AI43" s="128">
        <f t="shared" si="9"/>
        <v>1</v>
      </c>
      <c r="AJ43" s="128"/>
      <c r="AK43" s="128"/>
      <c r="AL43" s="128">
        <f t="shared" si="10"/>
        <v>1</v>
      </c>
      <c r="AM43" s="128">
        <v>1</v>
      </c>
      <c r="AN43" s="128"/>
      <c r="AO43" s="128">
        <f t="shared" si="11"/>
        <v>2</v>
      </c>
      <c r="AP43" s="128"/>
      <c r="AQ43" s="128">
        <v>0</v>
      </c>
      <c r="AR43" s="128">
        <f t="shared" si="12"/>
        <v>2</v>
      </c>
      <c r="AS43" s="128"/>
      <c r="AT43" s="128">
        <v>0</v>
      </c>
      <c r="AU43" s="128">
        <f t="shared" si="13"/>
        <v>2</v>
      </c>
      <c r="AV43" s="128"/>
      <c r="AW43" s="128"/>
      <c r="AX43" s="128">
        <f t="shared" si="14"/>
        <v>2</v>
      </c>
    </row>
    <row r="44" spans="1:50" s="278" customFormat="1" x14ac:dyDescent="0.2">
      <c r="A44" s="276" t="s">
        <v>116</v>
      </c>
      <c r="B44" s="277">
        <v>30</v>
      </c>
      <c r="C44" s="277"/>
      <c r="D44" s="277"/>
      <c r="E44" s="277">
        <f t="shared" si="0"/>
        <v>30</v>
      </c>
      <c r="F44" s="277"/>
      <c r="G44" s="277">
        <v>3</v>
      </c>
      <c r="H44" s="290">
        <f t="shared" si="15"/>
        <v>27</v>
      </c>
      <c r="I44" s="277"/>
      <c r="J44" s="277">
        <v>16</v>
      </c>
      <c r="K44" s="290">
        <f t="shared" si="16"/>
        <v>11</v>
      </c>
      <c r="L44" s="277"/>
      <c r="M44" s="277">
        <v>4</v>
      </c>
      <c r="N44" s="290">
        <f t="shared" si="2"/>
        <v>7</v>
      </c>
      <c r="O44" s="277"/>
      <c r="P44" s="277">
        <v>5</v>
      </c>
      <c r="Q44" s="291">
        <f t="shared" si="3"/>
        <v>2</v>
      </c>
      <c r="R44" s="277"/>
      <c r="S44" s="277">
        <v>6</v>
      </c>
      <c r="T44" s="277">
        <f t="shared" si="4"/>
        <v>-4</v>
      </c>
      <c r="U44" s="277"/>
      <c r="V44" s="277">
        <v>10</v>
      </c>
      <c r="W44" s="128">
        <f t="shared" si="5"/>
        <v>-14</v>
      </c>
      <c r="X44" s="277">
        <v>40</v>
      </c>
      <c r="Y44" s="277">
        <v>2</v>
      </c>
      <c r="Z44" s="128">
        <f t="shared" si="6"/>
        <v>24</v>
      </c>
      <c r="AA44" s="277"/>
      <c r="AB44" s="277">
        <v>4</v>
      </c>
      <c r="AC44" s="128">
        <f t="shared" si="7"/>
        <v>20</v>
      </c>
      <c r="AD44" s="277"/>
      <c r="AE44" s="277">
        <v>22</v>
      </c>
      <c r="AF44" s="128">
        <f t="shared" si="8"/>
        <v>-2</v>
      </c>
      <c r="AG44" s="277">
        <v>20</v>
      </c>
      <c r="AH44" s="277">
        <v>6</v>
      </c>
      <c r="AI44" s="128">
        <f t="shared" si="9"/>
        <v>12</v>
      </c>
      <c r="AJ44" s="277"/>
      <c r="AK44" s="277">
        <v>4</v>
      </c>
      <c r="AL44" s="128">
        <f t="shared" si="10"/>
        <v>8</v>
      </c>
      <c r="AM44" s="277">
        <v>20</v>
      </c>
      <c r="AN44" s="277">
        <v>5</v>
      </c>
      <c r="AO44" s="128">
        <f t="shared" si="11"/>
        <v>23</v>
      </c>
      <c r="AP44" s="277"/>
      <c r="AQ44" s="128">
        <v>0</v>
      </c>
      <c r="AR44" s="128">
        <f t="shared" si="12"/>
        <v>23</v>
      </c>
      <c r="AS44" s="277"/>
      <c r="AT44" s="128">
        <v>0</v>
      </c>
      <c r="AU44" s="128">
        <f t="shared" si="13"/>
        <v>23</v>
      </c>
      <c r="AV44" s="277"/>
      <c r="AW44" s="277">
        <v>4</v>
      </c>
      <c r="AX44" s="128">
        <f t="shared" si="14"/>
        <v>19</v>
      </c>
    </row>
    <row r="45" spans="1:50" x14ac:dyDescent="0.2">
      <c r="A45" s="234" t="s">
        <v>117</v>
      </c>
      <c r="B45" s="128">
        <v>1</v>
      </c>
      <c r="C45" s="128"/>
      <c r="D45" s="128"/>
      <c r="E45" s="128">
        <f t="shared" si="0"/>
        <v>1</v>
      </c>
      <c r="F45" s="128"/>
      <c r="G45" s="128"/>
      <c r="H45" s="290">
        <f t="shared" si="15"/>
        <v>1</v>
      </c>
      <c r="K45" s="290">
        <f t="shared" si="16"/>
        <v>1</v>
      </c>
      <c r="L45" s="128"/>
      <c r="M45" s="128">
        <v>1</v>
      </c>
      <c r="N45" s="290">
        <f t="shared" si="2"/>
        <v>0</v>
      </c>
      <c r="O45" s="128"/>
      <c r="P45" s="128"/>
      <c r="Q45" s="291">
        <f t="shared" si="3"/>
        <v>0</v>
      </c>
      <c r="R45" s="128"/>
      <c r="S45" s="128"/>
      <c r="T45" s="128">
        <f t="shared" si="4"/>
        <v>0</v>
      </c>
      <c r="U45" s="128"/>
      <c r="V45" s="128"/>
      <c r="W45" s="128">
        <f t="shared" si="5"/>
        <v>0</v>
      </c>
      <c r="X45" s="128"/>
      <c r="Y45" s="128"/>
      <c r="Z45" s="128">
        <f t="shared" si="6"/>
        <v>0</v>
      </c>
      <c r="AA45" s="128"/>
      <c r="AB45" s="128"/>
      <c r="AC45" s="128">
        <f t="shared" si="7"/>
        <v>0</v>
      </c>
      <c r="AD45" s="128"/>
      <c r="AE45" s="128"/>
      <c r="AF45" s="128">
        <f t="shared" si="8"/>
        <v>0</v>
      </c>
      <c r="AG45" s="128"/>
      <c r="AH45" s="128"/>
      <c r="AI45" s="128">
        <f t="shared" si="9"/>
        <v>0</v>
      </c>
      <c r="AJ45" s="128"/>
      <c r="AK45" s="128"/>
      <c r="AL45" s="128">
        <f t="shared" si="10"/>
        <v>0</v>
      </c>
      <c r="AM45" s="128">
        <v>1</v>
      </c>
      <c r="AN45" s="128"/>
      <c r="AO45" s="128">
        <f t="shared" si="11"/>
        <v>1</v>
      </c>
      <c r="AP45" s="128"/>
      <c r="AQ45" s="128">
        <v>0</v>
      </c>
      <c r="AR45" s="128">
        <f t="shared" si="12"/>
        <v>1</v>
      </c>
      <c r="AS45" s="128"/>
      <c r="AT45" s="128">
        <v>0</v>
      </c>
      <c r="AU45" s="128">
        <f t="shared" si="13"/>
        <v>1</v>
      </c>
      <c r="AV45" s="128"/>
      <c r="AW45" s="128"/>
      <c r="AX45" s="128">
        <f t="shared" si="14"/>
        <v>1</v>
      </c>
    </row>
    <row r="46" spans="1:50" s="281" customFormat="1" x14ac:dyDescent="0.2">
      <c r="A46" s="279" t="s">
        <v>118</v>
      </c>
      <c r="B46" s="280">
        <v>23</v>
      </c>
      <c r="C46" s="280"/>
      <c r="D46" s="280">
        <v>4</v>
      </c>
      <c r="E46" s="280">
        <f t="shared" si="0"/>
        <v>19</v>
      </c>
      <c r="F46" s="280"/>
      <c r="G46" s="280"/>
      <c r="H46" s="290">
        <f t="shared" si="15"/>
        <v>19</v>
      </c>
      <c r="I46" s="280"/>
      <c r="J46" s="280">
        <v>15</v>
      </c>
      <c r="K46" s="290">
        <f t="shared" si="16"/>
        <v>4</v>
      </c>
      <c r="L46" s="280"/>
      <c r="M46" s="280">
        <v>2</v>
      </c>
      <c r="N46" s="290">
        <f t="shared" si="2"/>
        <v>2</v>
      </c>
      <c r="O46" s="280"/>
      <c r="P46" s="280"/>
      <c r="Q46" s="291">
        <f t="shared" si="3"/>
        <v>2</v>
      </c>
      <c r="R46" s="280"/>
      <c r="S46" s="280">
        <v>3</v>
      </c>
      <c r="T46" s="280">
        <f t="shared" si="4"/>
        <v>-1</v>
      </c>
      <c r="U46" s="280">
        <v>20</v>
      </c>
      <c r="V46" s="280"/>
      <c r="W46" s="128">
        <f t="shared" si="5"/>
        <v>19</v>
      </c>
      <c r="X46" s="280">
        <v>20</v>
      </c>
      <c r="Y46" s="280">
        <v>7</v>
      </c>
      <c r="Z46" s="128">
        <f t="shared" si="6"/>
        <v>32</v>
      </c>
      <c r="AA46" s="280"/>
      <c r="AB46" s="280">
        <v>5</v>
      </c>
      <c r="AC46" s="128">
        <f t="shared" si="7"/>
        <v>27</v>
      </c>
      <c r="AD46" s="280"/>
      <c r="AE46" s="280">
        <v>9</v>
      </c>
      <c r="AF46" s="128">
        <f t="shared" si="8"/>
        <v>18</v>
      </c>
      <c r="AG46" s="280"/>
      <c r="AH46" s="280">
        <v>7</v>
      </c>
      <c r="AI46" s="128">
        <f t="shared" si="9"/>
        <v>11</v>
      </c>
      <c r="AJ46" s="280"/>
      <c r="AK46" s="280">
        <v>3</v>
      </c>
      <c r="AL46" s="128">
        <f t="shared" si="10"/>
        <v>8</v>
      </c>
      <c r="AM46" s="280">
        <v>20</v>
      </c>
      <c r="AN46" s="280">
        <v>5</v>
      </c>
      <c r="AO46" s="128">
        <f t="shared" si="11"/>
        <v>23</v>
      </c>
      <c r="AP46" s="280"/>
      <c r="AQ46" s="128">
        <v>0</v>
      </c>
      <c r="AR46" s="128">
        <f t="shared" si="12"/>
        <v>23</v>
      </c>
      <c r="AS46" s="280"/>
      <c r="AT46" s="128">
        <v>0</v>
      </c>
      <c r="AU46" s="128">
        <f t="shared" si="13"/>
        <v>23</v>
      </c>
      <c r="AV46" s="280"/>
      <c r="AW46" s="280">
        <v>10</v>
      </c>
      <c r="AX46" s="128">
        <f t="shared" si="14"/>
        <v>13</v>
      </c>
    </row>
    <row r="47" spans="1:50" x14ac:dyDescent="0.2">
      <c r="A47" s="234" t="s">
        <v>119</v>
      </c>
      <c r="B47" s="128">
        <v>2</v>
      </c>
      <c r="C47" s="128"/>
      <c r="D47" s="128"/>
      <c r="E47" s="128">
        <f t="shared" si="0"/>
        <v>2</v>
      </c>
      <c r="F47" s="128"/>
      <c r="G47" s="128"/>
      <c r="H47" s="290">
        <f t="shared" si="15"/>
        <v>2</v>
      </c>
      <c r="K47" s="290">
        <f t="shared" si="16"/>
        <v>2</v>
      </c>
      <c r="L47" s="128"/>
      <c r="M47" s="128"/>
      <c r="N47" s="290">
        <f t="shared" si="2"/>
        <v>2</v>
      </c>
      <c r="O47" s="128"/>
      <c r="P47" s="128"/>
      <c r="Q47" s="291">
        <f t="shared" si="3"/>
        <v>2</v>
      </c>
      <c r="R47" s="128"/>
      <c r="S47" s="128"/>
      <c r="T47" s="128">
        <f t="shared" si="4"/>
        <v>2</v>
      </c>
      <c r="U47" s="128"/>
      <c r="V47" s="128"/>
      <c r="W47" s="128">
        <f t="shared" si="5"/>
        <v>2</v>
      </c>
      <c r="X47" s="128"/>
      <c r="Y47" s="128"/>
      <c r="Z47" s="128">
        <f t="shared" si="6"/>
        <v>2</v>
      </c>
      <c r="AA47" s="128"/>
      <c r="AB47" s="128"/>
      <c r="AC47" s="128">
        <f t="shared" si="7"/>
        <v>2</v>
      </c>
      <c r="AD47" s="128"/>
      <c r="AE47" s="128"/>
      <c r="AF47" s="128">
        <f t="shared" si="8"/>
        <v>2</v>
      </c>
      <c r="AG47" s="128"/>
      <c r="AH47" s="128"/>
      <c r="AI47" s="128">
        <f t="shared" si="9"/>
        <v>2</v>
      </c>
      <c r="AJ47" s="128"/>
      <c r="AK47" s="128"/>
      <c r="AL47" s="128">
        <f t="shared" si="10"/>
        <v>2</v>
      </c>
      <c r="AM47" s="128"/>
      <c r="AN47" s="128"/>
      <c r="AO47" s="128">
        <f t="shared" si="11"/>
        <v>2</v>
      </c>
      <c r="AP47" s="128"/>
      <c r="AQ47" s="128">
        <v>0</v>
      </c>
      <c r="AR47" s="128">
        <f t="shared" si="12"/>
        <v>2</v>
      </c>
      <c r="AS47" s="128"/>
      <c r="AT47" s="128">
        <v>0</v>
      </c>
      <c r="AU47" s="128">
        <f t="shared" si="13"/>
        <v>2</v>
      </c>
      <c r="AV47" s="128"/>
      <c r="AW47" s="128"/>
      <c r="AX47" s="128">
        <f t="shared" si="14"/>
        <v>2</v>
      </c>
    </row>
    <row r="48" spans="1:50" s="201" customFormat="1" x14ac:dyDescent="0.2">
      <c r="A48" s="239" t="s">
        <v>120</v>
      </c>
      <c r="B48" s="200">
        <v>12</v>
      </c>
      <c r="C48" s="200"/>
      <c r="D48" s="200"/>
      <c r="E48" s="200">
        <f t="shared" si="0"/>
        <v>12</v>
      </c>
      <c r="F48" s="200"/>
      <c r="G48" s="200"/>
      <c r="H48" s="290">
        <f t="shared" si="15"/>
        <v>12</v>
      </c>
      <c r="I48" s="200"/>
      <c r="J48" s="200"/>
      <c r="K48" s="290">
        <f t="shared" si="16"/>
        <v>12</v>
      </c>
      <c r="L48" s="200"/>
      <c r="M48" s="200">
        <v>1</v>
      </c>
      <c r="N48" s="290">
        <f t="shared" si="2"/>
        <v>11</v>
      </c>
      <c r="O48" s="200"/>
      <c r="P48" s="200"/>
      <c r="Q48" s="291">
        <f t="shared" si="3"/>
        <v>11</v>
      </c>
      <c r="R48" s="200"/>
      <c r="S48" s="200">
        <v>8</v>
      </c>
      <c r="T48" s="128">
        <f t="shared" si="4"/>
        <v>3</v>
      </c>
      <c r="U48" s="200">
        <v>40</v>
      </c>
      <c r="V48" s="200"/>
      <c r="W48" s="128">
        <f t="shared" si="5"/>
        <v>43</v>
      </c>
      <c r="X48" s="200"/>
      <c r="Y48" s="200">
        <v>10</v>
      </c>
      <c r="Z48" s="128">
        <f t="shared" si="6"/>
        <v>33</v>
      </c>
      <c r="AA48" s="200"/>
      <c r="AB48" s="200"/>
      <c r="AC48" s="128">
        <f t="shared" si="7"/>
        <v>33</v>
      </c>
      <c r="AD48" s="200"/>
      <c r="AE48" s="200">
        <v>5</v>
      </c>
      <c r="AF48" s="128">
        <f t="shared" si="8"/>
        <v>28</v>
      </c>
      <c r="AG48" s="200"/>
      <c r="AH48" s="200">
        <v>2</v>
      </c>
      <c r="AI48" s="128">
        <f t="shared" si="9"/>
        <v>26</v>
      </c>
      <c r="AJ48" s="200"/>
      <c r="AK48" s="200"/>
      <c r="AL48" s="128">
        <f t="shared" si="10"/>
        <v>26</v>
      </c>
      <c r="AM48" s="200"/>
      <c r="AN48" s="200"/>
      <c r="AO48" s="128">
        <f t="shared" si="11"/>
        <v>26</v>
      </c>
      <c r="AP48" s="200"/>
      <c r="AQ48" s="128">
        <v>0</v>
      </c>
      <c r="AR48" s="128">
        <f t="shared" si="12"/>
        <v>26</v>
      </c>
      <c r="AS48" s="200"/>
      <c r="AT48" s="128">
        <v>0</v>
      </c>
      <c r="AU48" s="128">
        <f t="shared" si="13"/>
        <v>26</v>
      </c>
      <c r="AV48" s="200"/>
      <c r="AW48" s="200"/>
      <c r="AX48" s="128">
        <f t="shared" si="14"/>
        <v>26</v>
      </c>
    </row>
    <row r="49" spans="1:50" x14ac:dyDescent="0.2">
      <c r="A49" s="234" t="s">
        <v>121</v>
      </c>
      <c r="B49" s="128">
        <v>0</v>
      </c>
      <c r="C49" s="128"/>
      <c r="D49" s="128"/>
      <c r="E49" s="128">
        <f t="shared" si="0"/>
        <v>0</v>
      </c>
      <c r="F49" s="128"/>
      <c r="G49" s="128"/>
      <c r="H49" s="290">
        <f t="shared" si="15"/>
        <v>0</v>
      </c>
      <c r="K49" s="290">
        <f t="shared" si="16"/>
        <v>0</v>
      </c>
      <c r="L49" s="128"/>
      <c r="M49" s="128"/>
      <c r="N49" s="290">
        <f t="shared" si="2"/>
        <v>0</v>
      </c>
      <c r="O49" s="128"/>
      <c r="P49" s="128"/>
      <c r="Q49" s="291">
        <f t="shared" si="3"/>
        <v>0</v>
      </c>
      <c r="R49" s="128"/>
      <c r="S49" s="128"/>
      <c r="T49" s="128">
        <f t="shared" si="4"/>
        <v>0</v>
      </c>
      <c r="U49" s="128"/>
      <c r="V49" s="128"/>
      <c r="W49" s="128">
        <f t="shared" si="5"/>
        <v>0</v>
      </c>
      <c r="X49" s="128"/>
      <c r="Y49" s="128"/>
      <c r="Z49" s="128">
        <f t="shared" si="6"/>
        <v>0</v>
      </c>
      <c r="AA49" s="128"/>
      <c r="AB49" s="128"/>
      <c r="AC49" s="128">
        <f t="shared" si="7"/>
        <v>0</v>
      </c>
      <c r="AD49" s="128"/>
      <c r="AE49" s="128"/>
      <c r="AF49" s="128">
        <f t="shared" si="8"/>
        <v>0</v>
      </c>
      <c r="AG49" s="128"/>
      <c r="AH49" s="128"/>
      <c r="AI49" s="128">
        <f t="shared" si="9"/>
        <v>0</v>
      </c>
      <c r="AJ49" s="128"/>
      <c r="AK49" s="128"/>
      <c r="AL49" s="128">
        <f t="shared" si="10"/>
        <v>0</v>
      </c>
      <c r="AM49" s="128"/>
      <c r="AN49" s="128"/>
      <c r="AO49" s="128">
        <f t="shared" si="11"/>
        <v>0</v>
      </c>
      <c r="AP49" s="128"/>
      <c r="AQ49" s="128">
        <v>0</v>
      </c>
      <c r="AR49" s="128">
        <f t="shared" si="12"/>
        <v>0</v>
      </c>
      <c r="AS49" s="128"/>
      <c r="AT49" s="128">
        <v>0</v>
      </c>
      <c r="AU49" s="128">
        <f t="shared" si="13"/>
        <v>0</v>
      </c>
      <c r="AV49" s="128"/>
      <c r="AW49" s="128"/>
      <c r="AX49" s="128">
        <f t="shared" si="14"/>
        <v>0</v>
      </c>
    </row>
    <row r="50" spans="1:50" s="211" customFormat="1" x14ac:dyDescent="0.2">
      <c r="A50" s="240" t="s">
        <v>122</v>
      </c>
      <c r="B50" s="210">
        <v>0</v>
      </c>
      <c r="C50" s="210"/>
      <c r="D50" s="210"/>
      <c r="E50" s="210">
        <f t="shared" si="0"/>
        <v>0</v>
      </c>
      <c r="F50" s="210"/>
      <c r="G50" s="210"/>
      <c r="H50" s="290">
        <f t="shared" si="15"/>
        <v>0</v>
      </c>
      <c r="I50" s="210"/>
      <c r="J50" s="210"/>
      <c r="K50" s="290">
        <f t="shared" si="16"/>
        <v>0</v>
      </c>
      <c r="L50" s="210"/>
      <c r="M50" s="210"/>
      <c r="N50" s="290">
        <f t="shared" si="2"/>
        <v>0</v>
      </c>
      <c r="O50" s="210"/>
      <c r="P50" s="210"/>
      <c r="Q50" s="291">
        <f t="shared" si="3"/>
        <v>0</v>
      </c>
      <c r="R50" s="210"/>
      <c r="S50" s="210"/>
      <c r="T50" s="128">
        <f t="shared" si="4"/>
        <v>0</v>
      </c>
      <c r="U50" s="210"/>
      <c r="V50" s="210"/>
      <c r="W50" s="128">
        <f t="shared" si="5"/>
        <v>0</v>
      </c>
      <c r="X50" s="210"/>
      <c r="Y50" s="210">
        <v>0</v>
      </c>
      <c r="Z50" s="128">
        <f t="shared" si="6"/>
        <v>0</v>
      </c>
      <c r="AA50" s="210"/>
      <c r="AB50" s="210"/>
      <c r="AC50" s="128">
        <f t="shared" si="7"/>
        <v>0</v>
      </c>
      <c r="AD50" s="210"/>
      <c r="AE50" s="210"/>
      <c r="AF50" s="128">
        <f t="shared" si="8"/>
        <v>0</v>
      </c>
      <c r="AG50" s="210"/>
      <c r="AH50" s="210"/>
      <c r="AI50" s="128">
        <f t="shared" si="9"/>
        <v>0</v>
      </c>
      <c r="AJ50" s="210"/>
      <c r="AK50" s="210"/>
      <c r="AL50" s="128">
        <f t="shared" si="10"/>
        <v>0</v>
      </c>
      <c r="AM50" s="210"/>
      <c r="AN50" s="210"/>
      <c r="AO50" s="128">
        <f t="shared" si="11"/>
        <v>0</v>
      </c>
      <c r="AP50" s="210"/>
      <c r="AQ50" s="128">
        <v>0</v>
      </c>
      <c r="AR50" s="128">
        <f t="shared" si="12"/>
        <v>0</v>
      </c>
      <c r="AS50" s="210"/>
      <c r="AT50" s="128">
        <v>0</v>
      </c>
      <c r="AU50" s="128">
        <f t="shared" si="13"/>
        <v>0</v>
      </c>
      <c r="AV50" s="210"/>
      <c r="AW50" s="210"/>
      <c r="AX50" s="128">
        <f t="shared" si="14"/>
        <v>0</v>
      </c>
    </row>
    <row r="51" spans="1:50" x14ac:dyDescent="0.2">
      <c r="A51" s="241" t="s">
        <v>123</v>
      </c>
      <c r="B51" s="128">
        <v>2</v>
      </c>
      <c r="C51" s="128"/>
      <c r="D51" s="128">
        <v>1</v>
      </c>
      <c r="E51" s="128">
        <f t="shared" si="0"/>
        <v>1</v>
      </c>
      <c r="F51" s="128"/>
      <c r="G51" s="128">
        <v>1</v>
      </c>
      <c r="H51" s="290">
        <f t="shared" si="15"/>
        <v>0</v>
      </c>
      <c r="K51" s="290">
        <f t="shared" si="16"/>
        <v>0</v>
      </c>
      <c r="L51" s="128"/>
      <c r="M51" s="128">
        <v>1</v>
      </c>
      <c r="N51" s="290">
        <f t="shared" si="2"/>
        <v>-1</v>
      </c>
      <c r="O51" s="128"/>
      <c r="P51" s="128">
        <v>1</v>
      </c>
      <c r="Q51" s="291">
        <f t="shared" si="3"/>
        <v>-2</v>
      </c>
      <c r="R51" s="128"/>
      <c r="S51" s="128"/>
      <c r="T51" s="128">
        <f t="shared" si="4"/>
        <v>-2</v>
      </c>
      <c r="U51" s="128"/>
      <c r="V51" s="128"/>
      <c r="W51" s="128">
        <f t="shared" si="5"/>
        <v>-2</v>
      </c>
      <c r="X51" s="128"/>
      <c r="Y51" s="128"/>
      <c r="Z51" s="128">
        <f t="shared" si="6"/>
        <v>-2</v>
      </c>
      <c r="AA51" s="128"/>
      <c r="AB51" s="128"/>
      <c r="AC51" s="128">
        <f t="shared" si="7"/>
        <v>-2</v>
      </c>
      <c r="AD51" s="128"/>
      <c r="AE51" s="128"/>
      <c r="AF51" s="128">
        <f t="shared" si="8"/>
        <v>-2</v>
      </c>
      <c r="AG51" s="128"/>
      <c r="AH51" s="128"/>
      <c r="AI51" s="128">
        <f t="shared" si="9"/>
        <v>-2</v>
      </c>
      <c r="AJ51" s="128"/>
      <c r="AK51" s="128"/>
      <c r="AL51" s="128">
        <f t="shared" si="10"/>
        <v>-2</v>
      </c>
      <c r="AM51" s="128">
        <v>2</v>
      </c>
      <c r="AN51" s="128"/>
      <c r="AO51" s="128">
        <f t="shared" si="11"/>
        <v>0</v>
      </c>
      <c r="AP51" s="128"/>
      <c r="AQ51" s="128">
        <v>0</v>
      </c>
      <c r="AR51" s="128">
        <f t="shared" si="12"/>
        <v>0</v>
      </c>
      <c r="AS51" s="128"/>
      <c r="AT51" s="128">
        <v>0</v>
      </c>
      <c r="AU51" s="128">
        <f t="shared" si="13"/>
        <v>0</v>
      </c>
      <c r="AV51" s="128"/>
      <c r="AW51" s="128"/>
      <c r="AX51" s="128">
        <f t="shared" si="14"/>
        <v>0</v>
      </c>
    </row>
    <row r="52" spans="1:50" x14ac:dyDescent="0.2">
      <c r="A52" s="242" t="s">
        <v>124</v>
      </c>
      <c r="B52" s="128">
        <v>3</v>
      </c>
      <c r="C52" s="128"/>
      <c r="D52" s="128"/>
      <c r="E52" s="128">
        <f t="shared" si="0"/>
        <v>3</v>
      </c>
      <c r="F52" s="128"/>
      <c r="G52" s="128"/>
      <c r="H52" s="290">
        <f t="shared" si="15"/>
        <v>3</v>
      </c>
      <c r="J52" s="128">
        <v>1</v>
      </c>
      <c r="K52" s="290">
        <f t="shared" si="16"/>
        <v>2</v>
      </c>
      <c r="L52" s="128"/>
      <c r="M52" s="128"/>
      <c r="N52" s="290">
        <f t="shared" si="2"/>
        <v>2</v>
      </c>
      <c r="O52" s="128"/>
      <c r="P52" s="128"/>
      <c r="Q52" s="291">
        <f t="shared" si="3"/>
        <v>2</v>
      </c>
      <c r="R52" s="128"/>
      <c r="S52" s="128">
        <v>2</v>
      </c>
      <c r="T52" s="128">
        <f t="shared" si="4"/>
        <v>0</v>
      </c>
      <c r="U52" s="128"/>
      <c r="V52" s="128"/>
      <c r="W52" s="128">
        <v>3</v>
      </c>
      <c r="X52" s="128"/>
      <c r="Y52" s="128">
        <v>2</v>
      </c>
      <c r="Z52" s="128">
        <f t="shared" si="6"/>
        <v>1</v>
      </c>
      <c r="AA52" s="128"/>
      <c r="AB52" s="128">
        <v>1</v>
      </c>
      <c r="AC52" s="128">
        <f t="shared" si="7"/>
        <v>0</v>
      </c>
      <c r="AD52" s="128"/>
      <c r="AE52" s="128"/>
      <c r="AF52" s="128">
        <f t="shared" si="8"/>
        <v>0</v>
      </c>
      <c r="AG52" s="128"/>
      <c r="AH52" s="128"/>
      <c r="AI52" s="128">
        <f t="shared" si="9"/>
        <v>0</v>
      </c>
      <c r="AJ52" s="128"/>
      <c r="AK52" s="128"/>
      <c r="AL52" s="128">
        <f t="shared" si="10"/>
        <v>0</v>
      </c>
      <c r="AM52" s="128"/>
      <c r="AN52" s="128"/>
      <c r="AO52" s="128">
        <f t="shared" si="11"/>
        <v>0</v>
      </c>
      <c r="AP52" s="128"/>
      <c r="AQ52" s="128">
        <v>0</v>
      </c>
      <c r="AR52" s="128">
        <f t="shared" si="12"/>
        <v>0</v>
      </c>
      <c r="AS52" s="128"/>
      <c r="AT52" s="128">
        <v>0</v>
      </c>
      <c r="AU52" s="128">
        <f t="shared" si="13"/>
        <v>0</v>
      </c>
      <c r="AV52" s="128">
        <v>2</v>
      </c>
      <c r="AW52" s="128">
        <v>1</v>
      </c>
      <c r="AX52" s="128">
        <f t="shared" si="14"/>
        <v>1</v>
      </c>
    </row>
    <row r="53" spans="1:50" x14ac:dyDescent="0.2">
      <c r="A53" s="238" t="s">
        <v>125</v>
      </c>
      <c r="B53" s="128">
        <v>0</v>
      </c>
      <c r="C53" s="128"/>
      <c r="D53" s="128"/>
      <c r="E53" s="128">
        <f>B53+C53-D53</f>
        <v>0</v>
      </c>
      <c r="F53" s="128"/>
      <c r="G53" s="128"/>
      <c r="H53" s="290">
        <f t="shared" si="15"/>
        <v>0</v>
      </c>
      <c r="K53" s="290">
        <f t="shared" si="16"/>
        <v>0</v>
      </c>
      <c r="L53" s="128"/>
      <c r="M53" s="128"/>
      <c r="N53" s="290">
        <f t="shared" si="2"/>
        <v>0</v>
      </c>
      <c r="O53" s="128"/>
      <c r="P53" s="128"/>
      <c r="Q53" s="291">
        <f t="shared" si="3"/>
        <v>0</v>
      </c>
      <c r="R53" s="128"/>
      <c r="S53" s="128"/>
      <c r="T53" s="128">
        <f t="shared" si="4"/>
        <v>0</v>
      </c>
      <c r="U53" s="128"/>
      <c r="V53" s="128"/>
      <c r="W53" s="128">
        <f t="shared" si="5"/>
        <v>0</v>
      </c>
      <c r="X53" s="128"/>
      <c r="Y53" s="128"/>
      <c r="Z53" s="128">
        <f t="shared" si="6"/>
        <v>0</v>
      </c>
      <c r="AA53" s="128"/>
      <c r="AB53" s="128"/>
      <c r="AC53" s="128">
        <f t="shared" si="7"/>
        <v>0</v>
      </c>
      <c r="AD53" s="128"/>
      <c r="AE53" s="128"/>
      <c r="AF53" s="128">
        <f t="shared" si="8"/>
        <v>0</v>
      </c>
      <c r="AG53" s="128"/>
      <c r="AH53" s="128"/>
      <c r="AI53" s="128">
        <f t="shared" si="9"/>
        <v>0</v>
      </c>
      <c r="AJ53" s="128"/>
      <c r="AK53" s="128"/>
      <c r="AL53" s="128">
        <f t="shared" si="10"/>
        <v>0</v>
      </c>
      <c r="AM53" s="128"/>
      <c r="AN53" s="128"/>
      <c r="AO53" s="128">
        <f t="shared" si="11"/>
        <v>0</v>
      </c>
      <c r="AP53" s="128"/>
      <c r="AQ53" s="128">
        <v>0</v>
      </c>
      <c r="AR53" s="128">
        <f t="shared" si="12"/>
        <v>0</v>
      </c>
      <c r="AS53" s="128"/>
      <c r="AT53" s="128">
        <v>0</v>
      </c>
      <c r="AU53" s="128">
        <f t="shared" si="13"/>
        <v>0</v>
      </c>
      <c r="AV53" s="128"/>
      <c r="AW53" s="128"/>
      <c r="AX53" s="128">
        <f t="shared" si="14"/>
        <v>0</v>
      </c>
    </row>
    <row r="54" spans="1:50" x14ac:dyDescent="0.2">
      <c r="A54" s="243" t="s">
        <v>126</v>
      </c>
      <c r="B54" s="128">
        <v>12</v>
      </c>
      <c r="C54" s="128"/>
      <c r="D54" s="128"/>
      <c r="E54" s="128">
        <f t="shared" si="0"/>
        <v>12</v>
      </c>
      <c r="F54" s="128"/>
      <c r="G54" s="128">
        <v>3</v>
      </c>
      <c r="H54" s="290">
        <f t="shared" si="15"/>
        <v>9</v>
      </c>
      <c r="J54" s="128">
        <v>1</v>
      </c>
      <c r="K54" s="290">
        <f t="shared" si="16"/>
        <v>8</v>
      </c>
      <c r="L54" s="128"/>
      <c r="M54" s="128"/>
      <c r="N54" s="290">
        <f t="shared" si="2"/>
        <v>8</v>
      </c>
      <c r="O54" s="128"/>
      <c r="P54" s="128"/>
      <c r="Q54" s="291">
        <f t="shared" si="3"/>
        <v>8</v>
      </c>
      <c r="R54" s="128"/>
      <c r="S54" s="128">
        <v>1</v>
      </c>
      <c r="T54" s="128">
        <f t="shared" si="4"/>
        <v>7</v>
      </c>
      <c r="U54" s="128"/>
      <c r="V54" s="128"/>
      <c r="W54" s="128">
        <f t="shared" si="5"/>
        <v>7</v>
      </c>
      <c r="X54" s="128"/>
      <c r="Y54" s="128">
        <v>1</v>
      </c>
      <c r="Z54" s="128">
        <f t="shared" si="6"/>
        <v>6</v>
      </c>
      <c r="AA54" s="128"/>
      <c r="AB54" s="128"/>
      <c r="AC54" s="128">
        <f t="shared" si="7"/>
        <v>6</v>
      </c>
      <c r="AD54" s="128"/>
      <c r="AE54" s="128"/>
      <c r="AF54" s="128">
        <f t="shared" si="8"/>
        <v>6</v>
      </c>
      <c r="AG54" s="128"/>
      <c r="AH54" s="128"/>
      <c r="AI54" s="128">
        <f t="shared" si="9"/>
        <v>6</v>
      </c>
      <c r="AJ54" s="128"/>
      <c r="AK54" s="128"/>
      <c r="AL54" s="128">
        <f t="shared" si="10"/>
        <v>6</v>
      </c>
      <c r="AM54" s="128"/>
      <c r="AN54" s="128">
        <v>4</v>
      </c>
      <c r="AO54" s="128">
        <f t="shared" si="11"/>
        <v>2</v>
      </c>
      <c r="AP54" s="128"/>
      <c r="AQ54" s="128">
        <v>0</v>
      </c>
      <c r="AR54" s="128">
        <f t="shared" si="12"/>
        <v>2</v>
      </c>
      <c r="AS54" s="128"/>
      <c r="AT54" s="128">
        <v>0</v>
      </c>
      <c r="AU54" s="128">
        <f t="shared" si="13"/>
        <v>2</v>
      </c>
      <c r="AV54" s="128"/>
      <c r="AW54" s="128"/>
      <c r="AX54" s="128">
        <f t="shared" si="14"/>
        <v>2</v>
      </c>
    </row>
    <row r="55" spans="1:50" x14ac:dyDescent="0.2">
      <c r="A55" s="243" t="s">
        <v>127</v>
      </c>
      <c r="B55" s="128">
        <v>13</v>
      </c>
      <c r="C55" s="128"/>
      <c r="D55" s="128"/>
      <c r="E55" s="128">
        <f t="shared" si="0"/>
        <v>13</v>
      </c>
      <c r="F55" s="128"/>
      <c r="G55" s="128"/>
      <c r="H55" s="290">
        <f t="shared" si="15"/>
        <v>13</v>
      </c>
      <c r="K55" s="290">
        <f t="shared" si="16"/>
        <v>13</v>
      </c>
      <c r="L55" s="128"/>
      <c r="M55" s="128"/>
      <c r="N55" s="290">
        <f t="shared" si="2"/>
        <v>13</v>
      </c>
      <c r="O55" s="128"/>
      <c r="P55" s="128"/>
      <c r="Q55" s="291">
        <f t="shared" si="3"/>
        <v>13</v>
      </c>
      <c r="R55" s="128"/>
      <c r="S55" s="128"/>
      <c r="T55" s="128">
        <f t="shared" si="4"/>
        <v>13</v>
      </c>
      <c r="U55" s="128"/>
      <c r="V55" s="128"/>
      <c r="W55" s="128">
        <f t="shared" si="5"/>
        <v>13</v>
      </c>
      <c r="X55" s="128"/>
      <c r="Y55" s="128"/>
      <c r="Z55" s="128">
        <f t="shared" si="6"/>
        <v>13</v>
      </c>
      <c r="AA55" s="128"/>
      <c r="AB55" s="128"/>
      <c r="AC55" s="128">
        <f t="shared" si="7"/>
        <v>13</v>
      </c>
      <c r="AD55" s="128"/>
      <c r="AE55" s="128"/>
      <c r="AF55" s="128">
        <f t="shared" si="8"/>
        <v>13</v>
      </c>
      <c r="AG55" s="128"/>
      <c r="AH55" s="128"/>
      <c r="AI55" s="128">
        <f t="shared" si="9"/>
        <v>13</v>
      </c>
      <c r="AJ55" s="128"/>
      <c r="AK55" s="128"/>
      <c r="AL55" s="128">
        <f t="shared" si="10"/>
        <v>13</v>
      </c>
      <c r="AM55" s="128"/>
      <c r="AN55" s="128"/>
      <c r="AO55" s="128">
        <f t="shared" si="11"/>
        <v>13</v>
      </c>
      <c r="AP55" s="128"/>
      <c r="AQ55" s="128">
        <v>0</v>
      </c>
      <c r="AR55" s="128">
        <f t="shared" si="12"/>
        <v>13</v>
      </c>
      <c r="AS55" s="128"/>
      <c r="AT55" s="128">
        <v>0</v>
      </c>
      <c r="AU55" s="128">
        <f t="shared" si="13"/>
        <v>13</v>
      </c>
      <c r="AV55" s="128"/>
      <c r="AW55" s="128"/>
      <c r="AX55" s="128">
        <f t="shared" si="14"/>
        <v>13</v>
      </c>
    </row>
    <row r="56" spans="1:50" x14ac:dyDescent="0.2">
      <c r="A56" s="243" t="s">
        <v>128</v>
      </c>
      <c r="B56" s="128">
        <v>11</v>
      </c>
      <c r="C56" s="128"/>
      <c r="D56" s="128">
        <v>3</v>
      </c>
      <c r="E56" s="128">
        <f t="shared" si="0"/>
        <v>8</v>
      </c>
      <c r="F56" s="128"/>
      <c r="G56" s="128"/>
      <c r="H56" s="290">
        <f t="shared" si="15"/>
        <v>8</v>
      </c>
      <c r="K56" s="290">
        <f t="shared" si="16"/>
        <v>8</v>
      </c>
      <c r="L56" s="128"/>
      <c r="M56" s="128">
        <v>1</v>
      </c>
      <c r="N56" s="290">
        <f t="shared" si="2"/>
        <v>7</v>
      </c>
      <c r="O56" s="128"/>
      <c r="P56" s="128"/>
      <c r="Q56" s="291">
        <f t="shared" si="3"/>
        <v>7</v>
      </c>
      <c r="R56" s="128"/>
      <c r="S56" s="128"/>
      <c r="T56" s="128">
        <f t="shared" si="4"/>
        <v>7</v>
      </c>
      <c r="U56" s="128"/>
      <c r="V56" s="128"/>
      <c r="W56" s="128">
        <f t="shared" si="5"/>
        <v>7</v>
      </c>
      <c r="X56" s="128"/>
      <c r="Y56" s="128"/>
      <c r="Z56" s="128">
        <f t="shared" si="6"/>
        <v>7</v>
      </c>
      <c r="AA56" s="128"/>
      <c r="AB56" s="128"/>
      <c r="AC56" s="128">
        <f t="shared" si="7"/>
        <v>7</v>
      </c>
      <c r="AD56" s="128"/>
      <c r="AE56" s="128">
        <v>4</v>
      </c>
      <c r="AF56" s="128">
        <f t="shared" si="8"/>
        <v>3</v>
      </c>
      <c r="AG56" s="128"/>
      <c r="AH56" s="128"/>
      <c r="AI56" s="128">
        <f t="shared" si="9"/>
        <v>3</v>
      </c>
      <c r="AJ56" s="128"/>
      <c r="AK56" s="128"/>
      <c r="AL56" s="128">
        <f t="shared" si="10"/>
        <v>3</v>
      </c>
      <c r="AM56" s="128"/>
      <c r="AN56" s="128"/>
      <c r="AO56" s="128">
        <f t="shared" si="11"/>
        <v>3</v>
      </c>
      <c r="AP56" s="128"/>
      <c r="AQ56" s="128">
        <v>0</v>
      </c>
      <c r="AR56" s="128">
        <f t="shared" si="12"/>
        <v>3</v>
      </c>
      <c r="AS56" s="128"/>
      <c r="AT56" s="128">
        <v>0</v>
      </c>
      <c r="AU56" s="128">
        <f t="shared" si="13"/>
        <v>3</v>
      </c>
      <c r="AV56" s="128"/>
      <c r="AW56" s="128"/>
      <c r="AX56" s="128">
        <f t="shared" si="14"/>
        <v>3</v>
      </c>
    </row>
    <row r="57" spans="1:50" x14ac:dyDescent="0.2">
      <c r="A57" s="243" t="s">
        <v>129</v>
      </c>
      <c r="B57" s="128">
        <v>1</v>
      </c>
      <c r="C57" s="128"/>
      <c r="D57" s="128"/>
      <c r="E57" s="128">
        <f t="shared" si="0"/>
        <v>1</v>
      </c>
      <c r="F57" s="128"/>
      <c r="G57" s="128"/>
      <c r="H57" s="290">
        <f t="shared" si="15"/>
        <v>1</v>
      </c>
      <c r="K57" s="290">
        <f t="shared" si="16"/>
        <v>1</v>
      </c>
      <c r="L57" s="128"/>
      <c r="M57" s="128"/>
      <c r="N57" s="290">
        <f t="shared" si="2"/>
        <v>1</v>
      </c>
      <c r="O57" s="128"/>
      <c r="P57" s="128"/>
      <c r="Q57" s="291">
        <f t="shared" si="3"/>
        <v>1</v>
      </c>
      <c r="R57" s="128"/>
      <c r="S57" s="128"/>
      <c r="T57" s="128">
        <f t="shared" si="4"/>
        <v>1</v>
      </c>
      <c r="U57" s="128"/>
      <c r="V57" s="128"/>
      <c r="W57" s="128">
        <f t="shared" si="5"/>
        <v>1</v>
      </c>
      <c r="X57" s="128"/>
      <c r="Y57" s="128"/>
      <c r="Z57" s="128">
        <f t="shared" si="6"/>
        <v>1</v>
      </c>
      <c r="AA57" s="128"/>
      <c r="AB57" s="128"/>
      <c r="AC57" s="128">
        <f t="shared" si="7"/>
        <v>1</v>
      </c>
      <c r="AD57" s="128"/>
      <c r="AE57" s="128"/>
      <c r="AF57" s="128">
        <f t="shared" si="8"/>
        <v>1</v>
      </c>
      <c r="AG57" s="128"/>
      <c r="AH57" s="128"/>
      <c r="AI57" s="128">
        <f t="shared" si="9"/>
        <v>1</v>
      </c>
      <c r="AJ57" s="128"/>
      <c r="AK57" s="128"/>
      <c r="AL57" s="128">
        <f t="shared" si="10"/>
        <v>1</v>
      </c>
      <c r="AM57" s="128"/>
      <c r="AN57" s="128"/>
      <c r="AO57" s="128">
        <f t="shared" si="11"/>
        <v>1</v>
      </c>
      <c r="AP57" s="128"/>
      <c r="AQ57" s="128">
        <v>0</v>
      </c>
      <c r="AR57" s="128">
        <f t="shared" si="12"/>
        <v>1</v>
      </c>
      <c r="AS57" s="128"/>
      <c r="AT57" s="128">
        <v>0</v>
      </c>
      <c r="AU57" s="128">
        <f t="shared" si="13"/>
        <v>1</v>
      </c>
      <c r="AV57" s="128"/>
      <c r="AW57" s="128"/>
      <c r="AX57" s="128">
        <f t="shared" si="14"/>
        <v>1</v>
      </c>
    </row>
    <row r="58" spans="1:50" x14ac:dyDescent="0.2">
      <c r="A58" s="292" t="s">
        <v>130</v>
      </c>
      <c r="B58" s="128">
        <v>0</v>
      </c>
      <c r="C58" s="128"/>
      <c r="D58" s="128"/>
      <c r="E58" s="128">
        <f t="shared" si="0"/>
        <v>0</v>
      </c>
      <c r="F58" s="128"/>
      <c r="G58" s="128"/>
      <c r="H58" s="290">
        <f t="shared" si="15"/>
        <v>0</v>
      </c>
      <c r="K58" s="290">
        <f t="shared" si="16"/>
        <v>0</v>
      </c>
      <c r="L58" s="128"/>
      <c r="M58" s="128"/>
      <c r="N58" s="290">
        <f t="shared" si="2"/>
        <v>0</v>
      </c>
      <c r="O58" s="128"/>
      <c r="P58" s="128"/>
      <c r="Q58" s="291">
        <f t="shared" si="3"/>
        <v>0</v>
      </c>
      <c r="R58" s="128"/>
      <c r="S58" s="128"/>
      <c r="T58" s="128">
        <f t="shared" si="4"/>
        <v>0</v>
      </c>
      <c r="U58" s="128"/>
      <c r="V58" s="128"/>
      <c r="W58" s="128">
        <f t="shared" si="5"/>
        <v>0</v>
      </c>
      <c r="X58" s="128"/>
      <c r="Y58" s="128"/>
      <c r="Z58" s="128">
        <f t="shared" si="6"/>
        <v>0</v>
      </c>
      <c r="AA58" s="128"/>
      <c r="AB58" s="128"/>
      <c r="AC58" s="128">
        <f t="shared" si="7"/>
        <v>0</v>
      </c>
      <c r="AD58" s="128"/>
      <c r="AE58" s="128"/>
      <c r="AF58" s="128">
        <f t="shared" si="8"/>
        <v>0</v>
      </c>
      <c r="AG58" s="128"/>
      <c r="AH58" s="128"/>
      <c r="AI58" s="128">
        <f t="shared" si="9"/>
        <v>0</v>
      </c>
      <c r="AJ58" s="128"/>
      <c r="AK58" s="128"/>
      <c r="AL58" s="128">
        <f t="shared" si="10"/>
        <v>0</v>
      </c>
      <c r="AM58" s="128"/>
      <c r="AN58" s="128"/>
      <c r="AO58" s="128">
        <f t="shared" si="11"/>
        <v>0</v>
      </c>
      <c r="AP58" s="128"/>
      <c r="AQ58" s="128">
        <v>0</v>
      </c>
      <c r="AR58" s="128">
        <f t="shared" si="12"/>
        <v>0</v>
      </c>
      <c r="AS58" s="128"/>
      <c r="AT58" s="128">
        <v>0</v>
      </c>
      <c r="AU58" s="128">
        <f t="shared" si="13"/>
        <v>0</v>
      </c>
      <c r="AV58" s="128"/>
      <c r="AW58" s="128"/>
      <c r="AX58" s="128">
        <f t="shared" si="14"/>
        <v>0</v>
      </c>
    </row>
    <row r="59" spans="1:50" ht="15" x14ac:dyDescent="0.25">
      <c r="A59" s="293" t="s">
        <v>478</v>
      </c>
      <c r="B59" s="128">
        <v>0</v>
      </c>
      <c r="C59" s="128"/>
      <c r="D59" s="128"/>
      <c r="E59" s="128">
        <f t="shared" si="0"/>
        <v>0</v>
      </c>
      <c r="F59" s="128"/>
      <c r="G59" s="128"/>
      <c r="H59" s="290">
        <f t="shared" si="15"/>
        <v>0</v>
      </c>
      <c r="K59" s="290">
        <f t="shared" si="16"/>
        <v>0</v>
      </c>
      <c r="L59" s="128"/>
      <c r="M59" s="128"/>
      <c r="N59" s="290">
        <f t="shared" si="2"/>
        <v>0</v>
      </c>
      <c r="O59" s="128"/>
      <c r="P59" s="128"/>
      <c r="Q59" s="291">
        <f t="shared" si="3"/>
        <v>0</v>
      </c>
      <c r="R59" s="128"/>
      <c r="S59" s="128"/>
      <c r="T59" s="128">
        <f t="shared" si="4"/>
        <v>0</v>
      </c>
      <c r="U59" s="128"/>
      <c r="V59" s="128"/>
      <c r="W59" s="128">
        <f t="shared" si="5"/>
        <v>0</v>
      </c>
      <c r="X59" s="128"/>
      <c r="Y59" s="128"/>
      <c r="Z59" s="128">
        <f t="shared" si="6"/>
        <v>0</v>
      </c>
      <c r="AA59" s="128"/>
      <c r="AB59" s="128"/>
      <c r="AC59" s="128">
        <f t="shared" si="7"/>
        <v>0</v>
      </c>
      <c r="AD59" s="128"/>
      <c r="AE59" s="128"/>
      <c r="AF59" s="128">
        <f t="shared" si="8"/>
        <v>0</v>
      </c>
      <c r="AG59" s="128"/>
      <c r="AH59" s="128"/>
      <c r="AI59" s="128">
        <f t="shared" si="9"/>
        <v>0</v>
      </c>
      <c r="AJ59" s="128"/>
      <c r="AK59" s="128"/>
      <c r="AL59" s="128">
        <f t="shared" si="10"/>
        <v>0</v>
      </c>
      <c r="AM59" s="128"/>
      <c r="AN59" s="128"/>
      <c r="AO59" s="128">
        <f t="shared" si="11"/>
        <v>0</v>
      </c>
      <c r="AP59" s="128"/>
      <c r="AQ59" s="128">
        <v>0</v>
      </c>
      <c r="AR59" s="128">
        <f t="shared" si="12"/>
        <v>0</v>
      </c>
      <c r="AS59" s="128"/>
      <c r="AT59" s="128">
        <v>0</v>
      </c>
      <c r="AU59" s="128">
        <f t="shared" si="13"/>
        <v>0</v>
      </c>
      <c r="AV59" s="128"/>
      <c r="AW59" s="128"/>
      <c r="AX59" s="128">
        <f t="shared" si="14"/>
        <v>0</v>
      </c>
    </row>
    <row r="60" spans="1:50" x14ac:dyDescent="0.2">
      <c r="A60" s="289" t="s">
        <v>585</v>
      </c>
      <c r="B60" s="128">
        <v>3</v>
      </c>
      <c r="C60" s="128"/>
      <c r="D60" s="128"/>
      <c r="E60" s="128">
        <f t="shared" si="0"/>
        <v>3</v>
      </c>
      <c r="F60" s="128"/>
      <c r="G60" s="128"/>
      <c r="H60" s="290">
        <f t="shared" si="15"/>
        <v>3</v>
      </c>
      <c r="K60" s="290">
        <f t="shared" si="16"/>
        <v>3</v>
      </c>
      <c r="L60" s="128"/>
      <c r="M60" s="128"/>
      <c r="N60" s="290">
        <f t="shared" si="2"/>
        <v>3</v>
      </c>
      <c r="O60" s="128"/>
      <c r="P60" s="128"/>
      <c r="Q60" s="291">
        <f t="shared" si="3"/>
        <v>3</v>
      </c>
      <c r="R60" s="128"/>
      <c r="S60" s="128"/>
      <c r="T60" s="128">
        <f t="shared" si="4"/>
        <v>3</v>
      </c>
      <c r="U60" s="128"/>
      <c r="V60" s="128"/>
      <c r="W60" s="128">
        <f t="shared" si="5"/>
        <v>3</v>
      </c>
      <c r="X60" s="128"/>
      <c r="Y60" s="128"/>
      <c r="Z60" s="128">
        <f t="shared" si="6"/>
        <v>3</v>
      </c>
      <c r="AA60" s="128"/>
      <c r="AB60" s="128"/>
      <c r="AC60" s="128">
        <f t="shared" si="7"/>
        <v>3</v>
      </c>
      <c r="AD60" s="128"/>
      <c r="AE60" s="128"/>
      <c r="AF60" s="128">
        <f t="shared" si="8"/>
        <v>3</v>
      </c>
      <c r="AG60" s="128"/>
      <c r="AH60" s="128"/>
      <c r="AI60" s="128">
        <f t="shared" si="9"/>
        <v>3</v>
      </c>
      <c r="AJ60" s="128"/>
      <c r="AK60" s="128">
        <v>1</v>
      </c>
      <c r="AL60" s="128">
        <f t="shared" si="10"/>
        <v>2</v>
      </c>
      <c r="AM60" s="128"/>
      <c r="AN60" s="128"/>
      <c r="AO60" s="128">
        <f t="shared" si="11"/>
        <v>2</v>
      </c>
      <c r="AP60" s="128"/>
      <c r="AQ60" s="128">
        <v>0</v>
      </c>
      <c r="AR60" s="128">
        <f t="shared" si="12"/>
        <v>2</v>
      </c>
      <c r="AS60" s="128"/>
      <c r="AT60" s="128">
        <v>0</v>
      </c>
      <c r="AU60" s="128">
        <f t="shared" si="13"/>
        <v>2</v>
      </c>
      <c r="AV60" s="128"/>
      <c r="AW60" s="128"/>
      <c r="AX60" s="128">
        <f t="shared" si="14"/>
        <v>2</v>
      </c>
    </row>
    <row r="61" spans="1:50" x14ac:dyDescent="0.2">
      <c r="A61" s="227" t="s">
        <v>702</v>
      </c>
      <c r="B61" s="128">
        <v>5</v>
      </c>
      <c r="C61" s="128"/>
      <c r="D61" s="128"/>
      <c r="E61" s="128">
        <f t="shared" si="0"/>
        <v>5</v>
      </c>
      <c r="F61" s="128"/>
      <c r="G61" s="128"/>
      <c r="H61" s="290">
        <f t="shared" si="15"/>
        <v>5</v>
      </c>
      <c r="K61" s="290">
        <f t="shared" si="16"/>
        <v>5</v>
      </c>
      <c r="L61" s="128"/>
      <c r="M61" s="128">
        <v>1</v>
      </c>
      <c r="N61" s="290">
        <f t="shared" si="2"/>
        <v>4</v>
      </c>
      <c r="O61" s="128"/>
      <c r="P61" s="128">
        <v>1</v>
      </c>
      <c r="Q61" s="291">
        <f t="shared" si="3"/>
        <v>3</v>
      </c>
      <c r="R61" s="128"/>
      <c r="S61" s="128">
        <v>1</v>
      </c>
      <c r="T61" s="128">
        <f t="shared" si="4"/>
        <v>2</v>
      </c>
      <c r="U61" s="128"/>
      <c r="V61" s="128"/>
      <c r="W61" s="128">
        <f t="shared" si="5"/>
        <v>2</v>
      </c>
      <c r="X61" s="128"/>
      <c r="Y61" s="128">
        <v>1</v>
      </c>
      <c r="Z61" s="128">
        <f t="shared" si="6"/>
        <v>1</v>
      </c>
      <c r="AA61" s="128"/>
      <c r="AB61" s="128"/>
      <c r="AC61" s="128">
        <f t="shared" si="7"/>
        <v>1</v>
      </c>
      <c r="AD61" s="128"/>
      <c r="AE61" s="128"/>
      <c r="AF61" s="128">
        <f t="shared" si="8"/>
        <v>1</v>
      </c>
      <c r="AG61" s="128"/>
      <c r="AH61" s="128"/>
      <c r="AI61" s="128">
        <f t="shared" si="9"/>
        <v>1</v>
      </c>
      <c r="AJ61" s="128"/>
      <c r="AK61" s="128"/>
      <c r="AL61" s="128">
        <f t="shared" si="10"/>
        <v>1</v>
      </c>
      <c r="AM61" s="128"/>
      <c r="AN61" s="128"/>
      <c r="AO61" s="128">
        <f t="shared" si="11"/>
        <v>1</v>
      </c>
      <c r="AP61" s="128"/>
      <c r="AQ61" s="128">
        <v>0</v>
      </c>
      <c r="AR61" s="128">
        <f t="shared" si="12"/>
        <v>1</v>
      </c>
      <c r="AS61" s="128"/>
      <c r="AT61" s="128">
        <v>0</v>
      </c>
      <c r="AU61" s="128">
        <f t="shared" si="13"/>
        <v>1</v>
      </c>
      <c r="AV61" s="128"/>
      <c r="AW61" s="128"/>
      <c r="AX61" s="128">
        <f t="shared" si="14"/>
        <v>1</v>
      </c>
    </row>
    <row r="62" spans="1:50" x14ac:dyDescent="0.2">
      <c r="A62" s="294" t="s">
        <v>703</v>
      </c>
      <c r="B62" s="128"/>
      <c r="C62" s="128"/>
      <c r="D62" s="128"/>
      <c r="E62" s="128"/>
      <c r="F62" s="128"/>
      <c r="G62" s="128"/>
      <c r="H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>
        <f t="shared" si="6"/>
        <v>0</v>
      </c>
      <c r="AA62" s="128"/>
      <c r="AB62" s="128"/>
      <c r="AC62" s="128">
        <f t="shared" si="7"/>
        <v>0</v>
      </c>
      <c r="AD62" s="128"/>
      <c r="AE62" s="128">
        <v>2</v>
      </c>
      <c r="AF62" s="128">
        <f t="shared" si="8"/>
        <v>-2</v>
      </c>
      <c r="AG62" s="128"/>
      <c r="AH62" s="128"/>
      <c r="AI62" s="128">
        <f t="shared" si="9"/>
        <v>-2</v>
      </c>
      <c r="AJ62" s="128"/>
      <c r="AK62" s="128">
        <v>2</v>
      </c>
      <c r="AL62" s="128">
        <f t="shared" si="10"/>
        <v>-4</v>
      </c>
      <c r="AM62" s="128"/>
      <c r="AN62" s="128"/>
      <c r="AO62" s="128">
        <f t="shared" si="11"/>
        <v>-4</v>
      </c>
      <c r="AP62" s="128"/>
      <c r="AQ62" s="128">
        <v>0</v>
      </c>
      <c r="AR62" s="128">
        <f t="shared" si="12"/>
        <v>-4</v>
      </c>
      <c r="AS62" s="128"/>
      <c r="AT62" s="128">
        <v>0</v>
      </c>
      <c r="AU62" s="128">
        <f t="shared" si="13"/>
        <v>-4</v>
      </c>
      <c r="AV62" s="128"/>
      <c r="AW62" s="128"/>
      <c r="AX62" s="128">
        <f t="shared" si="14"/>
        <v>-4</v>
      </c>
    </row>
    <row r="63" spans="1:50" x14ac:dyDescent="0.2">
      <c r="A63" s="227" t="s">
        <v>704</v>
      </c>
      <c r="B63" s="128"/>
      <c r="C63" s="128"/>
      <c r="D63" s="128"/>
      <c r="E63" s="128"/>
      <c r="F63" s="128"/>
      <c r="G63" s="128"/>
      <c r="H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>
        <f t="shared" si="6"/>
        <v>0</v>
      </c>
      <c r="AA63" s="128"/>
      <c r="AB63" s="128">
        <v>1</v>
      </c>
      <c r="AC63" s="128">
        <f t="shared" si="7"/>
        <v>-1</v>
      </c>
      <c r="AD63" s="128"/>
      <c r="AE63" s="128"/>
      <c r="AF63" s="128">
        <f t="shared" si="8"/>
        <v>-1</v>
      </c>
      <c r="AG63" s="128"/>
      <c r="AH63" s="128"/>
      <c r="AI63" s="128">
        <f t="shared" si="9"/>
        <v>-1</v>
      </c>
      <c r="AJ63" s="128"/>
      <c r="AK63" s="128"/>
      <c r="AL63" s="128">
        <f t="shared" si="10"/>
        <v>-1</v>
      </c>
      <c r="AM63" s="128"/>
      <c r="AN63" s="128"/>
      <c r="AO63" s="128">
        <f t="shared" si="11"/>
        <v>-1</v>
      </c>
      <c r="AP63" s="128"/>
      <c r="AQ63" s="128">
        <v>0</v>
      </c>
      <c r="AR63" s="128">
        <f t="shared" si="12"/>
        <v>-1</v>
      </c>
      <c r="AS63" s="128"/>
      <c r="AT63" s="128">
        <v>0</v>
      </c>
      <c r="AU63" s="128">
        <f t="shared" si="13"/>
        <v>-1</v>
      </c>
      <c r="AV63" s="128"/>
      <c r="AW63" s="128"/>
      <c r="AX63" s="128">
        <f t="shared" si="14"/>
        <v>-1</v>
      </c>
    </row>
    <row r="64" spans="1:50" x14ac:dyDescent="0.2">
      <c r="A64" s="227" t="s">
        <v>705</v>
      </c>
      <c r="B64" s="128"/>
      <c r="C64" s="128"/>
      <c r="D64" s="128"/>
      <c r="E64" s="128"/>
      <c r="F64" s="128"/>
      <c r="G64" s="128"/>
      <c r="H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>
        <f t="shared" si="6"/>
        <v>0</v>
      </c>
      <c r="AA64" s="128"/>
      <c r="AB64" s="128"/>
      <c r="AC64" s="128">
        <f t="shared" si="7"/>
        <v>0</v>
      </c>
      <c r="AD64" s="128"/>
      <c r="AE64" s="128"/>
      <c r="AF64" s="128">
        <f t="shared" si="8"/>
        <v>0</v>
      </c>
      <c r="AG64" s="128"/>
      <c r="AH64" s="128">
        <v>3</v>
      </c>
      <c r="AI64" s="128">
        <f t="shared" si="9"/>
        <v>-3</v>
      </c>
      <c r="AJ64" s="128"/>
      <c r="AK64" s="128"/>
      <c r="AL64" s="128">
        <f t="shared" si="10"/>
        <v>-3</v>
      </c>
      <c r="AM64" s="128"/>
      <c r="AN64" s="128"/>
      <c r="AO64" s="128">
        <f t="shared" si="11"/>
        <v>-3</v>
      </c>
      <c r="AP64" s="128"/>
      <c r="AQ64" s="128">
        <v>0</v>
      </c>
      <c r="AR64" s="128">
        <f t="shared" si="12"/>
        <v>-3</v>
      </c>
      <c r="AS64" s="128"/>
      <c r="AT64" s="128">
        <v>0</v>
      </c>
      <c r="AU64" s="128">
        <f t="shared" si="13"/>
        <v>-3</v>
      </c>
      <c r="AV64" s="128"/>
      <c r="AW64" s="128"/>
      <c r="AX64" s="128">
        <f t="shared" si="14"/>
        <v>-3</v>
      </c>
    </row>
    <row r="65" spans="1:51" x14ac:dyDescent="0.2">
      <c r="A65" s="296" t="s">
        <v>707</v>
      </c>
      <c r="B65" s="297"/>
      <c r="C65" s="297"/>
      <c r="D65" s="297"/>
      <c r="E65" s="297"/>
      <c r="F65" s="297"/>
      <c r="G65" s="297"/>
      <c r="H65" s="297"/>
      <c r="I65" s="297"/>
      <c r="J65" s="297"/>
      <c r="K65" s="297"/>
      <c r="L65" s="297"/>
      <c r="M65" s="297"/>
      <c r="N65" s="297"/>
      <c r="O65" s="297"/>
      <c r="P65" s="297"/>
      <c r="Q65" s="297"/>
      <c r="R65" s="297"/>
      <c r="S65" s="297"/>
      <c r="T65" s="297"/>
      <c r="U65" s="297"/>
      <c r="V65" s="297"/>
      <c r="W65" s="297"/>
      <c r="X65" s="297"/>
      <c r="Y65" s="297"/>
      <c r="Z65" s="297">
        <f t="shared" si="6"/>
        <v>0</v>
      </c>
      <c r="AA65" s="297"/>
      <c r="AB65" s="297"/>
      <c r="AC65" s="297">
        <f t="shared" si="7"/>
        <v>0</v>
      </c>
      <c r="AD65" s="297"/>
      <c r="AE65" s="297">
        <v>1</v>
      </c>
      <c r="AF65" s="297">
        <f t="shared" si="8"/>
        <v>-1</v>
      </c>
      <c r="AG65" s="297"/>
      <c r="AH65" s="297"/>
      <c r="AI65" s="128">
        <f t="shared" si="9"/>
        <v>-1</v>
      </c>
      <c r="AJ65" s="297"/>
      <c r="AK65" s="297"/>
      <c r="AL65" s="128">
        <f t="shared" si="10"/>
        <v>-1</v>
      </c>
      <c r="AM65" s="297"/>
      <c r="AN65" s="297"/>
      <c r="AO65" s="128">
        <f t="shared" si="11"/>
        <v>-1</v>
      </c>
      <c r="AP65" s="128"/>
      <c r="AQ65" s="128">
        <v>0</v>
      </c>
      <c r="AR65" s="128">
        <f t="shared" si="12"/>
        <v>-1</v>
      </c>
      <c r="AS65" s="128"/>
      <c r="AT65" s="128">
        <v>0</v>
      </c>
      <c r="AU65" s="128">
        <f t="shared" si="13"/>
        <v>-1</v>
      </c>
      <c r="AV65" s="128"/>
      <c r="AW65" s="128"/>
      <c r="AX65" s="128">
        <f t="shared" si="14"/>
        <v>-1</v>
      </c>
    </row>
    <row r="66" spans="1:51" s="128" customFormat="1" x14ac:dyDescent="0.2">
      <c r="A66" s="284" t="s">
        <v>708</v>
      </c>
      <c r="AE66" s="128">
        <v>2</v>
      </c>
      <c r="AF66" s="297">
        <f t="shared" si="8"/>
        <v>-2</v>
      </c>
      <c r="AI66" s="128">
        <f t="shared" si="9"/>
        <v>-2</v>
      </c>
      <c r="AL66" s="128">
        <f t="shared" si="10"/>
        <v>-2</v>
      </c>
      <c r="AO66" s="128">
        <f t="shared" si="11"/>
        <v>-2</v>
      </c>
      <c r="AQ66" s="128">
        <v>0</v>
      </c>
      <c r="AR66" s="128">
        <f t="shared" si="12"/>
        <v>-2</v>
      </c>
      <c r="AT66" s="128">
        <v>0</v>
      </c>
      <c r="AU66" s="128">
        <f t="shared" si="13"/>
        <v>-2</v>
      </c>
      <c r="AX66" s="128">
        <f t="shared" si="14"/>
        <v>-2</v>
      </c>
      <c r="AY66" s="298"/>
    </row>
    <row r="67" spans="1:51" x14ac:dyDescent="0.2">
      <c r="I67"/>
      <c r="J67"/>
      <c r="K67"/>
    </row>
    <row r="68" spans="1:51" x14ac:dyDescent="0.2">
      <c r="I68"/>
      <c r="J68"/>
      <c r="K68"/>
    </row>
    <row r="69" spans="1:51" x14ac:dyDescent="0.2">
      <c r="I69"/>
      <c r="J69"/>
      <c r="K69"/>
    </row>
    <row r="70" spans="1:51" x14ac:dyDescent="0.2">
      <c r="I70"/>
      <c r="J70"/>
      <c r="K70"/>
    </row>
    <row r="71" spans="1:51" x14ac:dyDescent="0.2">
      <c r="I71"/>
      <c r="J71"/>
      <c r="K71"/>
    </row>
    <row r="72" spans="1:51" x14ac:dyDescent="0.2">
      <c r="I72"/>
      <c r="J72"/>
      <c r="K72"/>
    </row>
    <row r="73" spans="1:51" x14ac:dyDescent="0.2">
      <c r="I73"/>
      <c r="J73"/>
      <c r="K73"/>
    </row>
    <row r="74" spans="1:51" x14ac:dyDescent="0.2">
      <c r="I74"/>
      <c r="J74"/>
      <c r="K74"/>
    </row>
    <row r="75" spans="1:51" x14ac:dyDescent="0.2">
      <c r="I75"/>
      <c r="J75"/>
      <c r="K75"/>
    </row>
    <row r="76" spans="1:51" x14ac:dyDescent="0.2">
      <c r="I76"/>
      <c r="J76"/>
      <c r="K76"/>
    </row>
    <row r="77" spans="1:51" x14ac:dyDescent="0.2">
      <c r="I77"/>
      <c r="J77"/>
      <c r="K77"/>
    </row>
    <row r="78" spans="1:51" x14ac:dyDescent="0.2">
      <c r="I78"/>
      <c r="J78"/>
      <c r="K78"/>
    </row>
    <row r="79" spans="1:51" x14ac:dyDescent="0.2">
      <c r="I79"/>
      <c r="J79"/>
      <c r="K79"/>
    </row>
    <row r="80" spans="1:51" x14ac:dyDescent="0.2">
      <c r="I80"/>
      <c r="J80"/>
      <c r="K80"/>
    </row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  <row r="411" customFormat="1" x14ac:dyDescent="0.2"/>
    <row r="412" customFormat="1" x14ac:dyDescent="0.2"/>
    <row r="413" customFormat="1" x14ac:dyDescent="0.2"/>
    <row r="414" customFormat="1" x14ac:dyDescent="0.2"/>
    <row r="415" customFormat="1" x14ac:dyDescent="0.2"/>
    <row r="416" customFormat="1" x14ac:dyDescent="0.2"/>
    <row r="417" customFormat="1" x14ac:dyDescent="0.2"/>
    <row r="418" customFormat="1" x14ac:dyDescent="0.2"/>
    <row r="419" customFormat="1" x14ac:dyDescent="0.2"/>
    <row r="420" customFormat="1" x14ac:dyDescent="0.2"/>
    <row r="421" customFormat="1" x14ac:dyDescent="0.2"/>
    <row r="422" customFormat="1" x14ac:dyDescent="0.2"/>
    <row r="423" customFormat="1" x14ac:dyDescent="0.2"/>
    <row r="424" customFormat="1" x14ac:dyDescent="0.2"/>
    <row r="425" customFormat="1" x14ac:dyDescent="0.2"/>
    <row r="426" customFormat="1" x14ac:dyDescent="0.2"/>
    <row r="427" customFormat="1" x14ac:dyDescent="0.2"/>
    <row r="428" customFormat="1" x14ac:dyDescent="0.2"/>
    <row r="429" customFormat="1" x14ac:dyDescent="0.2"/>
    <row r="430" customFormat="1" x14ac:dyDescent="0.2"/>
    <row r="431" customFormat="1" x14ac:dyDescent="0.2"/>
    <row r="432" customFormat="1" x14ac:dyDescent="0.2"/>
    <row r="433" customFormat="1" x14ac:dyDescent="0.2"/>
    <row r="434" customFormat="1" x14ac:dyDescent="0.2"/>
    <row r="435" customFormat="1" x14ac:dyDescent="0.2"/>
    <row r="436" customFormat="1" x14ac:dyDescent="0.2"/>
    <row r="437" customFormat="1" x14ac:dyDescent="0.2"/>
    <row r="438" customFormat="1" x14ac:dyDescent="0.2"/>
    <row r="439" customFormat="1" x14ac:dyDescent="0.2"/>
    <row r="440" customFormat="1" x14ac:dyDescent="0.2"/>
    <row r="441" customFormat="1" x14ac:dyDescent="0.2"/>
    <row r="442" customFormat="1" x14ac:dyDescent="0.2"/>
    <row r="443" customFormat="1" x14ac:dyDescent="0.2"/>
    <row r="444" customFormat="1" x14ac:dyDescent="0.2"/>
    <row r="445" customFormat="1" x14ac:dyDescent="0.2"/>
    <row r="446" customFormat="1" x14ac:dyDescent="0.2"/>
    <row r="447" customFormat="1" x14ac:dyDescent="0.2"/>
    <row r="448" customFormat="1" x14ac:dyDescent="0.2"/>
    <row r="449" customFormat="1" x14ac:dyDescent="0.2"/>
    <row r="450" customFormat="1" x14ac:dyDescent="0.2"/>
    <row r="451" customFormat="1" x14ac:dyDescent="0.2"/>
    <row r="452" customFormat="1" x14ac:dyDescent="0.2"/>
    <row r="453" customFormat="1" x14ac:dyDescent="0.2"/>
    <row r="454" customFormat="1" x14ac:dyDescent="0.2"/>
    <row r="455" customFormat="1" x14ac:dyDescent="0.2"/>
    <row r="456" customFormat="1" x14ac:dyDescent="0.2"/>
    <row r="457" customFormat="1" x14ac:dyDescent="0.2"/>
    <row r="458" customFormat="1" x14ac:dyDescent="0.2"/>
    <row r="459" customFormat="1" x14ac:dyDescent="0.2"/>
    <row r="460" customFormat="1" x14ac:dyDescent="0.2"/>
    <row r="461" customFormat="1" x14ac:dyDescent="0.2"/>
    <row r="462" customFormat="1" x14ac:dyDescent="0.2"/>
    <row r="463" customFormat="1" x14ac:dyDescent="0.2"/>
    <row r="464" customFormat="1" x14ac:dyDescent="0.2"/>
    <row r="465" customFormat="1" x14ac:dyDescent="0.2"/>
    <row r="466" customFormat="1" x14ac:dyDescent="0.2"/>
    <row r="467" customFormat="1" x14ac:dyDescent="0.2"/>
    <row r="468" customFormat="1" x14ac:dyDescent="0.2"/>
    <row r="469" customFormat="1" x14ac:dyDescent="0.2"/>
    <row r="470" customFormat="1" x14ac:dyDescent="0.2"/>
    <row r="471" customFormat="1" x14ac:dyDescent="0.2"/>
    <row r="472" customFormat="1" x14ac:dyDescent="0.2"/>
    <row r="473" customFormat="1" x14ac:dyDescent="0.2"/>
    <row r="474" customFormat="1" x14ac:dyDescent="0.2"/>
    <row r="475" customFormat="1" x14ac:dyDescent="0.2"/>
    <row r="476" customFormat="1" x14ac:dyDescent="0.2"/>
    <row r="477" customFormat="1" x14ac:dyDescent="0.2"/>
    <row r="478" customFormat="1" x14ac:dyDescent="0.2"/>
    <row r="479" customFormat="1" x14ac:dyDescent="0.2"/>
    <row r="480" customFormat="1" x14ac:dyDescent="0.2"/>
    <row r="481" customFormat="1" x14ac:dyDescent="0.2"/>
    <row r="482" customFormat="1" x14ac:dyDescent="0.2"/>
    <row r="483" customFormat="1" x14ac:dyDescent="0.2"/>
    <row r="484" customFormat="1" x14ac:dyDescent="0.2"/>
    <row r="485" customFormat="1" x14ac:dyDescent="0.2"/>
    <row r="486" customFormat="1" x14ac:dyDescent="0.2"/>
    <row r="487" customFormat="1" x14ac:dyDescent="0.2"/>
    <row r="488" customFormat="1" x14ac:dyDescent="0.2"/>
    <row r="489" customFormat="1" x14ac:dyDescent="0.2"/>
    <row r="490" customFormat="1" x14ac:dyDescent="0.2"/>
    <row r="491" customFormat="1" x14ac:dyDescent="0.2"/>
    <row r="492" customFormat="1" x14ac:dyDescent="0.2"/>
    <row r="493" customFormat="1" x14ac:dyDescent="0.2"/>
    <row r="494" customFormat="1" x14ac:dyDescent="0.2"/>
    <row r="495" customFormat="1" x14ac:dyDescent="0.2"/>
    <row r="496" customFormat="1" x14ac:dyDescent="0.2"/>
    <row r="497" customFormat="1" x14ac:dyDescent="0.2"/>
    <row r="498" customFormat="1" x14ac:dyDescent="0.2"/>
    <row r="499" customFormat="1" x14ac:dyDescent="0.2"/>
    <row r="500" customFormat="1" x14ac:dyDescent="0.2"/>
    <row r="501" customFormat="1" x14ac:dyDescent="0.2"/>
    <row r="502" customFormat="1" x14ac:dyDescent="0.2"/>
    <row r="503" customFormat="1" x14ac:dyDescent="0.2"/>
    <row r="504" customFormat="1" x14ac:dyDescent="0.2"/>
    <row r="505" customFormat="1" x14ac:dyDescent="0.2"/>
    <row r="506" customFormat="1" x14ac:dyDescent="0.2"/>
    <row r="507" customFormat="1" x14ac:dyDescent="0.2"/>
    <row r="508" customFormat="1" x14ac:dyDescent="0.2"/>
    <row r="509" customFormat="1" x14ac:dyDescent="0.2"/>
    <row r="510" customFormat="1" x14ac:dyDescent="0.2"/>
    <row r="511" customFormat="1" x14ac:dyDescent="0.2"/>
    <row r="512" customFormat="1" x14ac:dyDescent="0.2"/>
    <row r="513" customFormat="1" x14ac:dyDescent="0.2"/>
    <row r="514" customFormat="1" x14ac:dyDescent="0.2"/>
    <row r="515" customFormat="1" x14ac:dyDescent="0.2"/>
    <row r="516" customFormat="1" x14ac:dyDescent="0.2"/>
    <row r="517" customFormat="1" x14ac:dyDescent="0.2"/>
    <row r="518" customFormat="1" x14ac:dyDescent="0.2"/>
    <row r="519" customFormat="1" x14ac:dyDescent="0.2"/>
    <row r="520" customFormat="1" x14ac:dyDescent="0.2"/>
    <row r="521" customFormat="1" x14ac:dyDescent="0.2"/>
    <row r="522" customFormat="1" x14ac:dyDescent="0.2"/>
    <row r="523" customFormat="1" x14ac:dyDescent="0.2"/>
    <row r="524" customFormat="1" x14ac:dyDescent="0.2"/>
    <row r="525" customFormat="1" x14ac:dyDescent="0.2"/>
    <row r="526" customFormat="1" x14ac:dyDescent="0.2"/>
    <row r="527" customFormat="1" x14ac:dyDescent="0.2"/>
    <row r="528" customFormat="1" x14ac:dyDescent="0.2"/>
    <row r="529" customFormat="1" x14ac:dyDescent="0.2"/>
    <row r="530" customFormat="1" x14ac:dyDescent="0.2"/>
    <row r="531" customFormat="1" x14ac:dyDescent="0.2"/>
    <row r="532" customFormat="1" x14ac:dyDescent="0.2"/>
    <row r="533" customFormat="1" x14ac:dyDescent="0.2"/>
    <row r="534" customFormat="1" x14ac:dyDescent="0.2"/>
    <row r="535" customFormat="1" x14ac:dyDescent="0.2"/>
    <row r="536" customFormat="1" x14ac:dyDescent="0.2"/>
    <row r="537" customFormat="1" x14ac:dyDescent="0.2"/>
    <row r="538" customFormat="1" x14ac:dyDescent="0.2"/>
    <row r="539" customFormat="1" x14ac:dyDescent="0.2"/>
    <row r="540" customFormat="1" x14ac:dyDescent="0.2"/>
    <row r="541" customFormat="1" x14ac:dyDescent="0.2"/>
    <row r="542" customFormat="1" x14ac:dyDescent="0.2"/>
    <row r="543" customFormat="1" x14ac:dyDescent="0.2"/>
    <row r="544" customFormat="1" x14ac:dyDescent="0.2"/>
    <row r="545" customFormat="1" x14ac:dyDescent="0.2"/>
    <row r="546" customFormat="1" x14ac:dyDescent="0.2"/>
    <row r="547" customFormat="1" x14ac:dyDescent="0.2"/>
    <row r="548" customFormat="1" x14ac:dyDescent="0.2"/>
    <row r="549" customFormat="1" x14ac:dyDescent="0.2"/>
    <row r="550" customFormat="1" x14ac:dyDescent="0.2"/>
    <row r="551" customFormat="1" x14ac:dyDescent="0.2"/>
    <row r="552" customFormat="1" x14ac:dyDescent="0.2"/>
    <row r="553" customFormat="1" x14ac:dyDescent="0.2"/>
    <row r="554" customFormat="1" x14ac:dyDescent="0.2"/>
    <row r="555" customFormat="1" x14ac:dyDescent="0.2"/>
    <row r="556" customFormat="1" x14ac:dyDescent="0.2"/>
    <row r="557" customFormat="1" x14ac:dyDescent="0.2"/>
    <row r="558" customFormat="1" x14ac:dyDescent="0.2"/>
    <row r="559" customFormat="1" x14ac:dyDescent="0.2"/>
    <row r="560" customFormat="1" x14ac:dyDescent="0.2"/>
    <row r="561" customFormat="1" x14ac:dyDescent="0.2"/>
    <row r="562" customFormat="1" x14ac:dyDescent="0.2"/>
    <row r="563" customFormat="1" x14ac:dyDescent="0.2"/>
    <row r="564" customFormat="1" x14ac:dyDescent="0.2"/>
    <row r="565" customFormat="1" x14ac:dyDescent="0.2"/>
    <row r="566" customFormat="1" x14ac:dyDescent="0.2"/>
    <row r="567" customFormat="1" x14ac:dyDescent="0.2"/>
    <row r="568" customFormat="1" x14ac:dyDescent="0.2"/>
    <row r="569" customFormat="1" x14ac:dyDescent="0.2"/>
    <row r="570" customFormat="1" x14ac:dyDescent="0.2"/>
    <row r="571" customFormat="1" x14ac:dyDescent="0.2"/>
    <row r="572" customFormat="1" x14ac:dyDescent="0.2"/>
    <row r="573" customFormat="1" x14ac:dyDescent="0.2"/>
    <row r="574" customFormat="1" x14ac:dyDescent="0.2"/>
    <row r="575" customFormat="1" x14ac:dyDescent="0.2"/>
    <row r="576" customFormat="1" x14ac:dyDescent="0.2"/>
    <row r="577" customFormat="1" x14ac:dyDescent="0.2"/>
    <row r="578" customFormat="1" x14ac:dyDescent="0.2"/>
    <row r="579" customFormat="1" x14ac:dyDescent="0.2"/>
    <row r="580" customFormat="1" x14ac:dyDescent="0.2"/>
    <row r="581" customFormat="1" x14ac:dyDescent="0.2"/>
    <row r="582" customFormat="1" x14ac:dyDescent="0.2"/>
    <row r="583" customFormat="1" x14ac:dyDescent="0.2"/>
    <row r="584" customFormat="1" x14ac:dyDescent="0.2"/>
    <row r="585" customFormat="1" x14ac:dyDescent="0.2"/>
    <row r="586" customFormat="1" x14ac:dyDescent="0.2"/>
    <row r="587" customFormat="1" x14ac:dyDescent="0.2"/>
    <row r="588" customFormat="1" x14ac:dyDescent="0.2"/>
    <row r="589" customFormat="1" x14ac:dyDescent="0.2"/>
    <row r="590" customFormat="1" x14ac:dyDescent="0.2"/>
    <row r="591" customFormat="1" x14ac:dyDescent="0.2"/>
    <row r="592" customFormat="1" x14ac:dyDescent="0.2"/>
    <row r="593" customFormat="1" x14ac:dyDescent="0.2"/>
    <row r="594" customFormat="1" x14ac:dyDescent="0.2"/>
    <row r="595" customFormat="1" x14ac:dyDescent="0.2"/>
    <row r="596" customFormat="1" x14ac:dyDescent="0.2"/>
    <row r="597" customFormat="1" x14ac:dyDescent="0.2"/>
    <row r="598" customFormat="1" x14ac:dyDescent="0.2"/>
    <row r="599" customFormat="1" x14ac:dyDescent="0.2"/>
    <row r="600" customFormat="1" x14ac:dyDescent="0.2"/>
    <row r="601" customFormat="1" x14ac:dyDescent="0.2"/>
    <row r="602" customFormat="1" x14ac:dyDescent="0.2"/>
    <row r="603" customFormat="1" x14ac:dyDescent="0.2"/>
    <row r="604" customFormat="1" x14ac:dyDescent="0.2"/>
    <row r="605" customFormat="1" x14ac:dyDescent="0.2"/>
    <row r="606" customFormat="1" x14ac:dyDescent="0.2"/>
    <row r="607" customFormat="1" x14ac:dyDescent="0.2"/>
    <row r="608" customFormat="1" x14ac:dyDescent="0.2"/>
    <row r="609" customFormat="1" x14ac:dyDescent="0.2"/>
    <row r="610" customFormat="1" x14ac:dyDescent="0.2"/>
    <row r="611" customFormat="1" x14ac:dyDescent="0.2"/>
    <row r="612" customFormat="1" x14ac:dyDescent="0.2"/>
    <row r="613" customFormat="1" x14ac:dyDescent="0.2"/>
    <row r="614" customFormat="1" x14ac:dyDescent="0.2"/>
    <row r="615" customFormat="1" x14ac:dyDescent="0.2"/>
    <row r="616" customFormat="1" x14ac:dyDescent="0.2"/>
    <row r="617" customFormat="1" x14ac:dyDescent="0.2"/>
    <row r="618" customFormat="1" x14ac:dyDescent="0.2"/>
    <row r="619" customFormat="1" x14ac:dyDescent="0.2"/>
    <row r="620" customFormat="1" x14ac:dyDescent="0.2"/>
    <row r="621" customFormat="1" x14ac:dyDescent="0.2"/>
    <row r="622" customFormat="1" x14ac:dyDescent="0.2"/>
    <row r="623" customFormat="1" x14ac:dyDescent="0.2"/>
    <row r="624" customFormat="1" x14ac:dyDescent="0.2"/>
    <row r="625" customFormat="1" x14ac:dyDescent="0.2"/>
    <row r="626" customFormat="1" x14ac:dyDescent="0.2"/>
    <row r="627" customFormat="1" x14ac:dyDescent="0.2"/>
    <row r="628" customFormat="1" x14ac:dyDescent="0.2"/>
    <row r="629" customFormat="1" x14ac:dyDescent="0.2"/>
    <row r="630" customFormat="1" x14ac:dyDescent="0.2"/>
    <row r="631" customFormat="1" x14ac:dyDescent="0.2"/>
    <row r="632" customFormat="1" x14ac:dyDescent="0.2"/>
    <row r="633" customFormat="1" x14ac:dyDescent="0.2"/>
    <row r="634" customFormat="1" x14ac:dyDescent="0.2"/>
    <row r="635" customFormat="1" x14ac:dyDescent="0.2"/>
    <row r="636" customFormat="1" x14ac:dyDescent="0.2"/>
    <row r="637" customFormat="1" x14ac:dyDescent="0.2"/>
    <row r="638" customFormat="1" x14ac:dyDescent="0.2"/>
    <row r="639" customFormat="1" x14ac:dyDescent="0.2"/>
    <row r="640" customFormat="1" x14ac:dyDescent="0.2"/>
    <row r="641" customFormat="1" x14ac:dyDescent="0.2"/>
    <row r="642" customFormat="1" x14ac:dyDescent="0.2"/>
    <row r="643" customFormat="1" x14ac:dyDescent="0.2"/>
    <row r="644" customFormat="1" x14ac:dyDescent="0.2"/>
    <row r="645" customFormat="1" x14ac:dyDescent="0.2"/>
    <row r="646" customFormat="1" x14ac:dyDescent="0.2"/>
    <row r="647" customFormat="1" x14ac:dyDescent="0.2"/>
    <row r="648" customFormat="1" x14ac:dyDescent="0.2"/>
    <row r="649" customFormat="1" x14ac:dyDescent="0.2"/>
    <row r="650" customFormat="1" x14ac:dyDescent="0.2"/>
    <row r="651" customFormat="1" x14ac:dyDescent="0.2"/>
    <row r="652" customFormat="1" x14ac:dyDescent="0.2"/>
    <row r="653" customFormat="1" x14ac:dyDescent="0.2"/>
    <row r="654" customFormat="1" x14ac:dyDescent="0.2"/>
    <row r="655" customFormat="1" x14ac:dyDescent="0.2"/>
    <row r="656" customFormat="1" x14ac:dyDescent="0.2"/>
    <row r="657" customFormat="1" x14ac:dyDescent="0.2"/>
    <row r="658" customFormat="1" x14ac:dyDescent="0.2"/>
    <row r="659" customFormat="1" x14ac:dyDescent="0.2"/>
    <row r="660" customFormat="1" x14ac:dyDescent="0.2"/>
    <row r="661" customFormat="1" x14ac:dyDescent="0.2"/>
    <row r="662" customFormat="1" x14ac:dyDescent="0.2"/>
    <row r="663" customFormat="1" x14ac:dyDescent="0.2"/>
    <row r="664" customFormat="1" x14ac:dyDescent="0.2"/>
    <row r="665" customFormat="1" x14ac:dyDescent="0.2"/>
    <row r="666" customFormat="1" x14ac:dyDescent="0.2"/>
    <row r="667" customFormat="1" x14ac:dyDescent="0.2"/>
    <row r="668" customFormat="1" x14ac:dyDescent="0.2"/>
    <row r="669" customFormat="1" x14ac:dyDescent="0.2"/>
    <row r="670" customFormat="1" x14ac:dyDescent="0.2"/>
    <row r="671" customFormat="1" x14ac:dyDescent="0.2"/>
    <row r="672" customFormat="1" x14ac:dyDescent="0.2"/>
    <row r="673" customFormat="1" x14ac:dyDescent="0.2"/>
    <row r="674" customFormat="1" x14ac:dyDescent="0.2"/>
    <row r="675" customFormat="1" x14ac:dyDescent="0.2"/>
    <row r="676" customFormat="1" x14ac:dyDescent="0.2"/>
    <row r="677" customFormat="1" x14ac:dyDescent="0.2"/>
    <row r="678" customFormat="1" x14ac:dyDescent="0.2"/>
    <row r="679" customFormat="1" x14ac:dyDescent="0.2"/>
    <row r="680" customFormat="1" x14ac:dyDescent="0.2"/>
    <row r="681" customFormat="1" x14ac:dyDescent="0.2"/>
    <row r="682" customFormat="1" x14ac:dyDescent="0.2"/>
    <row r="683" customFormat="1" x14ac:dyDescent="0.2"/>
    <row r="684" customFormat="1" x14ac:dyDescent="0.2"/>
    <row r="685" customFormat="1" x14ac:dyDescent="0.2"/>
    <row r="686" customFormat="1" x14ac:dyDescent="0.2"/>
    <row r="687" customFormat="1" x14ac:dyDescent="0.2"/>
    <row r="688" customFormat="1" x14ac:dyDescent="0.2"/>
    <row r="689" customFormat="1" x14ac:dyDescent="0.2"/>
    <row r="690" customFormat="1" x14ac:dyDescent="0.2"/>
    <row r="691" customFormat="1" x14ac:dyDescent="0.2"/>
    <row r="692" customFormat="1" x14ac:dyDescent="0.2"/>
    <row r="693" customFormat="1" x14ac:dyDescent="0.2"/>
    <row r="694" customFormat="1" x14ac:dyDescent="0.2"/>
    <row r="695" customFormat="1" x14ac:dyDescent="0.2"/>
    <row r="696" customFormat="1" x14ac:dyDescent="0.2"/>
    <row r="697" customFormat="1" x14ac:dyDescent="0.2"/>
    <row r="698" customFormat="1" x14ac:dyDescent="0.2"/>
    <row r="699" customFormat="1" x14ac:dyDescent="0.2"/>
    <row r="700" customFormat="1" x14ac:dyDescent="0.2"/>
    <row r="701" customFormat="1" x14ac:dyDescent="0.2"/>
    <row r="702" customFormat="1" x14ac:dyDescent="0.2"/>
    <row r="703" customFormat="1" x14ac:dyDescent="0.2"/>
    <row r="704" customFormat="1" x14ac:dyDescent="0.2"/>
    <row r="705" customFormat="1" x14ac:dyDescent="0.2"/>
    <row r="706" customFormat="1" x14ac:dyDescent="0.2"/>
    <row r="707" customFormat="1" x14ac:dyDescent="0.2"/>
    <row r="708" customFormat="1" x14ac:dyDescent="0.2"/>
    <row r="709" customFormat="1" x14ac:dyDescent="0.2"/>
    <row r="710" customFormat="1" x14ac:dyDescent="0.2"/>
    <row r="711" customFormat="1" x14ac:dyDescent="0.2"/>
    <row r="712" customFormat="1" x14ac:dyDescent="0.2"/>
    <row r="713" customFormat="1" x14ac:dyDescent="0.2"/>
    <row r="714" customFormat="1" x14ac:dyDescent="0.2"/>
    <row r="715" customFormat="1" x14ac:dyDescent="0.2"/>
    <row r="716" customFormat="1" x14ac:dyDescent="0.2"/>
    <row r="717" customFormat="1" x14ac:dyDescent="0.2"/>
    <row r="718" customFormat="1" x14ac:dyDescent="0.2"/>
    <row r="719" customFormat="1" x14ac:dyDescent="0.2"/>
    <row r="720" customFormat="1" x14ac:dyDescent="0.2"/>
    <row r="721" customFormat="1" x14ac:dyDescent="0.2"/>
    <row r="722" customFormat="1" x14ac:dyDescent="0.2"/>
    <row r="723" customFormat="1" x14ac:dyDescent="0.2"/>
    <row r="724" customFormat="1" x14ac:dyDescent="0.2"/>
    <row r="725" customFormat="1" x14ac:dyDescent="0.2"/>
    <row r="726" customFormat="1" x14ac:dyDescent="0.2"/>
    <row r="727" customFormat="1" x14ac:dyDescent="0.2"/>
    <row r="728" customFormat="1" x14ac:dyDescent="0.2"/>
    <row r="729" customFormat="1" x14ac:dyDescent="0.2"/>
    <row r="730" customFormat="1" x14ac:dyDescent="0.2"/>
    <row r="731" customFormat="1" x14ac:dyDescent="0.2"/>
    <row r="732" customFormat="1" x14ac:dyDescent="0.2"/>
    <row r="733" customFormat="1" x14ac:dyDescent="0.2"/>
    <row r="734" customFormat="1" x14ac:dyDescent="0.2"/>
    <row r="735" customFormat="1" x14ac:dyDescent="0.2"/>
    <row r="736" customFormat="1" x14ac:dyDescent="0.2"/>
    <row r="737" customFormat="1" x14ac:dyDescent="0.2"/>
    <row r="738" customFormat="1" x14ac:dyDescent="0.2"/>
    <row r="739" customFormat="1" x14ac:dyDescent="0.2"/>
    <row r="740" customFormat="1" x14ac:dyDescent="0.2"/>
    <row r="741" customFormat="1" x14ac:dyDescent="0.2"/>
    <row r="742" customFormat="1" x14ac:dyDescent="0.2"/>
    <row r="743" customFormat="1" x14ac:dyDescent="0.2"/>
    <row r="744" customFormat="1" x14ac:dyDescent="0.2"/>
    <row r="745" customFormat="1" x14ac:dyDescent="0.2"/>
    <row r="746" customFormat="1" x14ac:dyDescent="0.2"/>
    <row r="747" customFormat="1" x14ac:dyDescent="0.2"/>
    <row r="748" customFormat="1" x14ac:dyDescent="0.2"/>
    <row r="749" customFormat="1" x14ac:dyDescent="0.2"/>
    <row r="750" customFormat="1" x14ac:dyDescent="0.2"/>
    <row r="751" customFormat="1" x14ac:dyDescent="0.2"/>
    <row r="752" customFormat="1" x14ac:dyDescent="0.2"/>
    <row r="753" customFormat="1" x14ac:dyDescent="0.2"/>
    <row r="754" customFormat="1" x14ac:dyDescent="0.2"/>
    <row r="755" customFormat="1" x14ac:dyDescent="0.2"/>
    <row r="756" customFormat="1" x14ac:dyDescent="0.2"/>
    <row r="757" customFormat="1" x14ac:dyDescent="0.2"/>
    <row r="758" customFormat="1" x14ac:dyDescent="0.2"/>
    <row r="759" customFormat="1" x14ac:dyDescent="0.2"/>
    <row r="760" customFormat="1" x14ac:dyDescent="0.2"/>
    <row r="761" customFormat="1" x14ac:dyDescent="0.2"/>
    <row r="762" customFormat="1" x14ac:dyDescent="0.2"/>
    <row r="763" customFormat="1" x14ac:dyDescent="0.2"/>
    <row r="764" customFormat="1" x14ac:dyDescent="0.2"/>
    <row r="765" customFormat="1" x14ac:dyDescent="0.2"/>
    <row r="766" customFormat="1" x14ac:dyDescent="0.2"/>
    <row r="767" customFormat="1" x14ac:dyDescent="0.2"/>
    <row r="768" customFormat="1" x14ac:dyDescent="0.2"/>
    <row r="769" customFormat="1" x14ac:dyDescent="0.2"/>
    <row r="770" customFormat="1" x14ac:dyDescent="0.2"/>
    <row r="771" customFormat="1" x14ac:dyDescent="0.2"/>
    <row r="772" customFormat="1" x14ac:dyDescent="0.2"/>
    <row r="773" customFormat="1" x14ac:dyDescent="0.2"/>
    <row r="774" customFormat="1" x14ac:dyDescent="0.2"/>
    <row r="775" customFormat="1" x14ac:dyDescent="0.2"/>
    <row r="776" customFormat="1" x14ac:dyDescent="0.2"/>
    <row r="777" customFormat="1" x14ac:dyDescent="0.2"/>
    <row r="778" customFormat="1" x14ac:dyDescent="0.2"/>
    <row r="779" customFormat="1" x14ac:dyDescent="0.2"/>
    <row r="780" customFormat="1" x14ac:dyDescent="0.2"/>
    <row r="781" customFormat="1" x14ac:dyDescent="0.2"/>
    <row r="782" customFormat="1" x14ac:dyDescent="0.2"/>
    <row r="783" customFormat="1" x14ac:dyDescent="0.2"/>
    <row r="784" customFormat="1" x14ac:dyDescent="0.2"/>
    <row r="785" customFormat="1" x14ac:dyDescent="0.2"/>
    <row r="786" customFormat="1" x14ac:dyDescent="0.2"/>
    <row r="787" customFormat="1" x14ac:dyDescent="0.2"/>
    <row r="788" customFormat="1" x14ac:dyDescent="0.2"/>
    <row r="789" customFormat="1" x14ac:dyDescent="0.2"/>
    <row r="790" customFormat="1" x14ac:dyDescent="0.2"/>
    <row r="791" customFormat="1" x14ac:dyDescent="0.2"/>
    <row r="792" customFormat="1" x14ac:dyDescent="0.2"/>
    <row r="793" customFormat="1" x14ac:dyDescent="0.2"/>
    <row r="794" customFormat="1" x14ac:dyDescent="0.2"/>
    <row r="795" customFormat="1" x14ac:dyDescent="0.2"/>
    <row r="796" customFormat="1" x14ac:dyDescent="0.2"/>
    <row r="797" customFormat="1" x14ac:dyDescent="0.2"/>
    <row r="798" customFormat="1" x14ac:dyDescent="0.2"/>
    <row r="799" customFormat="1" x14ac:dyDescent="0.2"/>
    <row r="800" customFormat="1" x14ac:dyDescent="0.2"/>
    <row r="801" customFormat="1" x14ac:dyDescent="0.2"/>
    <row r="802" customFormat="1" x14ac:dyDescent="0.2"/>
    <row r="803" customFormat="1" x14ac:dyDescent="0.2"/>
    <row r="804" customFormat="1" x14ac:dyDescent="0.2"/>
    <row r="805" customFormat="1" x14ac:dyDescent="0.2"/>
    <row r="806" customFormat="1" x14ac:dyDescent="0.2"/>
    <row r="807" customFormat="1" x14ac:dyDescent="0.2"/>
    <row r="808" customFormat="1" x14ac:dyDescent="0.2"/>
    <row r="809" customFormat="1" x14ac:dyDescent="0.2"/>
    <row r="810" customFormat="1" x14ac:dyDescent="0.2"/>
    <row r="811" customFormat="1" x14ac:dyDescent="0.2"/>
    <row r="812" customFormat="1" x14ac:dyDescent="0.2"/>
    <row r="813" customFormat="1" x14ac:dyDescent="0.2"/>
    <row r="814" customFormat="1" x14ac:dyDescent="0.2"/>
    <row r="815" customFormat="1" x14ac:dyDescent="0.2"/>
    <row r="816" customFormat="1" x14ac:dyDescent="0.2"/>
    <row r="817" customFormat="1" x14ac:dyDescent="0.2"/>
    <row r="818" customFormat="1" x14ac:dyDescent="0.2"/>
    <row r="819" customFormat="1" x14ac:dyDescent="0.2"/>
    <row r="820" customFormat="1" x14ac:dyDescent="0.2"/>
    <row r="821" customFormat="1" x14ac:dyDescent="0.2"/>
    <row r="822" customFormat="1" x14ac:dyDescent="0.2"/>
    <row r="823" customFormat="1" x14ac:dyDescent="0.2"/>
    <row r="824" customFormat="1" x14ac:dyDescent="0.2"/>
    <row r="825" customFormat="1" x14ac:dyDescent="0.2"/>
    <row r="826" customFormat="1" x14ac:dyDescent="0.2"/>
    <row r="827" customFormat="1" x14ac:dyDescent="0.2"/>
    <row r="828" customFormat="1" x14ac:dyDescent="0.2"/>
    <row r="829" customFormat="1" x14ac:dyDescent="0.2"/>
    <row r="830" customFormat="1" x14ac:dyDescent="0.2"/>
    <row r="831" customFormat="1" x14ac:dyDescent="0.2"/>
    <row r="832" customFormat="1" x14ac:dyDescent="0.2"/>
    <row r="833" customFormat="1" x14ac:dyDescent="0.2"/>
    <row r="834" customFormat="1" x14ac:dyDescent="0.2"/>
    <row r="835" customFormat="1" x14ac:dyDescent="0.2"/>
    <row r="836" customFormat="1" x14ac:dyDescent="0.2"/>
    <row r="837" customFormat="1" x14ac:dyDescent="0.2"/>
    <row r="838" customFormat="1" x14ac:dyDescent="0.2"/>
    <row r="839" customFormat="1" x14ac:dyDescent="0.2"/>
    <row r="840" customFormat="1" x14ac:dyDescent="0.2"/>
    <row r="841" customFormat="1" x14ac:dyDescent="0.2"/>
    <row r="842" customFormat="1" x14ac:dyDescent="0.2"/>
    <row r="843" customFormat="1" x14ac:dyDescent="0.2"/>
    <row r="844" customFormat="1" x14ac:dyDescent="0.2"/>
    <row r="845" customFormat="1" x14ac:dyDescent="0.2"/>
    <row r="846" customFormat="1" x14ac:dyDescent="0.2"/>
    <row r="847" customFormat="1" x14ac:dyDescent="0.2"/>
    <row r="848" customFormat="1" x14ac:dyDescent="0.2"/>
    <row r="849" customFormat="1" x14ac:dyDescent="0.2"/>
    <row r="850" customFormat="1" x14ac:dyDescent="0.2"/>
    <row r="851" customFormat="1" x14ac:dyDescent="0.2"/>
    <row r="852" customFormat="1" x14ac:dyDescent="0.2"/>
    <row r="853" customFormat="1" x14ac:dyDescent="0.2"/>
    <row r="854" customFormat="1" x14ac:dyDescent="0.2"/>
    <row r="855" customFormat="1" x14ac:dyDescent="0.2"/>
    <row r="856" customFormat="1" x14ac:dyDescent="0.2"/>
    <row r="857" customFormat="1" x14ac:dyDescent="0.2"/>
    <row r="858" customFormat="1" x14ac:dyDescent="0.2"/>
    <row r="859" customFormat="1" x14ac:dyDescent="0.2"/>
    <row r="860" customFormat="1" x14ac:dyDescent="0.2"/>
    <row r="861" customFormat="1" x14ac:dyDescent="0.2"/>
    <row r="862" customFormat="1" x14ac:dyDescent="0.2"/>
    <row r="863" customFormat="1" x14ac:dyDescent="0.2"/>
    <row r="864" customFormat="1" x14ac:dyDescent="0.2"/>
    <row r="865" customFormat="1" x14ac:dyDescent="0.2"/>
    <row r="866" customFormat="1" x14ac:dyDescent="0.2"/>
    <row r="867" customFormat="1" x14ac:dyDescent="0.2"/>
    <row r="868" customFormat="1" x14ac:dyDescent="0.2"/>
    <row r="869" customFormat="1" x14ac:dyDescent="0.2"/>
    <row r="870" customFormat="1" x14ac:dyDescent="0.2"/>
    <row r="871" customFormat="1" x14ac:dyDescent="0.2"/>
    <row r="872" customFormat="1" x14ac:dyDescent="0.2"/>
    <row r="873" customFormat="1" x14ac:dyDescent="0.2"/>
    <row r="874" customFormat="1" x14ac:dyDescent="0.2"/>
    <row r="875" customFormat="1" x14ac:dyDescent="0.2"/>
    <row r="876" customFormat="1" x14ac:dyDescent="0.2"/>
    <row r="877" customFormat="1" x14ac:dyDescent="0.2"/>
    <row r="878" customFormat="1" x14ac:dyDescent="0.2"/>
    <row r="879" customFormat="1" x14ac:dyDescent="0.2"/>
    <row r="880" customFormat="1" x14ac:dyDescent="0.2"/>
    <row r="881" customFormat="1" x14ac:dyDescent="0.2"/>
    <row r="882" customFormat="1" x14ac:dyDescent="0.2"/>
    <row r="883" customFormat="1" x14ac:dyDescent="0.2"/>
    <row r="884" customFormat="1" x14ac:dyDescent="0.2"/>
    <row r="885" customFormat="1" x14ac:dyDescent="0.2"/>
    <row r="886" customFormat="1" x14ac:dyDescent="0.2"/>
    <row r="887" customFormat="1" x14ac:dyDescent="0.2"/>
    <row r="888" customFormat="1" x14ac:dyDescent="0.2"/>
    <row r="889" customFormat="1" x14ac:dyDescent="0.2"/>
    <row r="890" customFormat="1" x14ac:dyDescent="0.2"/>
    <row r="891" customFormat="1" x14ac:dyDescent="0.2"/>
    <row r="892" customFormat="1" x14ac:dyDescent="0.2"/>
    <row r="893" customFormat="1" x14ac:dyDescent="0.2"/>
    <row r="894" customFormat="1" x14ac:dyDescent="0.2"/>
    <row r="895" customFormat="1" x14ac:dyDescent="0.2"/>
    <row r="896" customFormat="1" x14ac:dyDescent="0.2"/>
    <row r="897" customFormat="1" x14ac:dyDescent="0.2"/>
    <row r="898" customFormat="1" x14ac:dyDescent="0.2"/>
    <row r="899" customFormat="1" x14ac:dyDescent="0.2"/>
    <row r="900" customFormat="1" x14ac:dyDescent="0.2"/>
    <row r="901" customFormat="1" x14ac:dyDescent="0.2"/>
    <row r="902" customFormat="1" x14ac:dyDescent="0.2"/>
    <row r="903" customFormat="1" x14ac:dyDescent="0.2"/>
    <row r="904" customFormat="1" x14ac:dyDescent="0.2"/>
    <row r="905" customFormat="1" x14ac:dyDescent="0.2"/>
    <row r="906" customFormat="1" x14ac:dyDescent="0.2"/>
    <row r="907" customFormat="1" x14ac:dyDescent="0.2"/>
    <row r="908" customFormat="1" x14ac:dyDescent="0.2"/>
    <row r="909" customFormat="1" x14ac:dyDescent="0.2"/>
    <row r="910" customFormat="1" x14ac:dyDescent="0.2"/>
    <row r="911" customFormat="1" x14ac:dyDescent="0.2"/>
    <row r="912" customFormat="1" x14ac:dyDescent="0.2"/>
    <row r="913" customFormat="1" x14ac:dyDescent="0.2"/>
    <row r="914" customFormat="1" x14ac:dyDescent="0.2"/>
    <row r="915" customFormat="1" x14ac:dyDescent="0.2"/>
    <row r="916" customFormat="1" x14ac:dyDescent="0.2"/>
    <row r="917" customFormat="1" x14ac:dyDescent="0.2"/>
    <row r="918" customFormat="1" x14ac:dyDescent="0.2"/>
    <row r="919" customFormat="1" x14ac:dyDescent="0.2"/>
    <row r="920" customFormat="1" x14ac:dyDescent="0.2"/>
    <row r="921" customFormat="1" x14ac:dyDescent="0.2"/>
    <row r="922" customFormat="1" x14ac:dyDescent="0.2"/>
    <row r="923" customFormat="1" x14ac:dyDescent="0.2"/>
    <row r="924" customFormat="1" x14ac:dyDescent="0.2"/>
    <row r="925" customFormat="1" x14ac:dyDescent="0.2"/>
    <row r="926" customFormat="1" x14ac:dyDescent="0.2"/>
    <row r="927" customFormat="1" x14ac:dyDescent="0.2"/>
    <row r="928" customFormat="1" x14ac:dyDescent="0.2"/>
    <row r="929" customFormat="1" x14ac:dyDescent="0.2"/>
    <row r="930" customFormat="1" x14ac:dyDescent="0.2"/>
    <row r="931" customFormat="1" x14ac:dyDescent="0.2"/>
    <row r="932" customFormat="1" x14ac:dyDescent="0.2"/>
    <row r="933" customFormat="1" x14ac:dyDescent="0.2"/>
    <row r="934" customFormat="1" x14ac:dyDescent="0.2"/>
    <row r="935" customFormat="1" x14ac:dyDescent="0.2"/>
    <row r="936" customFormat="1" x14ac:dyDescent="0.2"/>
    <row r="937" customFormat="1" x14ac:dyDescent="0.2"/>
    <row r="938" customFormat="1" x14ac:dyDescent="0.2"/>
    <row r="939" customFormat="1" x14ac:dyDescent="0.2"/>
    <row r="940" customFormat="1" x14ac:dyDescent="0.2"/>
    <row r="941" customFormat="1" x14ac:dyDescent="0.2"/>
    <row r="942" customFormat="1" x14ac:dyDescent="0.2"/>
    <row r="943" customFormat="1" x14ac:dyDescent="0.2"/>
    <row r="944" customFormat="1" x14ac:dyDescent="0.2"/>
    <row r="945" customFormat="1" x14ac:dyDescent="0.2"/>
    <row r="946" customFormat="1" x14ac:dyDescent="0.2"/>
    <row r="947" customFormat="1" x14ac:dyDescent="0.2"/>
    <row r="948" customFormat="1" x14ac:dyDescent="0.2"/>
    <row r="949" customFormat="1" x14ac:dyDescent="0.2"/>
    <row r="950" customFormat="1" x14ac:dyDescent="0.2"/>
    <row r="951" customFormat="1" x14ac:dyDescent="0.2"/>
    <row r="952" customFormat="1" x14ac:dyDescent="0.2"/>
    <row r="953" customFormat="1" x14ac:dyDescent="0.2"/>
    <row r="954" customFormat="1" x14ac:dyDescent="0.2"/>
    <row r="955" customFormat="1" x14ac:dyDescent="0.2"/>
    <row r="956" customFormat="1" x14ac:dyDescent="0.2"/>
    <row r="957" customFormat="1" x14ac:dyDescent="0.2"/>
    <row r="958" customFormat="1" x14ac:dyDescent="0.2"/>
    <row r="959" customFormat="1" x14ac:dyDescent="0.2"/>
    <row r="960" customFormat="1" x14ac:dyDescent="0.2"/>
    <row r="961" customFormat="1" x14ac:dyDescent="0.2"/>
    <row r="962" customFormat="1" x14ac:dyDescent="0.2"/>
    <row r="963" customFormat="1" x14ac:dyDescent="0.2"/>
    <row r="964" customFormat="1" x14ac:dyDescent="0.2"/>
    <row r="965" customFormat="1" x14ac:dyDescent="0.2"/>
    <row r="966" customFormat="1" x14ac:dyDescent="0.2"/>
    <row r="967" customFormat="1" x14ac:dyDescent="0.2"/>
    <row r="968" customFormat="1" x14ac:dyDescent="0.2"/>
    <row r="969" customFormat="1" x14ac:dyDescent="0.2"/>
    <row r="970" customFormat="1" x14ac:dyDescent="0.2"/>
    <row r="971" customFormat="1" x14ac:dyDescent="0.2"/>
    <row r="972" customFormat="1" x14ac:dyDescent="0.2"/>
    <row r="973" customFormat="1" x14ac:dyDescent="0.2"/>
    <row r="974" customFormat="1" x14ac:dyDescent="0.2"/>
    <row r="975" customFormat="1" x14ac:dyDescent="0.2"/>
    <row r="976" customFormat="1" x14ac:dyDescent="0.2"/>
    <row r="977" customFormat="1" x14ac:dyDescent="0.2"/>
    <row r="978" customFormat="1" x14ac:dyDescent="0.2"/>
    <row r="979" customFormat="1" x14ac:dyDescent="0.2"/>
    <row r="980" customFormat="1" x14ac:dyDescent="0.2"/>
    <row r="981" customFormat="1" x14ac:dyDescent="0.2"/>
    <row r="982" customFormat="1" x14ac:dyDescent="0.2"/>
    <row r="983" customFormat="1" x14ac:dyDescent="0.2"/>
    <row r="984" customFormat="1" x14ac:dyDescent="0.2"/>
    <row r="985" customFormat="1" x14ac:dyDescent="0.2"/>
    <row r="986" customFormat="1" x14ac:dyDescent="0.2"/>
    <row r="987" customFormat="1" x14ac:dyDescent="0.2"/>
    <row r="988" customFormat="1" x14ac:dyDescent="0.2"/>
    <row r="989" customFormat="1" x14ac:dyDescent="0.2"/>
    <row r="990" customFormat="1" x14ac:dyDescent="0.2"/>
    <row r="991" customFormat="1" x14ac:dyDescent="0.2"/>
    <row r="992" customFormat="1" x14ac:dyDescent="0.2"/>
    <row r="993" customFormat="1" x14ac:dyDescent="0.2"/>
    <row r="994" customFormat="1" x14ac:dyDescent="0.2"/>
    <row r="995" customFormat="1" x14ac:dyDescent="0.2"/>
    <row r="996" customFormat="1" x14ac:dyDescent="0.2"/>
    <row r="997" customFormat="1" x14ac:dyDescent="0.2"/>
    <row r="998" customFormat="1" x14ac:dyDescent="0.2"/>
    <row r="999" customFormat="1" x14ac:dyDescent="0.2"/>
    <row r="1000" customFormat="1" x14ac:dyDescent="0.2"/>
    <row r="1001" customFormat="1" x14ac:dyDescent="0.2"/>
    <row r="1002" customFormat="1" x14ac:dyDescent="0.2"/>
    <row r="1003" customFormat="1" x14ac:dyDescent="0.2"/>
    <row r="1004" customFormat="1" x14ac:dyDescent="0.2"/>
    <row r="1005" customFormat="1" x14ac:dyDescent="0.2"/>
    <row r="1006" customFormat="1" x14ac:dyDescent="0.2"/>
    <row r="1007" customFormat="1" x14ac:dyDescent="0.2"/>
    <row r="1008" customFormat="1" x14ac:dyDescent="0.2"/>
    <row r="1009" customFormat="1" x14ac:dyDescent="0.2"/>
    <row r="1010" customFormat="1" x14ac:dyDescent="0.2"/>
    <row r="1011" customFormat="1" x14ac:dyDescent="0.2"/>
    <row r="1012" customFormat="1" x14ac:dyDescent="0.2"/>
    <row r="1013" customFormat="1" x14ac:dyDescent="0.2"/>
    <row r="1014" customFormat="1" x14ac:dyDescent="0.2"/>
    <row r="1015" customFormat="1" x14ac:dyDescent="0.2"/>
    <row r="1016" customFormat="1" x14ac:dyDescent="0.2"/>
    <row r="1017" customFormat="1" x14ac:dyDescent="0.2"/>
    <row r="1018" customFormat="1" x14ac:dyDescent="0.2"/>
    <row r="1019" customFormat="1" x14ac:dyDescent="0.2"/>
    <row r="1020" customFormat="1" x14ac:dyDescent="0.2"/>
    <row r="1021" customFormat="1" x14ac:dyDescent="0.2"/>
    <row r="1022" customFormat="1" x14ac:dyDescent="0.2"/>
    <row r="1023" customFormat="1" x14ac:dyDescent="0.2"/>
    <row r="1024" customFormat="1" x14ac:dyDescent="0.2"/>
    <row r="1025" customFormat="1" x14ac:dyDescent="0.2"/>
    <row r="1026" customFormat="1" x14ac:dyDescent="0.2"/>
    <row r="1027" customFormat="1" x14ac:dyDescent="0.2"/>
    <row r="1028" customFormat="1" x14ac:dyDescent="0.2"/>
    <row r="1029" customFormat="1" x14ac:dyDescent="0.2"/>
    <row r="1030" customFormat="1" x14ac:dyDescent="0.2"/>
    <row r="1031" customFormat="1" x14ac:dyDescent="0.2"/>
    <row r="1032" customFormat="1" x14ac:dyDescent="0.2"/>
    <row r="1033" customFormat="1" x14ac:dyDescent="0.2"/>
    <row r="1034" customFormat="1" x14ac:dyDescent="0.2"/>
    <row r="1035" customFormat="1" x14ac:dyDescent="0.2"/>
    <row r="1036" customFormat="1" x14ac:dyDescent="0.2"/>
    <row r="1037" customFormat="1" x14ac:dyDescent="0.2"/>
    <row r="1038" customFormat="1" x14ac:dyDescent="0.2"/>
    <row r="1039" customFormat="1" x14ac:dyDescent="0.2"/>
    <row r="1040" customFormat="1" x14ac:dyDescent="0.2"/>
    <row r="1041" customFormat="1" x14ac:dyDescent="0.2"/>
    <row r="1042" customFormat="1" x14ac:dyDescent="0.2"/>
    <row r="1043" customFormat="1" x14ac:dyDescent="0.2"/>
    <row r="1044" customFormat="1" x14ac:dyDescent="0.2"/>
    <row r="1045" customFormat="1" x14ac:dyDescent="0.2"/>
    <row r="1046" customFormat="1" x14ac:dyDescent="0.2"/>
    <row r="1047" customFormat="1" x14ac:dyDescent="0.2"/>
    <row r="1048" customFormat="1" x14ac:dyDescent="0.2"/>
    <row r="1049" customFormat="1" x14ac:dyDescent="0.2"/>
    <row r="1050" customFormat="1" x14ac:dyDescent="0.2"/>
    <row r="1051" customFormat="1" x14ac:dyDescent="0.2"/>
    <row r="1052" customFormat="1" x14ac:dyDescent="0.2"/>
    <row r="1053" customFormat="1" x14ac:dyDescent="0.2"/>
    <row r="1054" customFormat="1" x14ac:dyDescent="0.2"/>
    <row r="1055" customFormat="1" x14ac:dyDescent="0.2"/>
    <row r="1056" customFormat="1" x14ac:dyDescent="0.2"/>
    <row r="1057" customFormat="1" x14ac:dyDescent="0.2"/>
    <row r="1058" customFormat="1" x14ac:dyDescent="0.2"/>
    <row r="1059" customFormat="1" x14ac:dyDescent="0.2"/>
    <row r="1060" customFormat="1" x14ac:dyDescent="0.2"/>
    <row r="1061" customFormat="1" x14ac:dyDescent="0.2"/>
    <row r="1062" customFormat="1" x14ac:dyDescent="0.2"/>
    <row r="1063" customFormat="1" x14ac:dyDescent="0.2"/>
    <row r="1064" customFormat="1" x14ac:dyDescent="0.2"/>
    <row r="1065" customFormat="1" x14ac:dyDescent="0.2"/>
    <row r="1066" customFormat="1" x14ac:dyDescent="0.2"/>
    <row r="1067" customFormat="1" x14ac:dyDescent="0.2"/>
    <row r="1068" customFormat="1" x14ac:dyDescent="0.2"/>
    <row r="1069" customFormat="1" x14ac:dyDescent="0.2"/>
    <row r="1070" customFormat="1" x14ac:dyDescent="0.2"/>
    <row r="1071" customFormat="1" x14ac:dyDescent="0.2"/>
    <row r="1072" customFormat="1" x14ac:dyDescent="0.2"/>
    <row r="1073" customFormat="1" x14ac:dyDescent="0.2"/>
    <row r="1074" customFormat="1" x14ac:dyDescent="0.2"/>
    <row r="1075" customFormat="1" x14ac:dyDescent="0.2"/>
    <row r="1076" customFormat="1" x14ac:dyDescent="0.2"/>
    <row r="1077" customFormat="1" x14ac:dyDescent="0.2"/>
    <row r="1078" customFormat="1" x14ac:dyDescent="0.2"/>
    <row r="1079" customFormat="1" x14ac:dyDescent="0.2"/>
    <row r="1080" customFormat="1" x14ac:dyDescent="0.2"/>
    <row r="1081" customFormat="1" x14ac:dyDescent="0.2"/>
    <row r="1082" customFormat="1" x14ac:dyDescent="0.2"/>
    <row r="1083" customFormat="1" x14ac:dyDescent="0.2"/>
    <row r="1084" customFormat="1" x14ac:dyDescent="0.2"/>
    <row r="1085" customFormat="1" x14ac:dyDescent="0.2"/>
    <row r="1086" customFormat="1" x14ac:dyDescent="0.2"/>
    <row r="1087" customFormat="1" x14ac:dyDescent="0.2"/>
    <row r="1088" customFormat="1" x14ac:dyDescent="0.2"/>
    <row r="1089" customFormat="1" x14ac:dyDescent="0.2"/>
    <row r="1090" customFormat="1" x14ac:dyDescent="0.2"/>
    <row r="1091" customFormat="1" x14ac:dyDescent="0.2"/>
    <row r="1092" customFormat="1" x14ac:dyDescent="0.2"/>
    <row r="1093" customFormat="1" x14ac:dyDescent="0.2"/>
    <row r="1094" customFormat="1" x14ac:dyDescent="0.2"/>
    <row r="1095" customFormat="1" x14ac:dyDescent="0.2"/>
    <row r="1096" customFormat="1" x14ac:dyDescent="0.2"/>
    <row r="1097" customFormat="1" x14ac:dyDescent="0.2"/>
    <row r="1098" customFormat="1" x14ac:dyDescent="0.2"/>
    <row r="1099" customFormat="1" x14ac:dyDescent="0.2"/>
    <row r="1100" customFormat="1" x14ac:dyDescent="0.2"/>
    <row r="1101" customFormat="1" x14ac:dyDescent="0.2"/>
    <row r="1102" customFormat="1" x14ac:dyDescent="0.2"/>
    <row r="1103" customFormat="1" x14ac:dyDescent="0.2"/>
    <row r="1104" customFormat="1" x14ac:dyDescent="0.2"/>
    <row r="1105" customFormat="1" x14ac:dyDescent="0.2"/>
    <row r="1106" customFormat="1" x14ac:dyDescent="0.2"/>
    <row r="1107" customFormat="1" x14ac:dyDescent="0.2"/>
    <row r="1108" customFormat="1" x14ac:dyDescent="0.2"/>
    <row r="1109" customFormat="1" x14ac:dyDescent="0.2"/>
    <row r="1110" customFormat="1" x14ac:dyDescent="0.2"/>
    <row r="1111" customFormat="1" x14ac:dyDescent="0.2"/>
    <row r="1112" customFormat="1" x14ac:dyDescent="0.2"/>
    <row r="1113" customFormat="1" x14ac:dyDescent="0.2"/>
    <row r="1114" customFormat="1" x14ac:dyDescent="0.2"/>
    <row r="1115" customFormat="1" x14ac:dyDescent="0.2"/>
    <row r="1116" customFormat="1" x14ac:dyDescent="0.2"/>
    <row r="1117" customFormat="1" x14ac:dyDescent="0.2"/>
    <row r="1118" customFormat="1" x14ac:dyDescent="0.2"/>
    <row r="1119" customFormat="1" x14ac:dyDescent="0.2"/>
    <row r="1120" customFormat="1" x14ac:dyDescent="0.2"/>
    <row r="1121" customFormat="1" x14ac:dyDescent="0.2"/>
    <row r="1122" customFormat="1" x14ac:dyDescent="0.2"/>
    <row r="1123" customFormat="1" x14ac:dyDescent="0.2"/>
    <row r="1124" customFormat="1" x14ac:dyDescent="0.2"/>
    <row r="1125" customFormat="1" x14ac:dyDescent="0.2"/>
    <row r="1126" customFormat="1" x14ac:dyDescent="0.2"/>
    <row r="1127" customFormat="1" x14ac:dyDescent="0.2"/>
    <row r="1128" customFormat="1" x14ac:dyDescent="0.2"/>
    <row r="1129" customFormat="1" x14ac:dyDescent="0.2"/>
    <row r="1130" customFormat="1" x14ac:dyDescent="0.2"/>
    <row r="1131" customFormat="1" x14ac:dyDescent="0.2"/>
    <row r="1132" customFormat="1" x14ac:dyDescent="0.2"/>
    <row r="1133" customFormat="1" x14ac:dyDescent="0.2"/>
    <row r="1134" customFormat="1" x14ac:dyDescent="0.2"/>
    <row r="1135" customFormat="1" x14ac:dyDescent="0.2"/>
    <row r="1136" customFormat="1" x14ac:dyDescent="0.2"/>
    <row r="1137" customFormat="1" x14ac:dyDescent="0.2"/>
    <row r="1138" customFormat="1" x14ac:dyDescent="0.2"/>
    <row r="1139" customFormat="1" x14ac:dyDescent="0.2"/>
    <row r="1140" customFormat="1" x14ac:dyDescent="0.2"/>
    <row r="1141" customFormat="1" x14ac:dyDescent="0.2"/>
    <row r="1142" customFormat="1" x14ac:dyDescent="0.2"/>
    <row r="1143" customFormat="1" x14ac:dyDescent="0.2"/>
    <row r="1144" customFormat="1" x14ac:dyDescent="0.2"/>
    <row r="1145" customFormat="1" x14ac:dyDescent="0.2"/>
    <row r="1146" customFormat="1" x14ac:dyDescent="0.2"/>
    <row r="1147" customFormat="1" x14ac:dyDescent="0.2"/>
    <row r="1148" customFormat="1" x14ac:dyDescent="0.2"/>
    <row r="1149" customFormat="1" x14ac:dyDescent="0.2"/>
    <row r="1150" customFormat="1" x14ac:dyDescent="0.2"/>
    <row r="1151" customFormat="1" x14ac:dyDescent="0.2"/>
    <row r="1152" customFormat="1" x14ac:dyDescent="0.2"/>
    <row r="1153" customFormat="1" x14ac:dyDescent="0.2"/>
    <row r="1154" customFormat="1" x14ac:dyDescent="0.2"/>
    <row r="1155" customFormat="1" x14ac:dyDescent="0.2"/>
    <row r="1156" customFormat="1" x14ac:dyDescent="0.2"/>
    <row r="1157" customFormat="1" x14ac:dyDescent="0.2"/>
    <row r="1158" customFormat="1" x14ac:dyDescent="0.2"/>
    <row r="1159" customFormat="1" x14ac:dyDescent="0.2"/>
    <row r="1160" customFormat="1" x14ac:dyDescent="0.2"/>
    <row r="1161" customFormat="1" x14ac:dyDescent="0.2"/>
    <row r="1162" customFormat="1" x14ac:dyDescent="0.2"/>
    <row r="1163" customFormat="1" x14ac:dyDescent="0.2"/>
    <row r="1164" customFormat="1" x14ac:dyDescent="0.2"/>
    <row r="1165" customFormat="1" x14ac:dyDescent="0.2"/>
    <row r="1166" customFormat="1" x14ac:dyDescent="0.2"/>
    <row r="1167" customFormat="1" x14ac:dyDescent="0.2"/>
    <row r="1168" customFormat="1" x14ac:dyDescent="0.2"/>
    <row r="1169" customFormat="1" x14ac:dyDescent="0.2"/>
    <row r="1170" customFormat="1" x14ac:dyDescent="0.2"/>
    <row r="1171" customFormat="1" x14ac:dyDescent="0.2"/>
    <row r="1172" customFormat="1" x14ac:dyDescent="0.2"/>
    <row r="1173" customFormat="1" x14ac:dyDescent="0.2"/>
    <row r="1174" customFormat="1" x14ac:dyDescent="0.2"/>
    <row r="1175" customFormat="1" x14ac:dyDescent="0.2"/>
    <row r="1176" customFormat="1" x14ac:dyDescent="0.2"/>
    <row r="1177" customFormat="1" x14ac:dyDescent="0.2"/>
    <row r="1178" customFormat="1" x14ac:dyDescent="0.2"/>
    <row r="1179" customFormat="1" x14ac:dyDescent="0.2"/>
    <row r="1180" customFormat="1" x14ac:dyDescent="0.2"/>
    <row r="1181" customFormat="1" x14ac:dyDescent="0.2"/>
    <row r="1182" customFormat="1" x14ac:dyDescent="0.2"/>
    <row r="1183" customFormat="1" x14ac:dyDescent="0.2"/>
    <row r="1184" customFormat="1" x14ac:dyDescent="0.2"/>
    <row r="1185" customFormat="1" x14ac:dyDescent="0.2"/>
    <row r="1186" customFormat="1" x14ac:dyDescent="0.2"/>
    <row r="1187" customFormat="1" x14ac:dyDescent="0.2"/>
    <row r="1188" customFormat="1" x14ac:dyDescent="0.2"/>
    <row r="1189" customFormat="1" x14ac:dyDescent="0.2"/>
    <row r="1190" customFormat="1" x14ac:dyDescent="0.2"/>
    <row r="1191" customFormat="1" x14ac:dyDescent="0.2"/>
    <row r="1192" customFormat="1" x14ac:dyDescent="0.2"/>
    <row r="1193" customFormat="1" x14ac:dyDescent="0.2"/>
    <row r="1194" customFormat="1" x14ac:dyDescent="0.2"/>
    <row r="1195" customFormat="1" x14ac:dyDescent="0.2"/>
    <row r="1196" customFormat="1" x14ac:dyDescent="0.2"/>
    <row r="1197" customFormat="1" x14ac:dyDescent="0.2"/>
    <row r="1198" customFormat="1" x14ac:dyDescent="0.2"/>
    <row r="1199" customFormat="1" x14ac:dyDescent="0.2"/>
    <row r="1200" customFormat="1" x14ac:dyDescent="0.2"/>
    <row r="1201" customFormat="1" x14ac:dyDescent="0.2"/>
    <row r="1202" customFormat="1" x14ac:dyDescent="0.2"/>
    <row r="1203" customFormat="1" x14ac:dyDescent="0.2"/>
    <row r="1204" customFormat="1" x14ac:dyDescent="0.2"/>
    <row r="1205" customFormat="1" x14ac:dyDescent="0.2"/>
    <row r="1206" customFormat="1" x14ac:dyDescent="0.2"/>
    <row r="1207" customFormat="1" x14ac:dyDescent="0.2"/>
    <row r="1208" customFormat="1" x14ac:dyDescent="0.2"/>
    <row r="1209" customFormat="1" x14ac:dyDescent="0.2"/>
    <row r="1210" customFormat="1" x14ac:dyDescent="0.2"/>
    <row r="1211" customFormat="1" x14ac:dyDescent="0.2"/>
    <row r="1212" customFormat="1" x14ac:dyDescent="0.2"/>
    <row r="1213" customFormat="1" x14ac:dyDescent="0.2"/>
    <row r="1214" customFormat="1" x14ac:dyDescent="0.2"/>
    <row r="1215" customFormat="1" x14ac:dyDescent="0.2"/>
    <row r="1216" customFormat="1" x14ac:dyDescent="0.2"/>
    <row r="1217" customFormat="1" x14ac:dyDescent="0.2"/>
    <row r="1218" customFormat="1" x14ac:dyDescent="0.2"/>
    <row r="1219" customFormat="1" x14ac:dyDescent="0.2"/>
    <row r="1220" customFormat="1" x14ac:dyDescent="0.2"/>
    <row r="1221" customFormat="1" x14ac:dyDescent="0.2"/>
    <row r="1222" customFormat="1" x14ac:dyDescent="0.2"/>
    <row r="1223" customFormat="1" x14ac:dyDescent="0.2"/>
    <row r="1224" customFormat="1" x14ac:dyDescent="0.2"/>
    <row r="1225" customFormat="1" x14ac:dyDescent="0.2"/>
    <row r="1226" customFormat="1" x14ac:dyDescent="0.2"/>
    <row r="1227" customFormat="1" x14ac:dyDescent="0.2"/>
    <row r="1228" customFormat="1" x14ac:dyDescent="0.2"/>
    <row r="1229" customFormat="1" x14ac:dyDescent="0.2"/>
    <row r="1230" customFormat="1" x14ac:dyDescent="0.2"/>
    <row r="1231" customFormat="1" x14ac:dyDescent="0.2"/>
    <row r="1232" customFormat="1" x14ac:dyDescent="0.2"/>
    <row r="1233" customFormat="1" x14ac:dyDescent="0.2"/>
    <row r="1234" customFormat="1" x14ac:dyDescent="0.2"/>
    <row r="1235" customFormat="1" x14ac:dyDescent="0.2"/>
    <row r="1236" customFormat="1" x14ac:dyDescent="0.2"/>
    <row r="1237" customFormat="1" x14ac:dyDescent="0.2"/>
    <row r="1238" customFormat="1" x14ac:dyDescent="0.2"/>
    <row r="1239" customFormat="1" x14ac:dyDescent="0.2"/>
    <row r="1240" customFormat="1" x14ac:dyDescent="0.2"/>
    <row r="1241" customFormat="1" x14ac:dyDescent="0.2"/>
    <row r="1242" customFormat="1" x14ac:dyDescent="0.2"/>
    <row r="1243" customFormat="1" x14ac:dyDescent="0.2"/>
    <row r="1244" customFormat="1" x14ac:dyDescent="0.2"/>
    <row r="1245" customFormat="1" x14ac:dyDescent="0.2"/>
    <row r="1246" customFormat="1" x14ac:dyDescent="0.2"/>
    <row r="1247" customFormat="1" x14ac:dyDescent="0.2"/>
    <row r="1248" customFormat="1" x14ac:dyDescent="0.2"/>
    <row r="1249" customFormat="1" x14ac:dyDescent="0.2"/>
    <row r="1250" customFormat="1" x14ac:dyDescent="0.2"/>
    <row r="1251" customFormat="1" x14ac:dyDescent="0.2"/>
    <row r="1252" customFormat="1" x14ac:dyDescent="0.2"/>
    <row r="1253" customFormat="1" x14ac:dyDescent="0.2"/>
    <row r="1254" customFormat="1" x14ac:dyDescent="0.2"/>
    <row r="1255" customFormat="1" x14ac:dyDescent="0.2"/>
    <row r="1256" customFormat="1" x14ac:dyDescent="0.2"/>
    <row r="1257" customFormat="1" x14ac:dyDescent="0.2"/>
    <row r="1258" customFormat="1" x14ac:dyDescent="0.2"/>
    <row r="1259" customFormat="1" x14ac:dyDescent="0.2"/>
    <row r="1260" customFormat="1" x14ac:dyDescent="0.2"/>
    <row r="1261" customFormat="1" x14ac:dyDescent="0.2"/>
    <row r="1262" customFormat="1" x14ac:dyDescent="0.2"/>
    <row r="1263" customFormat="1" x14ac:dyDescent="0.2"/>
    <row r="1264" customFormat="1" x14ac:dyDescent="0.2"/>
    <row r="1265" customFormat="1" x14ac:dyDescent="0.2"/>
    <row r="1266" customFormat="1" x14ac:dyDescent="0.2"/>
    <row r="1267" customFormat="1" x14ac:dyDescent="0.2"/>
    <row r="1268" customFormat="1" x14ac:dyDescent="0.2"/>
    <row r="1269" customFormat="1" x14ac:dyDescent="0.2"/>
    <row r="1270" customFormat="1" x14ac:dyDescent="0.2"/>
    <row r="1271" customFormat="1" x14ac:dyDescent="0.2"/>
    <row r="1272" customFormat="1" x14ac:dyDescent="0.2"/>
    <row r="1273" customFormat="1" x14ac:dyDescent="0.2"/>
    <row r="1274" customFormat="1" x14ac:dyDescent="0.2"/>
    <row r="1275" customFormat="1" x14ac:dyDescent="0.2"/>
    <row r="1276" customFormat="1" x14ac:dyDescent="0.2"/>
    <row r="1277" customFormat="1" x14ac:dyDescent="0.2"/>
    <row r="1278" customFormat="1" x14ac:dyDescent="0.2"/>
    <row r="1279" customFormat="1" x14ac:dyDescent="0.2"/>
    <row r="1280" customFormat="1" x14ac:dyDescent="0.2"/>
    <row r="1281" customFormat="1" x14ac:dyDescent="0.2"/>
    <row r="1282" customFormat="1" x14ac:dyDescent="0.2"/>
    <row r="1283" customFormat="1" x14ac:dyDescent="0.2"/>
    <row r="1284" customFormat="1" x14ac:dyDescent="0.2"/>
    <row r="1285" customFormat="1" x14ac:dyDescent="0.2"/>
    <row r="1286" customFormat="1" x14ac:dyDescent="0.2"/>
    <row r="1287" customFormat="1" x14ac:dyDescent="0.2"/>
    <row r="1288" customFormat="1" x14ac:dyDescent="0.2"/>
    <row r="1289" customFormat="1" x14ac:dyDescent="0.2"/>
    <row r="1290" customFormat="1" x14ac:dyDescent="0.2"/>
    <row r="1291" customFormat="1" x14ac:dyDescent="0.2"/>
    <row r="1292" customFormat="1" x14ac:dyDescent="0.2"/>
    <row r="1293" customFormat="1" x14ac:dyDescent="0.2"/>
    <row r="1294" customFormat="1" x14ac:dyDescent="0.2"/>
    <row r="1295" customFormat="1" x14ac:dyDescent="0.2"/>
    <row r="1296" customFormat="1" x14ac:dyDescent="0.2"/>
    <row r="1297" customFormat="1" x14ac:dyDescent="0.2"/>
    <row r="1298" customFormat="1" x14ac:dyDescent="0.2"/>
    <row r="1299" customFormat="1" x14ac:dyDescent="0.2"/>
    <row r="1300" customFormat="1" x14ac:dyDescent="0.2"/>
    <row r="1301" customFormat="1" x14ac:dyDescent="0.2"/>
    <row r="1302" customFormat="1" x14ac:dyDescent="0.2"/>
    <row r="1303" customFormat="1" x14ac:dyDescent="0.2"/>
    <row r="1304" customFormat="1" x14ac:dyDescent="0.2"/>
    <row r="1305" customFormat="1" x14ac:dyDescent="0.2"/>
    <row r="1306" customFormat="1" x14ac:dyDescent="0.2"/>
    <row r="1307" customFormat="1" x14ac:dyDescent="0.2"/>
    <row r="1308" customFormat="1" x14ac:dyDescent="0.2"/>
    <row r="1309" customFormat="1" x14ac:dyDescent="0.2"/>
    <row r="1310" customFormat="1" x14ac:dyDescent="0.2"/>
    <row r="1311" customFormat="1" x14ac:dyDescent="0.2"/>
    <row r="1312" customFormat="1" x14ac:dyDescent="0.2"/>
    <row r="1313" customFormat="1" x14ac:dyDescent="0.2"/>
    <row r="1314" customFormat="1" x14ac:dyDescent="0.2"/>
    <row r="1315" customFormat="1" x14ac:dyDescent="0.2"/>
    <row r="1316" customFormat="1" x14ac:dyDescent="0.2"/>
    <row r="1317" customFormat="1" x14ac:dyDescent="0.2"/>
    <row r="1318" customFormat="1" x14ac:dyDescent="0.2"/>
    <row r="1319" customFormat="1" x14ac:dyDescent="0.2"/>
    <row r="1320" customFormat="1" x14ac:dyDescent="0.2"/>
    <row r="1321" customFormat="1" x14ac:dyDescent="0.2"/>
    <row r="1322" customFormat="1" x14ac:dyDescent="0.2"/>
    <row r="1323" customFormat="1" x14ac:dyDescent="0.2"/>
    <row r="1324" customFormat="1" x14ac:dyDescent="0.2"/>
    <row r="1325" customFormat="1" x14ac:dyDescent="0.2"/>
    <row r="1326" customFormat="1" x14ac:dyDescent="0.2"/>
    <row r="1327" customFormat="1" x14ac:dyDescent="0.2"/>
    <row r="1328" customFormat="1" x14ac:dyDescent="0.2"/>
    <row r="1329" customFormat="1" x14ac:dyDescent="0.2"/>
    <row r="1330" customFormat="1" x14ac:dyDescent="0.2"/>
    <row r="1331" customFormat="1" x14ac:dyDescent="0.2"/>
    <row r="1332" customFormat="1" x14ac:dyDescent="0.2"/>
    <row r="1333" customFormat="1" x14ac:dyDescent="0.2"/>
    <row r="1334" customFormat="1" x14ac:dyDescent="0.2"/>
    <row r="1335" customFormat="1" x14ac:dyDescent="0.2"/>
    <row r="1336" customFormat="1" x14ac:dyDescent="0.2"/>
    <row r="1337" customFormat="1" x14ac:dyDescent="0.2"/>
    <row r="1338" customFormat="1" x14ac:dyDescent="0.2"/>
    <row r="1339" customFormat="1" x14ac:dyDescent="0.2"/>
    <row r="1340" customFormat="1" x14ac:dyDescent="0.2"/>
    <row r="1341" customFormat="1" x14ac:dyDescent="0.2"/>
    <row r="1342" customFormat="1" x14ac:dyDescent="0.2"/>
    <row r="1343" customFormat="1" x14ac:dyDescent="0.2"/>
    <row r="1344" customFormat="1" x14ac:dyDescent="0.2"/>
    <row r="1345" customFormat="1" x14ac:dyDescent="0.2"/>
    <row r="1346" customFormat="1" x14ac:dyDescent="0.2"/>
    <row r="1347" customFormat="1" x14ac:dyDescent="0.2"/>
    <row r="1348" customFormat="1" x14ac:dyDescent="0.2"/>
    <row r="1349" customFormat="1" x14ac:dyDescent="0.2"/>
    <row r="1350" customFormat="1" x14ac:dyDescent="0.2"/>
    <row r="1351" customFormat="1" x14ac:dyDescent="0.2"/>
    <row r="1352" customFormat="1" x14ac:dyDescent="0.2"/>
    <row r="1353" customFormat="1" x14ac:dyDescent="0.2"/>
    <row r="1354" customFormat="1" x14ac:dyDescent="0.2"/>
    <row r="1355" customFormat="1" x14ac:dyDescent="0.2"/>
    <row r="1356" customFormat="1" x14ac:dyDescent="0.2"/>
    <row r="1357" customFormat="1" x14ac:dyDescent="0.2"/>
    <row r="1358" customFormat="1" x14ac:dyDescent="0.2"/>
    <row r="1359" customFormat="1" x14ac:dyDescent="0.2"/>
    <row r="1360" customFormat="1" x14ac:dyDescent="0.2"/>
    <row r="1361" customFormat="1" x14ac:dyDescent="0.2"/>
    <row r="1362" customFormat="1" x14ac:dyDescent="0.2"/>
    <row r="1363" customFormat="1" x14ac:dyDescent="0.2"/>
    <row r="1364" customFormat="1" x14ac:dyDescent="0.2"/>
    <row r="1365" customFormat="1" x14ac:dyDescent="0.2"/>
    <row r="1366" customFormat="1" x14ac:dyDescent="0.2"/>
    <row r="1367" customFormat="1" x14ac:dyDescent="0.2"/>
    <row r="1368" customFormat="1" x14ac:dyDescent="0.2"/>
    <row r="1369" customFormat="1" x14ac:dyDescent="0.2"/>
    <row r="1370" customFormat="1" x14ac:dyDescent="0.2"/>
    <row r="1371" customFormat="1" x14ac:dyDescent="0.2"/>
    <row r="1372" customFormat="1" x14ac:dyDescent="0.2"/>
    <row r="1373" customFormat="1" x14ac:dyDescent="0.2"/>
    <row r="1374" customFormat="1" x14ac:dyDescent="0.2"/>
    <row r="1375" customFormat="1" x14ac:dyDescent="0.2"/>
    <row r="1376" customFormat="1" x14ac:dyDescent="0.2"/>
    <row r="1377" customFormat="1" x14ac:dyDescent="0.2"/>
    <row r="1378" customFormat="1" x14ac:dyDescent="0.2"/>
    <row r="1379" customFormat="1" x14ac:dyDescent="0.2"/>
    <row r="1380" customFormat="1" x14ac:dyDescent="0.2"/>
    <row r="1381" customFormat="1" x14ac:dyDescent="0.2"/>
    <row r="1382" customFormat="1" x14ac:dyDescent="0.2"/>
    <row r="1383" customFormat="1" x14ac:dyDescent="0.2"/>
    <row r="1384" customFormat="1" x14ac:dyDescent="0.2"/>
    <row r="1385" customFormat="1" x14ac:dyDescent="0.2"/>
    <row r="1386" customFormat="1" x14ac:dyDescent="0.2"/>
    <row r="1387" customFormat="1" x14ac:dyDescent="0.2"/>
    <row r="1388" customFormat="1" x14ac:dyDescent="0.2"/>
    <row r="1389" customFormat="1" x14ac:dyDescent="0.2"/>
    <row r="1390" customFormat="1" x14ac:dyDescent="0.2"/>
    <row r="1391" customFormat="1" x14ac:dyDescent="0.2"/>
    <row r="1392" customFormat="1" x14ac:dyDescent="0.2"/>
    <row r="1393" customFormat="1" x14ac:dyDescent="0.2"/>
    <row r="1394" customFormat="1" x14ac:dyDescent="0.2"/>
    <row r="1395" customFormat="1" x14ac:dyDescent="0.2"/>
    <row r="1396" customFormat="1" x14ac:dyDescent="0.2"/>
    <row r="1397" customFormat="1" x14ac:dyDescent="0.2"/>
    <row r="1398" customFormat="1" x14ac:dyDescent="0.2"/>
    <row r="1399" customFormat="1" x14ac:dyDescent="0.2"/>
    <row r="1400" customFormat="1" x14ac:dyDescent="0.2"/>
    <row r="1401" customFormat="1" x14ac:dyDescent="0.2"/>
    <row r="1402" customFormat="1" x14ac:dyDescent="0.2"/>
    <row r="1403" customFormat="1" x14ac:dyDescent="0.2"/>
    <row r="1404" customFormat="1" x14ac:dyDescent="0.2"/>
    <row r="1405" customFormat="1" x14ac:dyDescent="0.2"/>
    <row r="1406" customFormat="1" x14ac:dyDescent="0.2"/>
    <row r="1407" customFormat="1" x14ac:dyDescent="0.2"/>
    <row r="1408" customFormat="1" x14ac:dyDescent="0.2"/>
    <row r="1409" customFormat="1" x14ac:dyDescent="0.2"/>
    <row r="1410" customFormat="1" x14ac:dyDescent="0.2"/>
    <row r="1411" customFormat="1" x14ac:dyDescent="0.2"/>
    <row r="1412" customFormat="1" x14ac:dyDescent="0.2"/>
    <row r="1413" customFormat="1" x14ac:dyDescent="0.2"/>
    <row r="1414" customFormat="1" x14ac:dyDescent="0.2"/>
    <row r="1415" customFormat="1" x14ac:dyDescent="0.2"/>
    <row r="1416" customFormat="1" x14ac:dyDescent="0.2"/>
    <row r="1417" customFormat="1" x14ac:dyDescent="0.2"/>
    <row r="1418" customFormat="1" x14ac:dyDescent="0.2"/>
    <row r="1419" customFormat="1" x14ac:dyDescent="0.2"/>
    <row r="1420" customFormat="1" x14ac:dyDescent="0.2"/>
    <row r="1421" customFormat="1" x14ac:dyDescent="0.2"/>
    <row r="1422" customFormat="1" x14ac:dyDescent="0.2"/>
    <row r="1423" customFormat="1" x14ac:dyDescent="0.2"/>
    <row r="1424" customFormat="1" x14ac:dyDescent="0.2"/>
    <row r="1425" customFormat="1" x14ac:dyDescent="0.2"/>
    <row r="1426" customFormat="1" x14ac:dyDescent="0.2"/>
    <row r="1427" customFormat="1" x14ac:dyDescent="0.2"/>
    <row r="1428" customFormat="1" x14ac:dyDescent="0.2"/>
    <row r="1429" customFormat="1" x14ac:dyDescent="0.2"/>
    <row r="1430" customFormat="1" x14ac:dyDescent="0.2"/>
    <row r="1431" customFormat="1" x14ac:dyDescent="0.2"/>
    <row r="1432" customFormat="1" x14ac:dyDescent="0.2"/>
    <row r="1433" customFormat="1" x14ac:dyDescent="0.2"/>
    <row r="1434" customFormat="1" x14ac:dyDescent="0.2"/>
    <row r="1435" customFormat="1" x14ac:dyDescent="0.2"/>
    <row r="1436" customFormat="1" x14ac:dyDescent="0.2"/>
    <row r="1437" customFormat="1" x14ac:dyDescent="0.2"/>
    <row r="1438" customFormat="1" x14ac:dyDescent="0.2"/>
    <row r="1439" customFormat="1" x14ac:dyDescent="0.2"/>
    <row r="1440" customFormat="1" x14ac:dyDescent="0.2"/>
    <row r="1441" customFormat="1" x14ac:dyDescent="0.2"/>
    <row r="1442" customFormat="1" x14ac:dyDescent="0.2"/>
    <row r="1443" customFormat="1" x14ac:dyDescent="0.2"/>
    <row r="1444" customFormat="1" x14ac:dyDescent="0.2"/>
    <row r="1445" customFormat="1" x14ac:dyDescent="0.2"/>
    <row r="1446" customFormat="1" x14ac:dyDescent="0.2"/>
    <row r="1447" customFormat="1" x14ac:dyDescent="0.2"/>
    <row r="1448" customFormat="1" x14ac:dyDescent="0.2"/>
    <row r="1449" customFormat="1" x14ac:dyDescent="0.2"/>
    <row r="1450" customFormat="1" x14ac:dyDescent="0.2"/>
    <row r="1451" customFormat="1" x14ac:dyDescent="0.2"/>
    <row r="1452" customFormat="1" x14ac:dyDescent="0.2"/>
    <row r="1453" customFormat="1" x14ac:dyDescent="0.2"/>
    <row r="1454" customFormat="1" x14ac:dyDescent="0.2"/>
    <row r="1455" customFormat="1" x14ac:dyDescent="0.2"/>
    <row r="1456" customFormat="1" x14ac:dyDescent="0.2"/>
    <row r="1457" customFormat="1" x14ac:dyDescent="0.2"/>
    <row r="1458" customFormat="1" x14ac:dyDescent="0.2"/>
    <row r="1459" customFormat="1" x14ac:dyDescent="0.2"/>
    <row r="1460" customFormat="1" x14ac:dyDescent="0.2"/>
    <row r="1461" customFormat="1" x14ac:dyDescent="0.2"/>
    <row r="1462" customFormat="1" x14ac:dyDescent="0.2"/>
    <row r="1463" customFormat="1" x14ac:dyDescent="0.2"/>
    <row r="1464" customFormat="1" x14ac:dyDescent="0.2"/>
    <row r="1465" customFormat="1" x14ac:dyDescent="0.2"/>
    <row r="1466" customFormat="1" x14ac:dyDescent="0.2"/>
    <row r="1467" customFormat="1" x14ac:dyDescent="0.2"/>
    <row r="1468" customFormat="1" x14ac:dyDescent="0.2"/>
    <row r="1469" customFormat="1" x14ac:dyDescent="0.2"/>
    <row r="1470" customFormat="1" x14ac:dyDescent="0.2"/>
    <row r="1471" customFormat="1" x14ac:dyDescent="0.2"/>
    <row r="1472" customFormat="1" x14ac:dyDescent="0.2"/>
    <row r="1473" customFormat="1" x14ac:dyDescent="0.2"/>
    <row r="1474" customFormat="1" x14ac:dyDescent="0.2"/>
    <row r="1475" customFormat="1" x14ac:dyDescent="0.2"/>
    <row r="1476" customFormat="1" x14ac:dyDescent="0.2"/>
    <row r="1477" customFormat="1" x14ac:dyDescent="0.2"/>
    <row r="1478" customFormat="1" x14ac:dyDescent="0.2"/>
    <row r="1479" customFormat="1" x14ac:dyDescent="0.2"/>
    <row r="1480" customFormat="1" x14ac:dyDescent="0.2"/>
    <row r="1481" customFormat="1" x14ac:dyDescent="0.2"/>
    <row r="1482" customFormat="1" x14ac:dyDescent="0.2"/>
    <row r="1483" customFormat="1" x14ac:dyDescent="0.2"/>
    <row r="1484" customFormat="1" x14ac:dyDescent="0.2"/>
    <row r="1485" customFormat="1" x14ac:dyDescent="0.2"/>
    <row r="1486" customFormat="1" x14ac:dyDescent="0.2"/>
    <row r="1487" customFormat="1" x14ac:dyDescent="0.2"/>
    <row r="1488" customFormat="1" x14ac:dyDescent="0.2"/>
    <row r="1489" customFormat="1" x14ac:dyDescent="0.2"/>
    <row r="1490" customFormat="1" x14ac:dyDescent="0.2"/>
    <row r="1491" customFormat="1" x14ac:dyDescent="0.2"/>
    <row r="1492" customFormat="1" x14ac:dyDescent="0.2"/>
    <row r="1493" customFormat="1" x14ac:dyDescent="0.2"/>
    <row r="1494" customFormat="1" x14ac:dyDescent="0.2"/>
    <row r="1495" customFormat="1" x14ac:dyDescent="0.2"/>
    <row r="1496" customFormat="1" x14ac:dyDescent="0.2"/>
    <row r="1497" customFormat="1" x14ac:dyDescent="0.2"/>
    <row r="1498" customFormat="1" x14ac:dyDescent="0.2"/>
    <row r="1499" customFormat="1" x14ac:dyDescent="0.2"/>
    <row r="1500" customFormat="1" x14ac:dyDescent="0.2"/>
    <row r="1501" customFormat="1" x14ac:dyDescent="0.2"/>
    <row r="1502" customFormat="1" x14ac:dyDescent="0.2"/>
    <row r="1503" customFormat="1" x14ac:dyDescent="0.2"/>
    <row r="1504" customFormat="1" x14ac:dyDescent="0.2"/>
    <row r="1505" customFormat="1" x14ac:dyDescent="0.2"/>
    <row r="1506" customFormat="1" x14ac:dyDescent="0.2"/>
    <row r="1507" customFormat="1" x14ac:dyDescent="0.2"/>
    <row r="1508" customFormat="1" x14ac:dyDescent="0.2"/>
    <row r="1509" customFormat="1" x14ac:dyDescent="0.2"/>
    <row r="1510" customFormat="1" x14ac:dyDescent="0.2"/>
    <row r="1511" customFormat="1" x14ac:dyDescent="0.2"/>
    <row r="1512" customFormat="1" x14ac:dyDescent="0.2"/>
    <row r="1513" customFormat="1" x14ac:dyDescent="0.2"/>
    <row r="1514" customFormat="1" x14ac:dyDescent="0.2"/>
    <row r="1515" customFormat="1" x14ac:dyDescent="0.2"/>
    <row r="1516" customFormat="1" x14ac:dyDescent="0.2"/>
    <row r="1517" customFormat="1" x14ac:dyDescent="0.2"/>
    <row r="1518" customFormat="1" x14ac:dyDescent="0.2"/>
    <row r="1519" customFormat="1" x14ac:dyDescent="0.2"/>
    <row r="1520" customFormat="1" x14ac:dyDescent="0.2"/>
    <row r="1521" customFormat="1" x14ac:dyDescent="0.2"/>
    <row r="1522" customFormat="1" x14ac:dyDescent="0.2"/>
    <row r="1523" customFormat="1" x14ac:dyDescent="0.2"/>
    <row r="1524" customFormat="1" x14ac:dyDescent="0.2"/>
    <row r="1525" customFormat="1" x14ac:dyDescent="0.2"/>
    <row r="1526" customFormat="1" x14ac:dyDescent="0.2"/>
    <row r="1527" customFormat="1" x14ac:dyDescent="0.2"/>
    <row r="1528" customFormat="1" x14ac:dyDescent="0.2"/>
    <row r="1529" customFormat="1" x14ac:dyDescent="0.2"/>
    <row r="1530" customFormat="1" x14ac:dyDescent="0.2"/>
    <row r="1531" customFormat="1" x14ac:dyDescent="0.2"/>
    <row r="1532" customFormat="1" x14ac:dyDescent="0.2"/>
    <row r="1533" customFormat="1" x14ac:dyDescent="0.2"/>
    <row r="1534" customFormat="1" x14ac:dyDescent="0.2"/>
    <row r="1535" customFormat="1" x14ac:dyDescent="0.2"/>
    <row r="1536" customFormat="1" x14ac:dyDescent="0.2"/>
    <row r="1537" customFormat="1" x14ac:dyDescent="0.2"/>
    <row r="1538" customFormat="1" x14ac:dyDescent="0.2"/>
    <row r="1539" customFormat="1" x14ac:dyDescent="0.2"/>
    <row r="1540" customFormat="1" x14ac:dyDescent="0.2"/>
    <row r="1541" customFormat="1" x14ac:dyDescent="0.2"/>
    <row r="1542" customFormat="1" x14ac:dyDescent="0.2"/>
    <row r="1543" customFormat="1" x14ac:dyDescent="0.2"/>
    <row r="1544" customFormat="1" x14ac:dyDescent="0.2"/>
    <row r="1545" customFormat="1" x14ac:dyDescent="0.2"/>
    <row r="1546" customFormat="1" x14ac:dyDescent="0.2"/>
    <row r="1547" customFormat="1" x14ac:dyDescent="0.2"/>
    <row r="1548" customFormat="1" x14ac:dyDescent="0.2"/>
    <row r="1549" customFormat="1" x14ac:dyDescent="0.2"/>
    <row r="1550" customFormat="1" x14ac:dyDescent="0.2"/>
    <row r="1551" customFormat="1" x14ac:dyDescent="0.2"/>
    <row r="1552" customFormat="1" x14ac:dyDescent="0.2"/>
    <row r="1553" customFormat="1" x14ac:dyDescent="0.2"/>
    <row r="1554" customFormat="1" x14ac:dyDescent="0.2"/>
    <row r="1555" customFormat="1" x14ac:dyDescent="0.2"/>
    <row r="1556" customFormat="1" x14ac:dyDescent="0.2"/>
    <row r="1557" customFormat="1" x14ac:dyDescent="0.2"/>
    <row r="1558" customFormat="1" x14ac:dyDescent="0.2"/>
    <row r="1559" customFormat="1" x14ac:dyDescent="0.2"/>
    <row r="1560" customFormat="1" x14ac:dyDescent="0.2"/>
    <row r="1561" customFormat="1" x14ac:dyDescent="0.2"/>
    <row r="1562" customFormat="1" x14ac:dyDescent="0.2"/>
    <row r="1563" customFormat="1" x14ac:dyDescent="0.2"/>
    <row r="1564" customFormat="1" x14ac:dyDescent="0.2"/>
    <row r="1565" customFormat="1" x14ac:dyDescent="0.2"/>
    <row r="1566" customFormat="1" x14ac:dyDescent="0.2"/>
    <row r="1567" customFormat="1" x14ac:dyDescent="0.2"/>
    <row r="1568" customFormat="1" x14ac:dyDescent="0.2"/>
    <row r="1569" customFormat="1" x14ac:dyDescent="0.2"/>
    <row r="1570" customFormat="1" x14ac:dyDescent="0.2"/>
    <row r="1571" customFormat="1" x14ac:dyDescent="0.2"/>
    <row r="1572" customFormat="1" x14ac:dyDescent="0.2"/>
    <row r="1573" customFormat="1" x14ac:dyDescent="0.2"/>
    <row r="1574" customFormat="1" x14ac:dyDescent="0.2"/>
    <row r="1575" customFormat="1" x14ac:dyDescent="0.2"/>
    <row r="1576" customFormat="1" x14ac:dyDescent="0.2"/>
    <row r="1577" customFormat="1" x14ac:dyDescent="0.2"/>
    <row r="1578" customFormat="1" x14ac:dyDescent="0.2"/>
    <row r="1579" customFormat="1" x14ac:dyDescent="0.2"/>
    <row r="1580" customFormat="1" x14ac:dyDescent="0.2"/>
    <row r="1581" customFormat="1" x14ac:dyDescent="0.2"/>
    <row r="1582" customFormat="1" x14ac:dyDescent="0.2"/>
    <row r="1583" customFormat="1" x14ac:dyDescent="0.2"/>
    <row r="1584" customFormat="1" x14ac:dyDescent="0.2"/>
    <row r="1585" customFormat="1" x14ac:dyDescent="0.2"/>
    <row r="1586" customFormat="1" x14ac:dyDescent="0.2"/>
    <row r="1587" customFormat="1" x14ac:dyDescent="0.2"/>
    <row r="1588" customFormat="1" x14ac:dyDescent="0.2"/>
    <row r="1589" customFormat="1" x14ac:dyDescent="0.2"/>
    <row r="1590" customFormat="1" x14ac:dyDescent="0.2"/>
    <row r="1591" customFormat="1" x14ac:dyDescent="0.2"/>
    <row r="1592" customFormat="1" x14ac:dyDescent="0.2"/>
    <row r="1593" customFormat="1" x14ac:dyDescent="0.2"/>
    <row r="1594" customFormat="1" x14ac:dyDescent="0.2"/>
    <row r="1595" customFormat="1" x14ac:dyDescent="0.2"/>
    <row r="1596" customFormat="1" x14ac:dyDescent="0.2"/>
    <row r="1597" customFormat="1" x14ac:dyDescent="0.2"/>
    <row r="1598" customFormat="1" x14ac:dyDescent="0.2"/>
    <row r="1599" customFormat="1" x14ac:dyDescent="0.2"/>
    <row r="1600" customFormat="1" x14ac:dyDescent="0.2"/>
    <row r="1601" customFormat="1" x14ac:dyDescent="0.2"/>
    <row r="1602" customFormat="1" x14ac:dyDescent="0.2"/>
    <row r="1603" customFormat="1" x14ac:dyDescent="0.2"/>
    <row r="1604" customFormat="1" x14ac:dyDescent="0.2"/>
    <row r="1605" customFormat="1" x14ac:dyDescent="0.2"/>
    <row r="1606" customFormat="1" x14ac:dyDescent="0.2"/>
    <row r="1607" customFormat="1" x14ac:dyDescent="0.2"/>
    <row r="1608" customFormat="1" x14ac:dyDescent="0.2"/>
    <row r="1609" customFormat="1" x14ac:dyDescent="0.2"/>
    <row r="1610" customFormat="1" x14ac:dyDescent="0.2"/>
    <row r="1611" customFormat="1" x14ac:dyDescent="0.2"/>
    <row r="1612" customFormat="1" x14ac:dyDescent="0.2"/>
    <row r="1613" customFormat="1" x14ac:dyDescent="0.2"/>
    <row r="1614" customFormat="1" x14ac:dyDescent="0.2"/>
    <row r="1615" customFormat="1" x14ac:dyDescent="0.2"/>
    <row r="1616" customFormat="1" x14ac:dyDescent="0.2"/>
    <row r="1617" customFormat="1" x14ac:dyDescent="0.2"/>
    <row r="1618" customFormat="1" x14ac:dyDescent="0.2"/>
    <row r="1619" customFormat="1" x14ac:dyDescent="0.2"/>
    <row r="1620" customFormat="1" x14ac:dyDescent="0.2"/>
    <row r="1621" customFormat="1" x14ac:dyDescent="0.2"/>
    <row r="1622" customFormat="1" x14ac:dyDescent="0.2"/>
    <row r="1623" customFormat="1" x14ac:dyDescent="0.2"/>
    <row r="1624" customFormat="1" x14ac:dyDescent="0.2"/>
    <row r="1625" customFormat="1" x14ac:dyDescent="0.2"/>
    <row r="1626" customFormat="1" x14ac:dyDescent="0.2"/>
    <row r="1627" customFormat="1" x14ac:dyDescent="0.2"/>
    <row r="1628" customFormat="1" x14ac:dyDescent="0.2"/>
    <row r="1629" customFormat="1" x14ac:dyDescent="0.2"/>
    <row r="1630" customFormat="1" x14ac:dyDescent="0.2"/>
    <row r="1631" customFormat="1" x14ac:dyDescent="0.2"/>
    <row r="1632" customFormat="1" x14ac:dyDescent="0.2"/>
    <row r="1633" customFormat="1" x14ac:dyDescent="0.2"/>
    <row r="1634" customFormat="1" x14ac:dyDescent="0.2"/>
    <row r="1635" customFormat="1" x14ac:dyDescent="0.2"/>
    <row r="1636" customFormat="1" x14ac:dyDescent="0.2"/>
    <row r="1637" customFormat="1" x14ac:dyDescent="0.2"/>
    <row r="1638" customFormat="1" x14ac:dyDescent="0.2"/>
    <row r="1639" customFormat="1" x14ac:dyDescent="0.2"/>
    <row r="1640" customFormat="1" x14ac:dyDescent="0.2"/>
    <row r="1641" customFormat="1" x14ac:dyDescent="0.2"/>
    <row r="1642" customFormat="1" x14ac:dyDescent="0.2"/>
    <row r="1643" customFormat="1" x14ac:dyDescent="0.2"/>
    <row r="1644" customFormat="1" x14ac:dyDescent="0.2"/>
    <row r="1645" customFormat="1" x14ac:dyDescent="0.2"/>
    <row r="1646" customFormat="1" x14ac:dyDescent="0.2"/>
    <row r="1647" customFormat="1" x14ac:dyDescent="0.2"/>
    <row r="1648" customFormat="1" x14ac:dyDescent="0.2"/>
    <row r="1649" customFormat="1" x14ac:dyDescent="0.2"/>
    <row r="1650" customFormat="1" x14ac:dyDescent="0.2"/>
    <row r="1651" customFormat="1" x14ac:dyDescent="0.2"/>
    <row r="1652" customFormat="1" x14ac:dyDescent="0.2"/>
    <row r="1653" customFormat="1" x14ac:dyDescent="0.2"/>
    <row r="1654" customFormat="1" x14ac:dyDescent="0.2"/>
    <row r="1655" customFormat="1" x14ac:dyDescent="0.2"/>
    <row r="1656" customFormat="1" x14ac:dyDescent="0.2"/>
    <row r="1657" customFormat="1" x14ac:dyDescent="0.2"/>
    <row r="1658" customFormat="1" x14ac:dyDescent="0.2"/>
    <row r="1659" customFormat="1" x14ac:dyDescent="0.2"/>
    <row r="1660" customFormat="1" x14ac:dyDescent="0.2"/>
    <row r="1661" customFormat="1" x14ac:dyDescent="0.2"/>
    <row r="1662" customFormat="1" x14ac:dyDescent="0.2"/>
    <row r="1663" customFormat="1" x14ac:dyDescent="0.2"/>
    <row r="1664" customFormat="1" x14ac:dyDescent="0.2"/>
    <row r="1665" customFormat="1" x14ac:dyDescent="0.2"/>
    <row r="1666" customFormat="1" x14ac:dyDescent="0.2"/>
    <row r="1667" customFormat="1" x14ac:dyDescent="0.2"/>
    <row r="1668" customFormat="1" x14ac:dyDescent="0.2"/>
    <row r="1669" customFormat="1" x14ac:dyDescent="0.2"/>
    <row r="1670" customFormat="1" x14ac:dyDescent="0.2"/>
    <row r="1671" customFormat="1" x14ac:dyDescent="0.2"/>
    <row r="1672" customFormat="1" x14ac:dyDescent="0.2"/>
    <row r="1673" customFormat="1" x14ac:dyDescent="0.2"/>
    <row r="1674" customFormat="1" x14ac:dyDescent="0.2"/>
    <row r="1675" customFormat="1" x14ac:dyDescent="0.2"/>
    <row r="1676" customFormat="1" x14ac:dyDescent="0.2"/>
    <row r="1677" customFormat="1" x14ac:dyDescent="0.2"/>
    <row r="1678" customFormat="1" x14ac:dyDescent="0.2"/>
    <row r="1679" customFormat="1" x14ac:dyDescent="0.2"/>
    <row r="1680" customFormat="1" x14ac:dyDescent="0.2"/>
    <row r="1681" customFormat="1" x14ac:dyDescent="0.2"/>
    <row r="1682" customFormat="1" x14ac:dyDescent="0.2"/>
    <row r="1683" customFormat="1" x14ac:dyDescent="0.2"/>
    <row r="1684" customFormat="1" x14ac:dyDescent="0.2"/>
    <row r="1685" customFormat="1" x14ac:dyDescent="0.2"/>
    <row r="1686" customFormat="1" x14ac:dyDescent="0.2"/>
    <row r="1687" customFormat="1" x14ac:dyDescent="0.2"/>
    <row r="1688" customFormat="1" x14ac:dyDescent="0.2"/>
    <row r="1689" customFormat="1" x14ac:dyDescent="0.2"/>
    <row r="1690" customFormat="1" x14ac:dyDescent="0.2"/>
    <row r="1691" customFormat="1" x14ac:dyDescent="0.2"/>
    <row r="1692" customFormat="1" x14ac:dyDescent="0.2"/>
    <row r="1693" customFormat="1" x14ac:dyDescent="0.2"/>
    <row r="1694" customFormat="1" x14ac:dyDescent="0.2"/>
    <row r="1695" customFormat="1" x14ac:dyDescent="0.2"/>
    <row r="1696" customFormat="1" x14ac:dyDescent="0.2"/>
    <row r="1697" customFormat="1" x14ac:dyDescent="0.2"/>
    <row r="1698" customFormat="1" x14ac:dyDescent="0.2"/>
    <row r="1699" customFormat="1" x14ac:dyDescent="0.2"/>
    <row r="1700" customFormat="1" x14ac:dyDescent="0.2"/>
    <row r="1701" customFormat="1" x14ac:dyDescent="0.2"/>
    <row r="1702" customFormat="1" x14ac:dyDescent="0.2"/>
    <row r="1703" customFormat="1" x14ac:dyDescent="0.2"/>
    <row r="1704" customFormat="1" x14ac:dyDescent="0.2"/>
    <row r="1705" customFormat="1" x14ac:dyDescent="0.2"/>
    <row r="1706" customFormat="1" x14ac:dyDescent="0.2"/>
    <row r="1707" customFormat="1" x14ac:dyDescent="0.2"/>
    <row r="1708" customFormat="1" x14ac:dyDescent="0.2"/>
    <row r="1709" customFormat="1" x14ac:dyDescent="0.2"/>
    <row r="1710" customFormat="1" x14ac:dyDescent="0.2"/>
    <row r="1711" customFormat="1" x14ac:dyDescent="0.2"/>
    <row r="1712" customFormat="1" x14ac:dyDescent="0.2"/>
    <row r="1713" customFormat="1" x14ac:dyDescent="0.2"/>
    <row r="1714" customFormat="1" x14ac:dyDescent="0.2"/>
    <row r="1715" customFormat="1" x14ac:dyDescent="0.2"/>
    <row r="1716" customFormat="1" x14ac:dyDescent="0.2"/>
    <row r="1717" customFormat="1" x14ac:dyDescent="0.2"/>
    <row r="1718" customFormat="1" x14ac:dyDescent="0.2"/>
    <row r="1719" customFormat="1" x14ac:dyDescent="0.2"/>
    <row r="1720" customFormat="1" x14ac:dyDescent="0.2"/>
    <row r="1721" customFormat="1" x14ac:dyDescent="0.2"/>
    <row r="1722" customFormat="1" x14ac:dyDescent="0.2"/>
    <row r="1723" customFormat="1" x14ac:dyDescent="0.2"/>
    <row r="1724" customFormat="1" x14ac:dyDescent="0.2"/>
    <row r="1725" customFormat="1" x14ac:dyDescent="0.2"/>
    <row r="1726" customFormat="1" x14ac:dyDescent="0.2"/>
    <row r="1727" customFormat="1" x14ac:dyDescent="0.2"/>
    <row r="1728" customFormat="1" x14ac:dyDescent="0.2"/>
    <row r="1729" customFormat="1" x14ac:dyDescent="0.2"/>
    <row r="1730" customFormat="1" x14ac:dyDescent="0.2"/>
    <row r="1731" customFormat="1" x14ac:dyDescent="0.2"/>
    <row r="1732" customFormat="1" x14ac:dyDescent="0.2"/>
    <row r="1733" customFormat="1" x14ac:dyDescent="0.2"/>
    <row r="1734" customFormat="1" x14ac:dyDescent="0.2"/>
    <row r="1735" customFormat="1" x14ac:dyDescent="0.2"/>
    <row r="1736" customFormat="1" x14ac:dyDescent="0.2"/>
    <row r="1737" customFormat="1" x14ac:dyDescent="0.2"/>
    <row r="1738" customFormat="1" x14ac:dyDescent="0.2"/>
    <row r="1739" customFormat="1" x14ac:dyDescent="0.2"/>
    <row r="1740" customFormat="1" x14ac:dyDescent="0.2"/>
    <row r="1741" customFormat="1" x14ac:dyDescent="0.2"/>
    <row r="1742" customFormat="1" x14ac:dyDescent="0.2"/>
    <row r="1743" customFormat="1" x14ac:dyDescent="0.2"/>
    <row r="1744" customFormat="1" x14ac:dyDescent="0.2"/>
    <row r="1745" customFormat="1" x14ac:dyDescent="0.2"/>
    <row r="1746" customFormat="1" x14ac:dyDescent="0.2"/>
    <row r="1747" customFormat="1" x14ac:dyDescent="0.2"/>
    <row r="1748" customFormat="1" x14ac:dyDescent="0.2"/>
    <row r="1749" customFormat="1" x14ac:dyDescent="0.2"/>
    <row r="1750" customFormat="1" x14ac:dyDescent="0.2"/>
    <row r="1751" customFormat="1" x14ac:dyDescent="0.2"/>
    <row r="1752" customFormat="1" x14ac:dyDescent="0.2"/>
    <row r="1753" customFormat="1" x14ac:dyDescent="0.2"/>
    <row r="1754" customFormat="1" x14ac:dyDescent="0.2"/>
    <row r="1755" customFormat="1" x14ac:dyDescent="0.2"/>
    <row r="1756" customFormat="1" x14ac:dyDescent="0.2"/>
    <row r="1757" customFormat="1" x14ac:dyDescent="0.2"/>
    <row r="1758" customFormat="1" x14ac:dyDescent="0.2"/>
    <row r="1759" customFormat="1" x14ac:dyDescent="0.2"/>
    <row r="1760" customFormat="1" x14ac:dyDescent="0.2"/>
    <row r="1761" customFormat="1" x14ac:dyDescent="0.2"/>
    <row r="1762" customFormat="1" x14ac:dyDescent="0.2"/>
    <row r="1763" customFormat="1" x14ac:dyDescent="0.2"/>
    <row r="1764" customFormat="1" x14ac:dyDescent="0.2"/>
    <row r="1765" customFormat="1" x14ac:dyDescent="0.2"/>
    <row r="1766" customFormat="1" x14ac:dyDescent="0.2"/>
    <row r="1767" customFormat="1" x14ac:dyDescent="0.2"/>
    <row r="1768" customFormat="1" x14ac:dyDescent="0.2"/>
    <row r="1769" customFormat="1" x14ac:dyDescent="0.2"/>
    <row r="1770" customFormat="1" x14ac:dyDescent="0.2"/>
    <row r="1771" customFormat="1" x14ac:dyDescent="0.2"/>
    <row r="1772" customFormat="1" x14ac:dyDescent="0.2"/>
    <row r="1773" customFormat="1" x14ac:dyDescent="0.2"/>
    <row r="1774" customFormat="1" x14ac:dyDescent="0.2"/>
    <row r="1775" customFormat="1" x14ac:dyDescent="0.2"/>
    <row r="1776" customFormat="1" x14ac:dyDescent="0.2"/>
    <row r="1777" customFormat="1" x14ac:dyDescent="0.2"/>
    <row r="1778" customFormat="1" x14ac:dyDescent="0.2"/>
    <row r="1779" customFormat="1" x14ac:dyDescent="0.2"/>
    <row r="1780" customFormat="1" x14ac:dyDescent="0.2"/>
    <row r="1781" customFormat="1" x14ac:dyDescent="0.2"/>
    <row r="1782" customFormat="1" x14ac:dyDescent="0.2"/>
    <row r="1783" customFormat="1" x14ac:dyDescent="0.2"/>
    <row r="1784" customFormat="1" x14ac:dyDescent="0.2"/>
    <row r="1785" customFormat="1" x14ac:dyDescent="0.2"/>
    <row r="1786" customFormat="1" x14ac:dyDescent="0.2"/>
    <row r="1787" customFormat="1" x14ac:dyDescent="0.2"/>
    <row r="1788" customFormat="1" x14ac:dyDescent="0.2"/>
    <row r="1789" customFormat="1" x14ac:dyDescent="0.2"/>
    <row r="1790" customFormat="1" x14ac:dyDescent="0.2"/>
    <row r="1791" customFormat="1" x14ac:dyDescent="0.2"/>
    <row r="1792" customFormat="1" x14ac:dyDescent="0.2"/>
    <row r="1793" customFormat="1" x14ac:dyDescent="0.2"/>
    <row r="1794" customFormat="1" x14ac:dyDescent="0.2"/>
    <row r="1795" customFormat="1" x14ac:dyDescent="0.2"/>
    <row r="1796" customFormat="1" x14ac:dyDescent="0.2"/>
    <row r="1797" customFormat="1" x14ac:dyDescent="0.2"/>
    <row r="1798" customFormat="1" x14ac:dyDescent="0.2"/>
    <row r="1799" customFormat="1" x14ac:dyDescent="0.2"/>
    <row r="1800" customFormat="1" x14ac:dyDescent="0.2"/>
    <row r="1801" customFormat="1" x14ac:dyDescent="0.2"/>
    <row r="1802" customFormat="1" x14ac:dyDescent="0.2"/>
    <row r="1803" customFormat="1" x14ac:dyDescent="0.2"/>
    <row r="1804" customFormat="1" x14ac:dyDescent="0.2"/>
    <row r="1805" customFormat="1" x14ac:dyDescent="0.2"/>
    <row r="1806" customFormat="1" x14ac:dyDescent="0.2"/>
    <row r="1807" customFormat="1" x14ac:dyDescent="0.2"/>
    <row r="1808" customFormat="1" x14ac:dyDescent="0.2"/>
    <row r="1809" customFormat="1" x14ac:dyDescent="0.2"/>
    <row r="1810" customFormat="1" x14ac:dyDescent="0.2"/>
    <row r="1811" customFormat="1" x14ac:dyDescent="0.2"/>
    <row r="1812" customFormat="1" x14ac:dyDescent="0.2"/>
    <row r="1813" customFormat="1" x14ac:dyDescent="0.2"/>
    <row r="1814" customFormat="1" x14ac:dyDescent="0.2"/>
    <row r="1815" customFormat="1" x14ac:dyDescent="0.2"/>
    <row r="1816" customFormat="1" x14ac:dyDescent="0.2"/>
    <row r="1817" customFormat="1" x14ac:dyDescent="0.2"/>
    <row r="1818" customFormat="1" x14ac:dyDescent="0.2"/>
    <row r="1819" customFormat="1" x14ac:dyDescent="0.2"/>
    <row r="1820" customFormat="1" x14ac:dyDescent="0.2"/>
    <row r="1821" customFormat="1" x14ac:dyDescent="0.2"/>
    <row r="1822" customFormat="1" x14ac:dyDescent="0.2"/>
    <row r="1823" customFormat="1" x14ac:dyDescent="0.2"/>
    <row r="1824" customFormat="1" x14ac:dyDescent="0.2"/>
    <row r="1825" customFormat="1" x14ac:dyDescent="0.2"/>
    <row r="1826" customFormat="1" x14ac:dyDescent="0.2"/>
    <row r="1827" customFormat="1" x14ac:dyDescent="0.2"/>
    <row r="1828" customFormat="1" x14ac:dyDescent="0.2"/>
    <row r="1829" customFormat="1" x14ac:dyDescent="0.2"/>
    <row r="1830" customFormat="1" x14ac:dyDescent="0.2"/>
    <row r="1831" customFormat="1" x14ac:dyDescent="0.2"/>
    <row r="1832" customFormat="1" x14ac:dyDescent="0.2"/>
    <row r="1833" customFormat="1" x14ac:dyDescent="0.2"/>
    <row r="1834" customFormat="1" x14ac:dyDescent="0.2"/>
    <row r="1835" customFormat="1" x14ac:dyDescent="0.2"/>
    <row r="1836" customFormat="1" x14ac:dyDescent="0.2"/>
    <row r="1837" customFormat="1" x14ac:dyDescent="0.2"/>
    <row r="1838" customFormat="1" x14ac:dyDescent="0.2"/>
    <row r="1839" customFormat="1" x14ac:dyDescent="0.2"/>
    <row r="1840" customFormat="1" x14ac:dyDescent="0.2"/>
    <row r="1841" customFormat="1" x14ac:dyDescent="0.2"/>
    <row r="1842" customFormat="1" x14ac:dyDescent="0.2"/>
    <row r="1843" customFormat="1" x14ac:dyDescent="0.2"/>
    <row r="1844" customFormat="1" x14ac:dyDescent="0.2"/>
    <row r="1845" customFormat="1" x14ac:dyDescent="0.2"/>
    <row r="1846" customFormat="1" x14ac:dyDescent="0.2"/>
    <row r="1847" customFormat="1" x14ac:dyDescent="0.2"/>
    <row r="1848" customFormat="1" x14ac:dyDescent="0.2"/>
    <row r="1849" customFormat="1" x14ac:dyDescent="0.2"/>
    <row r="1850" customFormat="1" x14ac:dyDescent="0.2"/>
    <row r="1851" customFormat="1" x14ac:dyDescent="0.2"/>
    <row r="1852" customFormat="1" x14ac:dyDescent="0.2"/>
    <row r="1853" customFormat="1" x14ac:dyDescent="0.2"/>
    <row r="1854" customFormat="1" x14ac:dyDescent="0.2"/>
    <row r="1855" customFormat="1" x14ac:dyDescent="0.2"/>
    <row r="1856" customFormat="1" x14ac:dyDescent="0.2"/>
    <row r="1857" customFormat="1" x14ac:dyDescent="0.2"/>
    <row r="1858" customFormat="1" x14ac:dyDescent="0.2"/>
    <row r="1859" customFormat="1" x14ac:dyDescent="0.2"/>
    <row r="1860" customFormat="1" x14ac:dyDescent="0.2"/>
    <row r="1861" customFormat="1" x14ac:dyDescent="0.2"/>
    <row r="1862" customFormat="1" x14ac:dyDescent="0.2"/>
    <row r="1863" customFormat="1" x14ac:dyDescent="0.2"/>
    <row r="1864" customFormat="1" x14ac:dyDescent="0.2"/>
    <row r="1865" customFormat="1" x14ac:dyDescent="0.2"/>
    <row r="1866" customFormat="1" x14ac:dyDescent="0.2"/>
    <row r="1867" customFormat="1" x14ac:dyDescent="0.2"/>
    <row r="1868" customFormat="1" x14ac:dyDescent="0.2"/>
    <row r="1869" customFormat="1" x14ac:dyDescent="0.2"/>
    <row r="1870" customFormat="1" x14ac:dyDescent="0.2"/>
    <row r="1871" customFormat="1" x14ac:dyDescent="0.2"/>
    <row r="1872" customFormat="1" x14ac:dyDescent="0.2"/>
    <row r="1873" customFormat="1" x14ac:dyDescent="0.2"/>
    <row r="1874" customFormat="1" x14ac:dyDescent="0.2"/>
    <row r="1875" customFormat="1" x14ac:dyDescent="0.2"/>
    <row r="1876" customFormat="1" x14ac:dyDescent="0.2"/>
    <row r="1877" customFormat="1" x14ac:dyDescent="0.2"/>
    <row r="1878" customFormat="1" x14ac:dyDescent="0.2"/>
    <row r="1879" customFormat="1" x14ac:dyDescent="0.2"/>
    <row r="1880" customFormat="1" x14ac:dyDescent="0.2"/>
    <row r="1881" customFormat="1" x14ac:dyDescent="0.2"/>
    <row r="1882" customFormat="1" x14ac:dyDescent="0.2"/>
    <row r="1883" customFormat="1" x14ac:dyDescent="0.2"/>
    <row r="1884" customFormat="1" x14ac:dyDescent="0.2"/>
    <row r="1885" customFormat="1" x14ac:dyDescent="0.2"/>
    <row r="1886" customFormat="1" x14ac:dyDescent="0.2"/>
    <row r="1887" customFormat="1" x14ac:dyDescent="0.2"/>
    <row r="1888" customFormat="1" x14ac:dyDescent="0.2"/>
    <row r="1889" customFormat="1" x14ac:dyDescent="0.2"/>
    <row r="1890" customFormat="1" x14ac:dyDescent="0.2"/>
    <row r="1891" customFormat="1" x14ac:dyDescent="0.2"/>
    <row r="1892" customFormat="1" x14ac:dyDescent="0.2"/>
    <row r="1893" customFormat="1" x14ac:dyDescent="0.2"/>
    <row r="1894" customFormat="1" x14ac:dyDescent="0.2"/>
    <row r="1895" customFormat="1" x14ac:dyDescent="0.2"/>
    <row r="1896" customFormat="1" x14ac:dyDescent="0.2"/>
    <row r="1897" customFormat="1" x14ac:dyDescent="0.2"/>
    <row r="1898" customFormat="1" x14ac:dyDescent="0.2"/>
    <row r="1899" customFormat="1" x14ac:dyDescent="0.2"/>
    <row r="1900" customFormat="1" x14ac:dyDescent="0.2"/>
    <row r="1901" customFormat="1" x14ac:dyDescent="0.2"/>
    <row r="1902" customFormat="1" x14ac:dyDescent="0.2"/>
    <row r="1903" customFormat="1" x14ac:dyDescent="0.2"/>
    <row r="1904" customFormat="1" x14ac:dyDescent="0.2"/>
    <row r="1905" customFormat="1" x14ac:dyDescent="0.2"/>
    <row r="1906" customFormat="1" x14ac:dyDescent="0.2"/>
    <row r="1907" customFormat="1" x14ac:dyDescent="0.2"/>
    <row r="1908" customFormat="1" x14ac:dyDescent="0.2"/>
    <row r="1909" customFormat="1" x14ac:dyDescent="0.2"/>
    <row r="1910" customFormat="1" x14ac:dyDescent="0.2"/>
    <row r="1911" customFormat="1" x14ac:dyDescent="0.2"/>
    <row r="1912" customFormat="1" x14ac:dyDescent="0.2"/>
    <row r="1913" customFormat="1" x14ac:dyDescent="0.2"/>
    <row r="1914" customFormat="1" x14ac:dyDescent="0.2"/>
    <row r="1915" customFormat="1" x14ac:dyDescent="0.2"/>
    <row r="1916" customFormat="1" x14ac:dyDescent="0.2"/>
    <row r="1917" customFormat="1" x14ac:dyDescent="0.2"/>
    <row r="1918" customFormat="1" x14ac:dyDescent="0.2"/>
    <row r="1919" customFormat="1" x14ac:dyDescent="0.2"/>
    <row r="1920" customFormat="1" x14ac:dyDescent="0.2"/>
    <row r="1921" customFormat="1" x14ac:dyDescent="0.2"/>
    <row r="1922" customFormat="1" x14ac:dyDescent="0.2"/>
    <row r="1923" customFormat="1" x14ac:dyDescent="0.2"/>
    <row r="1924" customFormat="1" x14ac:dyDescent="0.2"/>
    <row r="1925" customFormat="1" x14ac:dyDescent="0.2"/>
    <row r="1926" customFormat="1" x14ac:dyDescent="0.2"/>
    <row r="1927" customFormat="1" x14ac:dyDescent="0.2"/>
    <row r="1928" customFormat="1" x14ac:dyDescent="0.2"/>
    <row r="1929" customFormat="1" x14ac:dyDescent="0.2"/>
    <row r="1930" customFormat="1" x14ac:dyDescent="0.2"/>
    <row r="1931" customFormat="1" x14ac:dyDescent="0.2"/>
    <row r="1932" customFormat="1" x14ac:dyDescent="0.2"/>
    <row r="1933" customFormat="1" x14ac:dyDescent="0.2"/>
    <row r="1934" customFormat="1" x14ac:dyDescent="0.2"/>
    <row r="1935" customFormat="1" x14ac:dyDescent="0.2"/>
    <row r="1936" customFormat="1" x14ac:dyDescent="0.2"/>
    <row r="1937" customFormat="1" x14ac:dyDescent="0.2"/>
    <row r="1938" customFormat="1" x14ac:dyDescent="0.2"/>
    <row r="1939" customFormat="1" x14ac:dyDescent="0.2"/>
    <row r="1940" customFormat="1" x14ac:dyDescent="0.2"/>
    <row r="1941" customFormat="1" x14ac:dyDescent="0.2"/>
    <row r="1942" customFormat="1" x14ac:dyDescent="0.2"/>
    <row r="1943" customFormat="1" x14ac:dyDescent="0.2"/>
    <row r="1944" customFormat="1" x14ac:dyDescent="0.2"/>
    <row r="1945" customFormat="1" x14ac:dyDescent="0.2"/>
    <row r="1946" customFormat="1" x14ac:dyDescent="0.2"/>
    <row r="1947" customFormat="1" x14ac:dyDescent="0.2"/>
    <row r="1948" customFormat="1" x14ac:dyDescent="0.2"/>
    <row r="1949" customFormat="1" x14ac:dyDescent="0.2"/>
    <row r="1950" customFormat="1" x14ac:dyDescent="0.2"/>
    <row r="1951" customFormat="1" x14ac:dyDescent="0.2"/>
    <row r="1952" customFormat="1" x14ac:dyDescent="0.2"/>
    <row r="1953" customFormat="1" x14ac:dyDescent="0.2"/>
    <row r="1954" customFormat="1" x14ac:dyDescent="0.2"/>
    <row r="1955" customFormat="1" x14ac:dyDescent="0.2"/>
    <row r="1956" customFormat="1" x14ac:dyDescent="0.2"/>
    <row r="1957" customFormat="1" x14ac:dyDescent="0.2"/>
    <row r="1958" customFormat="1" x14ac:dyDescent="0.2"/>
    <row r="1959" customFormat="1" x14ac:dyDescent="0.2"/>
    <row r="1960" customFormat="1" x14ac:dyDescent="0.2"/>
    <row r="1961" customFormat="1" x14ac:dyDescent="0.2"/>
    <row r="1962" customFormat="1" x14ac:dyDescent="0.2"/>
    <row r="1963" customFormat="1" x14ac:dyDescent="0.2"/>
    <row r="1964" customFormat="1" x14ac:dyDescent="0.2"/>
    <row r="1965" customFormat="1" x14ac:dyDescent="0.2"/>
    <row r="1966" customFormat="1" x14ac:dyDescent="0.2"/>
    <row r="1967" customFormat="1" x14ac:dyDescent="0.2"/>
    <row r="1968" customFormat="1" x14ac:dyDescent="0.2"/>
    <row r="1969" customFormat="1" x14ac:dyDescent="0.2"/>
    <row r="1970" customFormat="1" x14ac:dyDescent="0.2"/>
    <row r="1971" customFormat="1" x14ac:dyDescent="0.2"/>
    <row r="1972" customFormat="1" x14ac:dyDescent="0.2"/>
    <row r="1973" customFormat="1" x14ac:dyDescent="0.2"/>
    <row r="1974" customFormat="1" x14ac:dyDescent="0.2"/>
    <row r="1975" customFormat="1" x14ac:dyDescent="0.2"/>
    <row r="1976" customFormat="1" x14ac:dyDescent="0.2"/>
    <row r="1977" customFormat="1" x14ac:dyDescent="0.2"/>
    <row r="1978" customFormat="1" x14ac:dyDescent="0.2"/>
    <row r="1979" customFormat="1" x14ac:dyDescent="0.2"/>
    <row r="1980" customFormat="1" x14ac:dyDescent="0.2"/>
    <row r="1981" customFormat="1" x14ac:dyDescent="0.2"/>
    <row r="1982" customFormat="1" x14ac:dyDescent="0.2"/>
    <row r="1983" customFormat="1" x14ac:dyDescent="0.2"/>
    <row r="1984" customFormat="1" x14ac:dyDescent="0.2"/>
    <row r="1985" customFormat="1" x14ac:dyDescent="0.2"/>
    <row r="1986" customFormat="1" x14ac:dyDescent="0.2"/>
    <row r="1987" customFormat="1" x14ac:dyDescent="0.2"/>
    <row r="1988" customFormat="1" x14ac:dyDescent="0.2"/>
    <row r="1989" customFormat="1" x14ac:dyDescent="0.2"/>
    <row r="1990" customFormat="1" x14ac:dyDescent="0.2"/>
    <row r="1991" customFormat="1" x14ac:dyDescent="0.2"/>
    <row r="1992" customFormat="1" x14ac:dyDescent="0.2"/>
    <row r="1993" customFormat="1" x14ac:dyDescent="0.2"/>
    <row r="1994" customFormat="1" x14ac:dyDescent="0.2"/>
    <row r="1995" customFormat="1" x14ac:dyDescent="0.2"/>
    <row r="1996" customFormat="1" x14ac:dyDescent="0.2"/>
    <row r="1997" customFormat="1" x14ac:dyDescent="0.2"/>
    <row r="1998" customFormat="1" x14ac:dyDescent="0.2"/>
    <row r="1999" customFormat="1" x14ac:dyDescent="0.2"/>
    <row r="2000" customFormat="1" x14ac:dyDescent="0.2"/>
    <row r="2001" customFormat="1" x14ac:dyDescent="0.2"/>
    <row r="2002" customFormat="1" x14ac:dyDescent="0.2"/>
    <row r="2003" customFormat="1" x14ac:dyDescent="0.2"/>
    <row r="2004" customFormat="1" x14ac:dyDescent="0.2"/>
    <row r="2005" customFormat="1" x14ac:dyDescent="0.2"/>
    <row r="2006" customFormat="1" x14ac:dyDescent="0.2"/>
    <row r="2007" customFormat="1" x14ac:dyDescent="0.2"/>
    <row r="2008" customFormat="1" x14ac:dyDescent="0.2"/>
    <row r="2009" customFormat="1" x14ac:dyDescent="0.2"/>
    <row r="2010" customFormat="1" x14ac:dyDescent="0.2"/>
    <row r="2011" customFormat="1" x14ac:dyDescent="0.2"/>
    <row r="2012" customFormat="1" x14ac:dyDescent="0.2"/>
    <row r="2013" customFormat="1" x14ac:dyDescent="0.2"/>
    <row r="2014" customFormat="1" x14ac:dyDescent="0.2"/>
    <row r="2015" customFormat="1" x14ac:dyDescent="0.2"/>
    <row r="2016" customFormat="1" x14ac:dyDescent="0.2"/>
    <row r="2017" customFormat="1" x14ac:dyDescent="0.2"/>
    <row r="2018" customFormat="1" x14ac:dyDescent="0.2"/>
    <row r="2019" customFormat="1" x14ac:dyDescent="0.2"/>
    <row r="2020" customFormat="1" x14ac:dyDescent="0.2"/>
    <row r="2021" customFormat="1" x14ac:dyDescent="0.2"/>
    <row r="2022" customFormat="1" x14ac:dyDescent="0.2"/>
    <row r="2023" customFormat="1" x14ac:dyDescent="0.2"/>
    <row r="2024" customFormat="1" x14ac:dyDescent="0.2"/>
    <row r="2025" customFormat="1" x14ac:dyDescent="0.2"/>
    <row r="2026" customFormat="1" x14ac:dyDescent="0.2"/>
    <row r="2027" customFormat="1" x14ac:dyDescent="0.2"/>
    <row r="2028" customFormat="1" x14ac:dyDescent="0.2"/>
    <row r="2029" customFormat="1" x14ac:dyDescent="0.2"/>
    <row r="2030" customFormat="1" x14ac:dyDescent="0.2"/>
    <row r="2031" customFormat="1" x14ac:dyDescent="0.2"/>
    <row r="2032" customFormat="1" x14ac:dyDescent="0.2"/>
    <row r="2033" customFormat="1" x14ac:dyDescent="0.2"/>
    <row r="2034" customFormat="1" x14ac:dyDescent="0.2"/>
    <row r="2035" customFormat="1" x14ac:dyDescent="0.2"/>
    <row r="2036" customFormat="1" x14ac:dyDescent="0.2"/>
    <row r="2037" customFormat="1" x14ac:dyDescent="0.2"/>
    <row r="2038" customFormat="1" x14ac:dyDescent="0.2"/>
    <row r="2039" customFormat="1" x14ac:dyDescent="0.2"/>
    <row r="2040" customFormat="1" x14ac:dyDescent="0.2"/>
    <row r="2041" customFormat="1" x14ac:dyDescent="0.2"/>
    <row r="2042" customFormat="1" x14ac:dyDescent="0.2"/>
    <row r="2043" customFormat="1" x14ac:dyDescent="0.2"/>
    <row r="2044" customFormat="1" x14ac:dyDescent="0.2"/>
    <row r="2045" customFormat="1" x14ac:dyDescent="0.2"/>
    <row r="2046" customFormat="1" x14ac:dyDescent="0.2"/>
    <row r="2047" customFormat="1" x14ac:dyDescent="0.2"/>
    <row r="2048" customFormat="1" x14ac:dyDescent="0.2"/>
    <row r="2049" customFormat="1" x14ac:dyDescent="0.2"/>
    <row r="2050" customFormat="1" x14ac:dyDescent="0.2"/>
    <row r="2051" customFormat="1" x14ac:dyDescent="0.2"/>
    <row r="2052" customFormat="1" x14ac:dyDescent="0.2"/>
    <row r="2053" customFormat="1" x14ac:dyDescent="0.2"/>
    <row r="2054" customFormat="1" x14ac:dyDescent="0.2"/>
    <row r="2055" customFormat="1" x14ac:dyDescent="0.2"/>
    <row r="2056" customFormat="1" x14ac:dyDescent="0.2"/>
    <row r="2057" customFormat="1" x14ac:dyDescent="0.2"/>
    <row r="2058" customFormat="1" x14ac:dyDescent="0.2"/>
    <row r="2059" customFormat="1" x14ac:dyDescent="0.2"/>
    <row r="2060" customFormat="1" x14ac:dyDescent="0.2"/>
    <row r="2061" customFormat="1" x14ac:dyDescent="0.2"/>
    <row r="2062" customFormat="1" x14ac:dyDescent="0.2"/>
    <row r="2063" customFormat="1" x14ac:dyDescent="0.2"/>
    <row r="2064" customFormat="1" x14ac:dyDescent="0.2"/>
    <row r="2065" customFormat="1" x14ac:dyDescent="0.2"/>
    <row r="2066" customFormat="1" x14ac:dyDescent="0.2"/>
    <row r="2067" customFormat="1" x14ac:dyDescent="0.2"/>
    <row r="2068" customFormat="1" x14ac:dyDescent="0.2"/>
    <row r="2069" customFormat="1" x14ac:dyDescent="0.2"/>
    <row r="2070" customFormat="1" x14ac:dyDescent="0.2"/>
    <row r="2071" customFormat="1" x14ac:dyDescent="0.2"/>
    <row r="2072" customFormat="1" x14ac:dyDescent="0.2"/>
    <row r="2073" customFormat="1" x14ac:dyDescent="0.2"/>
    <row r="2074" customFormat="1" x14ac:dyDescent="0.2"/>
    <row r="2075" customFormat="1" x14ac:dyDescent="0.2"/>
    <row r="2076" customFormat="1" x14ac:dyDescent="0.2"/>
    <row r="2077" customFormat="1" x14ac:dyDescent="0.2"/>
    <row r="2078" customFormat="1" x14ac:dyDescent="0.2"/>
    <row r="2079" customFormat="1" x14ac:dyDescent="0.2"/>
    <row r="2080" customFormat="1" x14ac:dyDescent="0.2"/>
    <row r="2081" customFormat="1" x14ac:dyDescent="0.2"/>
    <row r="2082" customFormat="1" x14ac:dyDescent="0.2"/>
    <row r="2083" customFormat="1" x14ac:dyDescent="0.2"/>
    <row r="2084" customFormat="1" x14ac:dyDescent="0.2"/>
    <row r="2085" customFormat="1" x14ac:dyDescent="0.2"/>
    <row r="2086" customFormat="1" x14ac:dyDescent="0.2"/>
    <row r="2087" customFormat="1" x14ac:dyDescent="0.2"/>
    <row r="2088" customFormat="1" x14ac:dyDescent="0.2"/>
    <row r="2089" customFormat="1" x14ac:dyDescent="0.2"/>
    <row r="2090" customFormat="1" x14ac:dyDescent="0.2"/>
    <row r="2091" customFormat="1" x14ac:dyDescent="0.2"/>
    <row r="2092" customFormat="1" x14ac:dyDescent="0.2"/>
    <row r="2093" customFormat="1" x14ac:dyDescent="0.2"/>
    <row r="2094" customFormat="1" x14ac:dyDescent="0.2"/>
    <row r="2095" customFormat="1" x14ac:dyDescent="0.2"/>
    <row r="2096" customFormat="1" x14ac:dyDescent="0.2"/>
    <row r="2097" customFormat="1" x14ac:dyDescent="0.2"/>
    <row r="2098" customFormat="1" x14ac:dyDescent="0.2"/>
    <row r="2099" customFormat="1" x14ac:dyDescent="0.2"/>
    <row r="2100" customFormat="1" x14ac:dyDescent="0.2"/>
    <row r="2101" customFormat="1" x14ac:dyDescent="0.2"/>
    <row r="2102" customFormat="1" x14ac:dyDescent="0.2"/>
    <row r="2103" customFormat="1" x14ac:dyDescent="0.2"/>
    <row r="2104" customFormat="1" x14ac:dyDescent="0.2"/>
    <row r="2105" customFormat="1" x14ac:dyDescent="0.2"/>
    <row r="2106" customFormat="1" x14ac:dyDescent="0.2"/>
    <row r="2107" customFormat="1" x14ac:dyDescent="0.2"/>
    <row r="2108" customFormat="1" x14ac:dyDescent="0.2"/>
    <row r="2109" customFormat="1" x14ac:dyDescent="0.2"/>
    <row r="2110" customFormat="1" x14ac:dyDescent="0.2"/>
    <row r="2111" customFormat="1" x14ac:dyDescent="0.2"/>
    <row r="2112" customFormat="1" x14ac:dyDescent="0.2"/>
    <row r="2113" customFormat="1" x14ac:dyDescent="0.2"/>
    <row r="2114" customFormat="1" x14ac:dyDescent="0.2"/>
    <row r="2115" customFormat="1" x14ac:dyDescent="0.2"/>
    <row r="2116" customFormat="1" x14ac:dyDescent="0.2"/>
    <row r="2117" customFormat="1" x14ac:dyDescent="0.2"/>
    <row r="2118" customFormat="1" x14ac:dyDescent="0.2"/>
    <row r="2119" customFormat="1" x14ac:dyDescent="0.2"/>
    <row r="2120" customFormat="1" x14ac:dyDescent="0.2"/>
    <row r="2121" customFormat="1" x14ac:dyDescent="0.2"/>
    <row r="2122" customFormat="1" x14ac:dyDescent="0.2"/>
    <row r="2123" customFormat="1" x14ac:dyDescent="0.2"/>
    <row r="2124" customFormat="1" x14ac:dyDescent="0.2"/>
    <row r="2125" customFormat="1" x14ac:dyDescent="0.2"/>
    <row r="2126" customFormat="1" x14ac:dyDescent="0.2"/>
    <row r="2127" customFormat="1" x14ac:dyDescent="0.2"/>
    <row r="2128" customFormat="1" x14ac:dyDescent="0.2"/>
    <row r="2129" customFormat="1" x14ac:dyDescent="0.2"/>
    <row r="2130" customFormat="1" x14ac:dyDescent="0.2"/>
    <row r="2131" customFormat="1" x14ac:dyDescent="0.2"/>
    <row r="2132" customFormat="1" x14ac:dyDescent="0.2"/>
    <row r="2133" customFormat="1" x14ac:dyDescent="0.2"/>
    <row r="2134" customFormat="1" x14ac:dyDescent="0.2"/>
    <row r="2135" customFormat="1" x14ac:dyDescent="0.2"/>
    <row r="2136" customFormat="1" x14ac:dyDescent="0.2"/>
    <row r="2137" customFormat="1" x14ac:dyDescent="0.2"/>
    <row r="2138" customFormat="1" x14ac:dyDescent="0.2"/>
    <row r="2139" customFormat="1" x14ac:dyDescent="0.2"/>
    <row r="2140" customFormat="1" x14ac:dyDescent="0.2"/>
    <row r="2141" customFormat="1" x14ac:dyDescent="0.2"/>
    <row r="2142" customFormat="1" x14ac:dyDescent="0.2"/>
    <row r="2143" customFormat="1" x14ac:dyDescent="0.2"/>
    <row r="2144" customFormat="1" x14ac:dyDescent="0.2"/>
    <row r="2145" customFormat="1" x14ac:dyDescent="0.2"/>
    <row r="2146" customFormat="1" x14ac:dyDescent="0.2"/>
    <row r="2147" customFormat="1" x14ac:dyDescent="0.2"/>
    <row r="2148" customFormat="1" x14ac:dyDescent="0.2"/>
    <row r="2149" customFormat="1" x14ac:dyDescent="0.2"/>
    <row r="2150" customFormat="1" x14ac:dyDescent="0.2"/>
    <row r="2151" customFormat="1" x14ac:dyDescent="0.2"/>
    <row r="2152" customFormat="1" x14ac:dyDescent="0.2"/>
    <row r="2153" customFormat="1" x14ac:dyDescent="0.2"/>
    <row r="2154" customFormat="1" x14ac:dyDescent="0.2"/>
    <row r="2155" customFormat="1" x14ac:dyDescent="0.2"/>
    <row r="2156" customFormat="1" x14ac:dyDescent="0.2"/>
    <row r="2157" customFormat="1" x14ac:dyDescent="0.2"/>
    <row r="2158" customFormat="1" x14ac:dyDescent="0.2"/>
    <row r="2159" customFormat="1" x14ac:dyDescent="0.2"/>
    <row r="2160" customFormat="1" x14ac:dyDescent="0.2"/>
    <row r="2161" customFormat="1" x14ac:dyDescent="0.2"/>
    <row r="2162" customFormat="1" x14ac:dyDescent="0.2"/>
    <row r="2163" customFormat="1" x14ac:dyDescent="0.2"/>
    <row r="2164" customFormat="1" x14ac:dyDescent="0.2"/>
    <row r="2165" customFormat="1" x14ac:dyDescent="0.2"/>
    <row r="2166" customFormat="1" x14ac:dyDescent="0.2"/>
    <row r="2167" customFormat="1" x14ac:dyDescent="0.2"/>
    <row r="2168" customFormat="1" x14ac:dyDescent="0.2"/>
    <row r="2169" customFormat="1" x14ac:dyDescent="0.2"/>
    <row r="2170" customFormat="1" x14ac:dyDescent="0.2"/>
    <row r="2171" customFormat="1" x14ac:dyDescent="0.2"/>
    <row r="2172" customFormat="1" x14ac:dyDescent="0.2"/>
    <row r="2173" customFormat="1" x14ac:dyDescent="0.2"/>
    <row r="2174" customFormat="1" x14ac:dyDescent="0.2"/>
    <row r="2175" customFormat="1" x14ac:dyDescent="0.2"/>
    <row r="2176" customFormat="1" x14ac:dyDescent="0.2"/>
    <row r="2177" customFormat="1" x14ac:dyDescent="0.2"/>
    <row r="2178" customFormat="1" x14ac:dyDescent="0.2"/>
    <row r="2179" customFormat="1" x14ac:dyDescent="0.2"/>
    <row r="2180" customFormat="1" x14ac:dyDescent="0.2"/>
    <row r="2181" customFormat="1" x14ac:dyDescent="0.2"/>
    <row r="2182" customFormat="1" x14ac:dyDescent="0.2"/>
    <row r="2183" customFormat="1" x14ac:dyDescent="0.2"/>
    <row r="2184" customFormat="1" x14ac:dyDescent="0.2"/>
    <row r="2185" customFormat="1" x14ac:dyDescent="0.2"/>
    <row r="2186" customFormat="1" x14ac:dyDescent="0.2"/>
    <row r="2187" customFormat="1" x14ac:dyDescent="0.2"/>
    <row r="2188" customFormat="1" x14ac:dyDescent="0.2"/>
    <row r="2189" customFormat="1" x14ac:dyDescent="0.2"/>
    <row r="2190" customFormat="1" x14ac:dyDescent="0.2"/>
    <row r="2191" customFormat="1" x14ac:dyDescent="0.2"/>
    <row r="2192" customFormat="1" x14ac:dyDescent="0.2"/>
    <row r="2193" customFormat="1" x14ac:dyDescent="0.2"/>
    <row r="2194" customFormat="1" x14ac:dyDescent="0.2"/>
    <row r="2195" customFormat="1" x14ac:dyDescent="0.2"/>
    <row r="2196" customFormat="1" x14ac:dyDescent="0.2"/>
    <row r="2197" customFormat="1" x14ac:dyDescent="0.2"/>
    <row r="2198" customFormat="1" x14ac:dyDescent="0.2"/>
    <row r="2199" customFormat="1" x14ac:dyDescent="0.2"/>
    <row r="2200" customFormat="1" x14ac:dyDescent="0.2"/>
    <row r="2201" customFormat="1" x14ac:dyDescent="0.2"/>
    <row r="2202" customFormat="1" x14ac:dyDescent="0.2"/>
    <row r="2203" customFormat="1" x14ac:dyDescent="0.2"/>
    <row r="2204" customFormat="1" x14ac:dyDescent="0.2"/>
    <row r="2205" customFormat="1" x14ac:dyDescent="0.2"/>
    <row r="2206" customFormat="1" x14ac:dyDescent="0.2"/>
    <row r="2207" customFormat="1" x14ac:dyDescent="0.2"/>
    <row r="2208" customFormat="1" x14ac:dyDescent="0.2"/>
    <row r="2209" customFormat="1" x14ac:dyDescent="0.2"/>
    <row r="2210" customFormat="1" x14ac:dyDescent="0.2"/>
    <row r="2211" customFormat="1" x14ac:dyDescent="0.2"/>
    <row r="2212" customFormat="1" x14ac:dyDescent="0.2"/>
    <row r="2213" customFormat="1" x14ac:dyDescent="0.2"/>
    <row r="2214" customFormat="1" x14ac:dyDescent="0.2"/>
    <row r="2215" customFormat="1" x14ac:dyDescent="0.2"/>
    <row r="2216" customFormat="1" x14ac:dyDescent="0.2"/>
    <row r="2217" customFormat="1" x14ac:dyDescent="0.2"/>
    <row r="2218" customFormat="1" x14ac:dyDescent="0.2"/>
    <row r="2219" customFormat="1" x14ac:dyDescent="0.2"/>
    <row r="2220" customFormat="1" x14ac:dyDescent="0.2"/>
    <row r="2221" customFormat="1" x14ac:dyDescent="0.2"/>
    <row r="2222" customFormat="1" x14ac:dyDescent="0.2"/>
    <row r="2223" customFormat="1" x14ac:dyDescent="0.2"/>
    <row r="2224" customFormat="1" x14ac:dyDescent="0.2"/>
    <row r="2225" customFormat="1" x14ac:dyDescent="0.2"/>
    <row r="2226" customFormat="1" x14ac:dyDescent="0.2"/>
    <row r="2227" customFormat="1" x14ac:dyDescent="0.2"/>
    <row r="2228" customFormat="1" x14ac:dyDescent="0.2"/>
    <row r="2229" customFormat="1" x14ac:dyDescent="0.2"/>
    <row r="2230" customFormat="1" x14ac:dyDescent="0.2"/>
    <row r="2231" customFormat="1" x14ac:dyDescent="0.2"/>
    <row r="2232" customFormat="1" x14ac:dyDescent="0.2"/>
    <row r="2233" customFormat="1" x14ac:dyDescent="0.2"/>
    <row r="2234" customFormat="1" x14ac:dyDescent="0.2"/>
    <row r="2235" customFormat="1" x14ac:dyDescent="0.2"/>
    <row r="2236" customFormat="1" x14ac:dyDescent="0.2"/>
    <row r="2237" customFormat="1" x14ac:dyDescent="0.2"/>
    <row r="2238" customFormat="1" x14ac:dyDescent="0.2"/>
    <row r="2239" customFormat="1" x14ac:dyDescent="0.2"/>
    <row r="2240" customFormat="1" x14ac:dyDescent="0.2"/>
    <row r="2241" customFormat="1" x14ac:dyDescent="0.2"/>
    <row r="2242" customFormat="1" x14ac:dyDescent="0.2"/>
    <row r="2243" customFormat="1" x14ac:dyDescent="0.2"/>
    <row r="2244" customFormat="1" x14ac:dyDescent="0.2"/>
    <row r="2245" customFormat="1" x14ac:dyDescent="0.2"/>
    <row r="2246" customFormat="1" x14ac:dyDescent="0.2"/>
    <row r="2247" customFormat="1" x14ac:dyDescent="0.2"/>
    <row r="2248" customFormat="1" x14ac:dyDescent="0.2"/>
    <row r="2249" customFormat="1" x14ac:dyDescent="0.2"/>
    <row r="2250" customFormat="1" x14ac:dyDescent="0.2"/>
    <row r="2251" customFormat="1" x14ac:dyDescent="0.2"/>
    <row r="2252" customFormat="1" x14ac:dyDescent="0.2"/>
    <row r="2253" customFormat="1" x14ac:dyDescent="0.2"/>
    <row r="2254" customFormat="1" x14ac:dyDescent="0.2"/>
    <row r="2255" customFormat="1" x14ac:dyDescent="0.2"/>
    <row r="2256" customFormat="1" x14ac:dyDescent="0.2"/>
    <row r="2257" customFormat="1" x14ac:dyDescent="0.2"/>
    <row r="2258" customFormat="1" x14ac:dyDescent="0.2"/>
    <row r="2259" customFormat="1" x14ac:dyDescent="0.2"/>
    <row r="2260" customFormat="1" x14ac:dyDescent="0.2"/>
    <row r="2261" customFormat="1" x14ac:dyDescent="0.2"/>
    <row r="2262" customFormat="1" x14ac:dyDescent="0.2"/>
    <row r="2263" customFormat="1" x14ac:dyDescent="0.2"/>
    <row r="2264" customFormat="1" x14ac:dyDescent="0.2"/>
    <row r="2265" customFormat="1" x14ac:dyDescent="0.2"/>
    <row r="2266" customFormat="1" x14ac:dyDescent="0.2"/>
    <row r="2267" customFormat="1" x14ac:dyDescent="0.2"/>
    <row r="2268" customFormat="1" x14ac:dyDescent="0.2"/>
    <row r="2269" customFormat="1" x14ac:dyDescent="0.2"/>
    <row r="2270" customFormat="1" x14ac:dyDescent="0.2"/>
    <row r="2271" customFormat="1" x14ac:dyDescent="0.2"/>
    <row r="2272" customFormat="1" x14ac:dyDescent="0.2"/>
    <row r="2273" customFormat="1" x14ac:dyDescent="0.2"/>
    <row r="2274" customFormat="1" x14ac:dyDescent="0.2"/>
    <row r="2275" customFormat="1" x14ac:dyDescent="0.2"/>
    <row r="2276" customFormat="1" x14ac:dyDescent="0.2"/>
    <row r="2277" customFormat="1" x14ac:dyDescent="0.2"/>
    <row r="2278" customFormat="1" x14ac:dyDescent="0.2"/>
    <row r="2279" customFormat="1" x14ac:dyDescent="0.2"/>
    <row r="2280" customFormat="1" x14ac:dyDescent="0.2"/>
    <row r="2281" customFormat="1" x14ac:dyDescent="0.2"/>
    <row r="2282" customFormat="1" x14ac:dyDescent="0.2"/>
    <row r="2283" customFormat="1" x14ac:dyDescent="0.2"/>
    <row r="2284" customFormat="1" x14ac:dyDescent="0.2"/>
    <row r="2285" customFormat="1" x14ac:dyDescent="0.2"/>
    <row r="2286" customFormat="1" x14ac:dyDescent="0.2"/>
    <row r="2287" customFormat="1" x14ac:dyDescent="0.2"/>
    <row r="2288" customFormat="1" x14ac:dyDescent="0.2"/>
    <row r="2289" customFormat="1" x14ac:dyDescent="0.2"/>
    <row r="2290" customFormat="1" x14ac:dyDescent="0.2"/>
    <row r="2291" customFormat="1" x14ac:dyDescent="0.2"/>
    <row r="2292" customFormat="1" x14ac:dyDescent="0.2"/>
    <row r="2293" customFormat="1" x14ac:dyDescent="0.2"/>
    <row r="2294" customFormat="1" x14ac:dyDescent="0.2"/>
    <row r="2295" customFormat="1" x14ac:dyDescent="0.2"/>
    <row r="2296" customFormat="1" x14ac:dyDescent="0.2"/>
    <row r="2297" customFormat="1" x14ac:dyDescent="0.2"/>
    <row r="2298" customFormat="1" x14ac:dyDescent="0.2"/>
    <row r="2299" customFormat="1" x14ac:dyDescent="0.2"/>
    <row r="2300" customFormat="1" x14ac:dyDescent="0.2"/>
    <row r="2301" customFormat="1" x14ac:dyDescent="0.2"/>
    <row r="2302" customFormat="1" x14ac:dyDescent="0.2"/>
    <row r="2303" customFormat="1" x14ac:dyDescent="0.2"/>
    <row r="2304" customFormat="1" x14ac:dyDescent="0.2"/>
    <row r="2305" customFormat="1" x14ac:dyDescent="0.2"/>
    <row r="2306" customFormat="1" x14ac:dyDescent="0.2"/>
    <row r="2307" customFormat="1" x14ac:dyDescent="0.2"/>
    <row r="2308" customFormat="1" x14ac:dyDescent="0.2"/>
    <row r="2309" customFormat="1" x14ac:dyDescent="0.2"/>
    <row r="2310" customFormat="1" x14ac:dyDescent="0.2"/>
    <row r="2311" customFormat="1" x14ac:dyDescent="0.2"/>
    <row r="2312" customFormat="1" x14ac:dyDescent="0.2"/>
    <row r="2313" customFormat="1" x14ac:dyDescent="0.2"/>
    <row r="2314" customFormat="1" x14ac:dyDescent="0.2"/>
    <row r="2315" customFormat="1" x14ac:dyDescent="0.2"/>
    <row r="2316" customFormat="1" x14ac:dyDescent="0.2"/>
    <row r="2317" customFormat="1" x14ac:dyDescent="0.2"/>
    <row r="2318" customFormat="1" x14ac:dyDescent="0.2"/>
    <row r="2319" customFormat="1" x14ac:dyDescent="0.2"/>
    <row r="2320" customFormat="1" x14ac:dyDescent="0.2"/>
    <row r="2321" customFormat="1" x14ac:dyDescent="0.2"/>
    <row r="2322" customFormat="1" x14ac:dyDescent="0.2"/>
    <row r="2323" customFormat="1" x14ac:dyDescent="0.2"/>
    <row r="2324" customFormat="1" x14ac:dyDescent="0.2"/>
    <row r="2325" customFormat="1" x14ac:dyDescent="0.2"/>
    <row r="2326" customFormat="1" x14ac:dyDescent="0.2"/>
    <row r="2327" customFormat="1" x14ac:dyDescent="0.2"/>
    <row r="2328" customFormat="1" x14ac:dyDescent="0.2"/>
    <row r="2329" customFormat="1" x14ac:dyDescent="0.2"/>
    <row r="2330" customFormat="1" x14ac:dyDescent="0.2"/>
    <row r="2331" customFormat="1" x14ac:dyDescent="0.2"/>
    <row r="2332" customFormat="1" x14ac:dyDescent="0.2"/>
    <row r="2333" customFormat="1" x14ac:dyDescent="0.2"/>
    <row r="2334" customFormat="1" x14ac:dyDescent="0.2"/>
    <row r="2335" customFormat="1" x14ac:dyDescent="0.2"/>
    <row r="2336" customFormat="1" x14ac:dyDescent="0.2"/>
    <row r="2337" customFormat="1" x14ac:dyDescent="0.2"/>
    <row r="2338" customFormat="1" x14ac:dyDescent="0.2"/>
    <row r="2339" customFormat="1" x14ac:dyDescent="0.2"/>
    <row r="2340" customFormat="1" x14ac:dyDescent="0.2"/>
    <row r="2341" customFormat="1" x14ac:dyDescent="0.2"/>
    <row r="2342" customFormat="1" x14ac:dyDescent="0.2"/>
    <row r="2343" customFormat="1" x14ac:dyDescent="0.2"/>
    <row r="2344" customFormat="1" x14ac:dyDescent="0.2"/>
    <row r="2345" customFormat="1" x14ac:dyDescent="0.2"/>
    <row r="2346" customFormat="1" x14ac:dyDescent="0.2"/>
    <row r="2347" customFormat="1" x14ac:dyDescent="0.2"/>
    <row r="2348" customFormat="1" x14ac:dyDescent="0.2"/>
    <row r="2349" customFormat="1" x14ac:dyDescent="0.2"/>
    <row r="2350" customFormat="1" x14ac:dyDescent="0.2"/>
    <row r="2351" customFormat="1" x14ac:dyDescent="0.2"/>
    <row r="2352" customFormat="1" x14ac:dyDescent="0.2"/>
    <row r="2353" customFormat="1" x14ac:dyDescent="0.2"/>
    <row r="2354" customFormat="1" x14ac:dyDescent="0.2"/>
    <row r="2355" customFormat="1" x14ac:dyDescent="0.2"/>
    <row r="2356" customFormat="1" x14ac:dyDescent="0.2"/>
    <row r="2357" customFormat="1" x14ac:dyDescent="0.2"/>
    <row r="2358" customFormat="1" x14ac:dyDescent="0.2"/>
    <row r="2359" customFormat="1" x14ac:dyDescent="0.2"/>
    <row r="2360" customFormat="1" x14ac:dyDescent="0.2"/>
    <row r="2361" customFormat="1" x14ac:dyDescent="0.2"/>
    <row r="2362" customFormat="1" x14ac:dyDescent="0.2"/>
    <row r="2363" customFormat="1" x14ac:dyDescent="0.2"/>
    <row r="2364" customFormat="1" x14ac:dyDescent="0.2"/>
    <row r="2365" customFormat="1" x14ac:dyDescent="0.2"/>
    <row r="2366" customFormat="1" x14ac:dyDescent="0.2"/>
    <row r="2367" customFormat="1" x14ac:dyDescent="0.2"/>
    <row r="2368" customFormat="1" x14ac:dyDescent="0.2"/>
    <row r="2369" customFormat="1" x14ac:dyDescent="0.2"/>
    <row r="2370" customFormat="1" x14ac:dyDescent="0.2"/>
    <row r="2371" customFormat="1" x14ac:dyDescent="0.2"/>
    <row r="2372" customFormat="1" x14ac:dyDescent="0.2"/>
    <row r="2373" customFormat="1" x14ac:dyDescent="0.2"/>
    <row r="2374" customFormat="1" x14ac:dyDescent="0.2"/>
    <row r="2375" customFormat="1" x14ac:dyDescent="0.2"/>
    <row r="2376" customFormat="1" x14ac:dyDescent="0.2"/>
    <row r="2377" customFormat="1" x14ac:dyDescent="0.2"/>
    <row r="2378" customFormat="1" x14ac:dyDescent="0.2"/>
    <row r="2379" customFormat="1" x14ac:dyDescent="0.2"/>
    <row r="2380" customFormat="1" x14ac:dyDescent="0.2"/>
    <row r="2381" customFormat="1" x14ac:dyDescent="0.2"/>
    <row r="2382" customFormat="1" x14ac:dyDescent="0.2"/>
    <row r="2383" customFormat="1" x14ac:dyDescent="0.2"/>
    <row r="2384" customFormat="1" x14ac:dyDescent="0.2"/>
    <row r="2385" customFormat="1" x14ac:dyDescent="0.2"/>
    <row r="2386" customFormat="1" x14ac:dyDescent="0.2"/>
    <row r="2387" customFormat="1" x14ac:dyDescent="0.2"/>
    <row r="2388" customFormat="1" x14ac:dyDescent="0.2"/>
    <row r="2389" customFormat="1" x14ac:dyDescent="0.2"/>
    <row r="2390" customFormat="1" x14ac:dyDescent="0.2"/>
    <row r="2391" customFormat="1" x14ac:dyDescent="0.2"/>
    <row r="2392" customFormat="1" x14ac:dyDescent="0.2"/>
    <row r="2393" customFormat="1" x14ac:dyDescent="0.2"/>
    <row r="2394" customFormat="1" x14ac:dyDescent="0.2"/>
    <row r="2395" customFormat="1" x14ac:dyDescent="0.2"/>
    <row r="2396" customFormat="1" x14ac:dyDescent="0.2"/>
    <row r="2397" customFormat="1" x14ac:dyDescent="0.2"/>
    <row r="2398" customFormat="1" x14ac:dyDescent="0.2"/>
    <row r="2399" customFormat="1" x14ac:dyDescent="0.2"/>
    <row r="2400" customFormat="1" x14ac:dyDescent="0.2"/>
    <row r="2401" customFormat="1" x14ac:dyDescent="0.2"/>
    <row r="2402" customFormat="1" x14ac:dyDescent="0.2"/>
    <row r="2403" customFormat="1" x14ac:dyDescent="0.2"/>
    <row r="2404" customFormat="1" x14ac:dyDescent="0.2"/>
    <row r="2405" customFormat="1" x14ac:dyDescent="0.2"/>
    <row r="2406" customFormat="1" x14ac:dyDescent="0.2"/>
    <row r="2407" customFormat="1" x14ac:dyDescent="0.2"/>
    <row r="2408" customFormat="1" x14ac:dyDescent="0.2"/>
    <row r="2409" customFormat="1" x14ac:dyDescent="0.2"/>
    <row r="2410" customFormat="1" x14ac:dyDescent="0.2"/>
    <row r="2411" customFormat="1" x14ac:dyDescent="0.2"/>
    <row r="2412" customFormat="1" x14ac:dyDescent="0.2"/>
    <row r="2413" customFormat="1" x14ac:dyDescent="0.2"/>
    <row r="2414" customFormat="1" x14ac:dyDescent="0.2"/>
    <row r="2415" customFormat="1" x14ac:dyDescent="0.2"/>
    <row r="2416" customFormat="1" x14ac:dyDescent="0.2"/>
    <row r="2417" customFormat="1" x14ac:dyDescent="0.2"/>
    <row r="2418" customFormat="1" x14ac:dyDescent="0.2"/>
    <row r="2419" customFormat="1" x14ac:dyDescent="0.2"/>
    <row r="2420" customFormat="1" x14ac:dyDescent="0.2"/>
    <row r="2421" customFormat="1" x14ac:dyDescent="0.2"/>
    <row r="2422" customFormat="1" x14ac:dyDescent="0.2"/>
    <row r="2423" customFormat="1" x14ac:dyDescent="0.2"/>
    <row r="2424" customFormat="1" x14ac:dyDescent="0.2"/>
    <row r="2425" customFormat="1" x14ac:dyDescent="0.2"/>
    <row r="2426" customFormat="1" x14ac:dyDescent="0.2"/>
    <row r="2427" customFormat="1" x14ac:dyDescent="0.2"/>
    <row r="2428" customFormat="1" x14ac:dyDescent="0.2"/>
    <row r="2429" customFormat="1" x14ac:dyDescent="0.2"/>
    <row r="2430" customFormat="1" x14ac:dyDescent="0.2"/>
    <row r="2431" customFormat="1" x14ac:dyDescent="0.2"/>
    <row r="2432" customFormat="1" x14ac:dyDescent="0.2"/>
    <row r="2433" customFormat="1" x14ac:dyDescent="0.2"/>
    <row r="2434" customFormat="1" x14ac:dyDescent="0.2"/>
    <row r="2435" customFormat="1" x14ac:dyDescent="0.2"/>
    <row r="2436" customFormat="1" x14ac:dyDescent="0.2"/>
    <row r="2437" customFormat="1" x14ac:dyDescent="0.2"/>
    <row r="2438" customFormat="1" x14ac:dyDescent="0.2"/>
    <row r="2439" customFormat="1" x14ac:dyDescent="0.2"/>
    <row r="2440" customFormat="1" x14ac:dyDescent="0.2"/>
    <row r="2441" customFormat="1" x14ac:dyDescent="0.2"/>
    <row r="2442" customFormat="1" x14ac:dyDescent="0.2"/>
    <row r="2443" customFormat="1" x14ac:dyDescent="0.2"/>
    <row r="2444" customFormat="1" x14ac:dyDescent="0.2"/>
    <row r="2445" customFormat="1" x14ac:dyDescent="0.2"/>
    <row r="2446" customFormat="1" x14ac:dyDescent="0.2"/>
    <row r="2447" customFormat="1" x14ac:dyDescent="0.2"/>
    <row r="2448" customFormat="1" x14ac:dyDescent="0.2"/>
    <row r="2449" customFormat="1" x14ac:dyDescent="0.2"/>
    <row r="2450" customFormat="1" x14ac:dyDescent="0.2"/>
    <row r="2451" customFormat="1" x14ac:dyDescent="0.2"/>
    <row r="2452" customFormat="1" x14ac:dyDescent="0.2"/>
    <row r="2453" customFormat="1" x14ac:dyDescent="0.2"/>
    <row r="2454" customFormat="1" x14ac:dyDescent="0.2"/>
    <row r="2455" customFormat="1" x14ac:dyDescent="0.2"/>
    <row r="2456" customFormat="1" x14ac:dyDescent="0.2"/>
    <row r="2457" customFormat="1" x14ac:dyDescent="0.2"/>
    <row r="2458" customFormat="1" x14ac:dyDescent="0.2"/>
    <row r="2459" customFormat="1" x14ac:dyDescent="0.2"/>
    <row r="2460" customFormat="1" x14ac:dyDescent="0.2"/>
    <row r="2461" customFormat="1" x14ac:dyDescent="0.2"/>
    <row r="2462" customFormat="1" x14ac:dyDescent="0.2"/>
    <row r="2463" customFormat="1" x14ac:dyDescent="0.2"/>
    <row r="2464" customFormat="1" x14ac:dyDescent="0.2"/>
    <row r="2465" customFormat="1" x14ac:dyDescent="0.2"/>
    <row r="2466" customFormat="1" x14ac:dyDescent="0.2"/>
    <row r="2467" customFormat="1" x14ac:dyDescent="0.2"/>
    <row r="2468" customFormat="1" x14ac:dyDescent="0.2"/>
    <row r="2469" customFormat="1" x14ac:dyDescent="0.2"/>
    <row r="2470" customFormat="1" x14ac:dyDescent="0.2"/>
    <row r="2471" customFormat="1" x14ac:dyDescent="0.2"/>
    <row r="2472" customFormat="1" x14ac:dyDescent="0.2"/>
    <row r="2473" customFormat="1" x14ac:dyDescent="0.2"/>
    <row r="2474" customFormat="1" x14ac:dyDescent="0.2"/>
    <row r="2475" customFormat="1" x14ac:dyDescent="0.2"/>
    <row r="2476" customFormat="1" x14ac:dyDescent="0.2"/>
    <row r="2477" customFormat="1" x14ac:dyDescent="0.2"/>
    <row r="2478" customFormat="1" x14ac:dyDescent="0.2"/>
    <row r="2479" customFormat="1" x14ac:dyDescent="0.2"/>
    <row r="2480" customFormat="1" x14ac:dyDescent="0.2"/>
    <row r="2481" customFormat="1" x14ac:dyDescent="0.2"/>
    <row r="2482" customFormat="1" x14ac:dyDescent="0.2"/>
    <row r="2483" customFormat="1" x14ac:dyDescent="0.2"/>
    <row r="2484" customFormat="1" x14ac:dyDescent="0.2"/>
    <row r="2485" customFormat="1" x14ac:dyDescent="0.2"/>
    <row r="2486" customFormat="1" x14ac:dyDescent="0.2"/>
    <row r="2487" customFormat="1" x14ac:dyDescent="0.2"/>
    <row r="2488" customFormat="1" x14ac:dyDescent="0.2"/>
    <row r="2489" customFormat="1" x14ac:dyDescent="0.2"/>
    <row r="2490" customFormat="1" x14ac:dyDescent="0.2"/>
    <row r="2491" customFormat="1" x14ac:dyDescent="0.2"/>
    <row r="2492" customFormat="1" x14ac:dyDescent="0.2"/>
    <row r="2493" customFormat="1" x14ac:dyDescent="0.2"/>
    <row r="2494" customFormat="1" x14ac:dyDescent="0.2"/>
    <row r="2495" customFormat="1" x14ac:dyDescent="0.2"/>
    <row r="2496" customFormat="1" x14ac:dyDescent="0.2"/>
    <row r="2497" customFormat="1" x14ac:dyDescent="0.2"/>
    <row r="2498" customFormat="1" x14ac:dyDescent="0.2"/>
    <row r="2499" customFormat="1" x14ac:dyDescent="0.2"/>
    <row r="2500" customFormat="1" x14ac:dyDescent="0.2"/>
    <row r="2501" customFormat="1" x14ac:dyDescent="0.2"/>
    <row r="2502" customFormat="1" x14ac:dyDescent="0.2"/>
    <row r="2503" customFormat="1" x14ac:dyDescent="0.2"/>
    <row r="2504" customFormat="1" x14ac:dyDescent="0.2"/>
    <row r="2505" customFormat="1" x14ac:dyDescent="0.2"/>
    <row r="2506" customFormat="1" x14ac:dyDescent="0.2"/>
    <row r="2507" customFormat="1" x14ac:dyDescent="0.2"/>
    <row r="2508" customFormat="1" x14ac:dyDescent="0.2"/>
    <row r="2509" customFormat="1" x14ac:dyDescent="0.2"/>
    <row r="2510" customFormat="1" x14ac:dyDescent="0.2"/>
    <row r="2511" customFormat="1" x14ac:dyDescent="0.2"/>
    <row r="2512" customFormat="1" x14ac:dyDescent="0.2"/>
    <row r="2513" customFormat="1" x14ac:dyDescent="0.2"/>
    <row r="2514" customFormat="1" x14ac:dyDescent="0.2"/>
    <row r="2515" customFormat="1" x14ac:dyDescent="0.2"/>
    <row r="2516" customFormat="1" x14ac:dyDescent="0.2"/>
    <row r="2517" customFormat="1" x14ac:dyDescent="0.2"/>
    <row r="2518" customFormat="1" x14ac:dyDescent="0.2"/>
    <row r="2519" customFormat="1" x14ac:dyDescent="0.2"/>
    <row r="2520" customFormat="1" x14ac:dyDescent="0.2"/>
    <row r="2521" customFormat="1" x14ac:dyDescent="0.2"/>
    <row r="2522" customFormat="1" x14ac:dyDescent="0.2"/>
    <row r="2523" customFormat="1" x14ac:dyDescent="0.2"/>
    <row r="2524" customFormat="1" x14ac:dyDescent="0.2"/>
    <row r="2525" customFormat="1" x14ac:dyDescent="0.2"/>
    <row r="2526" customFormat="1" x14ac:dyDescent="0.2"/>
    <row r="2527" customFormat="1" x14ac:dyDescent="0.2"/>
    <row r="2528" customFormat="1" x14ac:dyDescent="0.2"/>
    <row r="2529" customFormat="1" x14ac:dyDescent="0.2"/>
    <row r="2530" customFormat="1" x14ac:dyDescent="0.2"/>
    <row r="2531" customFormat="1" x14ac:dyDescent="0.2"/>
    <row r="2532" customFormat="1" x14ac:dyDescent="0.2"/>
    <row r="2533" customFormat="1" x14ac:dyDescent="0.2"/>
    <row r="2534" customFormat="1" x14ac:dyDescent="0.2"/>
    <row r="2535" customFormat="1" x14ac:dyDescent="0.2"/>
    <row r="2536" customFormat="1" x14ac:dyDescent="0.2"/>
    <row r="2537" customFormat="1" x14ac:dyDescent="0.2"/>
    <row r="2538" customFormat="1" x14ac:dyDescent="0.2"/>
    <row r="2539" customFormat="1" x14ac:dyDescent="0.2"/>
    <row r="2540" customFormat="1" x14ac:dyDescent="0.2"/>
    <row r="2541" customFormat="1" x14ac:dyDescent="0.2"/>
    <row r="2542" customFormat="1" x14ac:dyDescent="0.2"/>
    <row r="2543" customFormat="1" x14ac:dyDescent="0.2"/>
    <row r="2544" customFormat="1" x14ac:dyDescent="0.2"/>
    <row r="2545" customFormat="1" x14ac:dyDescent="0.2"/>
    <row r="2546" customFormat="1" x14ac:dyDescent="0.2"/>
    <row r="2547" customFormat="1" x14ac:dyDescent="0.2"/>
    <row r="2548" customFormat="1" x14ac:dyDescent="0.2"/>
    <row r="2549" customFormat="1" x14ac:dyDescent="0.2"/>
    <row r="2550" customFormat="1" x14ac:dyDescent="0.2"/>
    <row r="2551" customFormat="1" x14ac:dyDescent="0.2"/>
    <row r="2552" customFormat="1" x14ac:dyDescent="0.2"/>
    <row r="2553" customFormat="1" x14ac:dyDescent="0.2"/>
    <row r="2554" customFormat="1" x14ac:dyDescent="0.2"/>
    <row r="2555" customFormat="1" x14ac:dyDescent="0.2"/>
    <row r="2556" customFormat="1" x14ac:dyDescent="0.2"/>
    <row r="2557" customFormat="1" x14ac:dyDescent="0.2"/>
    <row r="2558" customFormat="1" x14ac:dyDescent="0.2"/>
    <row r="2559" customFormat="1" x14ac:dyDescent="0.2"/>
    <row r="2560" customFormat="1" x14ac:dyDescent="0.2"/>
    <row r="2561" customFormat="1" x14ac:dyDescent="0.2"/>
    <row r="2562" customFormat="1" x14ac:dyDescent="0.2"/>
    <row r="2563" customFormat="1" x14ac:dyDescent="0.2"/>
    <row r="2564" customFormat="1" x14ac:dyDescent="0.2"/>
    <row r="2565" customFormat="1" x14ac:dyDescent="0.2"/>
    <row r="2566" customFormat="1" x14ac:dyDescent="0.2"/>
    <row r="2567" customFormat="1" x14ac:dyDescent="0.2"/>
    <row r="2568" customFormat="1" x14ac:dyDescent="0.2"/>
    <row r="2569" customFormat="1" x14ac:dyDescent="0.2"/>
    <row r="2570" customFormat="1" x14ac:dyDescent="0.2"/>
    <row r="2571" customFormat="1" x14ac:dyDescent="0.2"/>
    <row r="2572" customFormat="1" x14ac:dyDescent="0.2"/>
    <row r="2573" customFormat="1" x14ac:dyDescent="0.2"/>
    <row r="2574" customFormat="1" x14ac:dyDescent="0.2"/>
    <row r="2575" customFormat="1" x14ac:dyDescent="0.2"/>
    <row r="2576" customFormat="1" x14ac:dyDescent="0.2"/>
    <row r="2577" customFormat="1" x14ac:dyDescent="0.2"/>
    <row r="2578" customFormat="1" x14ac:dyDescent="0.2"/>
    <row r="2579" customFormat="1" x14ac:dyDescent="0.2"/>
    <row r="2580" customFormat="1" x14ac:dyDescent="0.2"/>
    <row r="2581" customFormat="1" x14ac:dyDescent="0.2"/>
    <row r="2582" customFormat="1" x14ac:dyDescent="0.2"/>
    <row r="2583" customFormat="1" x14ac:dyDescent="0.2"/>
    <row r="2584" customFormat="1" x14ac:dyDescent="0.2"/>
    <row r="2585" customFormat="1" x14ac:dyDescent="0.2"/>
    <row r="2586" customFormat="1" x14ac:dyDescent="0.2"/>
    <row r="2587" customFormat="1" x14ac:dyDescent="0.2"/>
    <row r="2588" customFormat="1" x14ac:dyDescent="0.2"/>
    <row r="2589" customFormat="1" x14ac:dyDescent="0.2"/>
    <row r="2590" customFormat="1" x14ac:dyDescent="0.2"/>
    <row r="2591" customFormat="1" x14ac:dyDescent="0.2"/>
    <row r="2592" customFormat="1" x14ac:dyDescent="0.2"/>
    <row r="2593" customFormat="1" x14ac:dyDescent="0.2"/>
    <row r="2594" customFormat="1" x14ac:dyDescent="0.2"/>
    <row r="2595" customFormat="1" x14ac:dyDescent="0.2"/>
    <row r="2596" customFormat="1" x14ac:dyDescent="0.2"/>
    <row r="2597" customFormat="1" x14ac:dyDescent="0.2"/>
    <row r="2598" customFormat="1" x14ac:dyDescent="0.2"/>
    <row r="2599" customFormat="1" x14ac:dyDescent="0.2"/>
    <row r="2600" customFormat="1" x14ac:dyDescent="0.2"/>
    <row r="2601" customFormat="1" x14ac:dyDescent="0.2"/>
    <row r="2602" customFormat="1" x14ac:dyDescent="0.2"/>
    <row r="2603" customFormat="1" x14ac:dyDescent="0.2"/>
    <row r="2604" customFormat="1" x14ac:dyDescent="0.2"/>
    <row r="2605" customFormat="1" x14ac:dyDescent="0.2"/>
    <row r="2606" customFormat="1" x14ac:dyDescent="0.2"/>
    <row r="2607" customFormat="1" x14ac:dyDescent="0.2"/>
    <row r="2608" customFormat="1" x14ac:dyDescent="0.2"/>
    <row r="2609" customFormat="1" x14ac:dyDescent="0.2"/>
    <row r="2610" customFormat="1" x14ac:dyDescent="0.2"/>
    <row r="2611" customFormat="1" x14ac:dyDescent="0.2"/>
    <row r="2612" customFormat="1" x14ac:dyDescent="0.2"/>
    <row r="2613" customFormat="1" x14ac:dyDescent="0.2"/>
    <row r="2614" customFormat="1" x14ac:dyDescent="0.2"/>
    <row r="2615" customFormat="1" x14ac:dyDescent="0.2"/>
    <row r="2616" customFormat="1" x14ac:dyDescent="0.2"/>
    <row r="2617" customFormat="1" x14ac:dyDescent="0.2"/>
    <row r="2618" customFormat="1" x14ac:dyDescent="0.2"/>
    <row r="2619" customFormat="1" x14ac:dyDescent="0.2"/>
    <row r="2620" customFormat="1" x14ac:dyDescent="0.2"/>
    <row r="2621" customFormat="1" x14ac:dyDescent="0.2"/>
    <row r="2622" customFormat="1" x14ac:dyDescent="0.2"/>
    <row r="2623" customFormat="1" x14ac:dyDescent="0.2"/>
    <row r="2624" customFormat="1" x14ac:dyDescent="0.2"/>
    <row r="2625" customFormat="1" x14ac:dyDescent="0.2"/>
    <row r="2626" customFormat="1" x14ac:dyDescent="0.2"/>
    <row r="2627" customFormat="1" x14ac:dyDescent="0.2"/>
    <row r="2628" customFormat="1" x14ac:dyDescent="0.2"/>
    <row r="2629" customFormat="1" x14ac:dyDescent="0.2"/>
    <row r="2630" customFormat="1" x14ac:dyDescent="0.2"/>
    <row r="2631" customFormat="1" x14ac:dyDescent="0.2"/>
    <row r="2632" customFormat="1" x14ac:dyDescent="0.2"/>
    <row r="2633" customFormat="1" x14ac:dyDescent="0.2"/>
    <row r="2634" customFormat="1" x14ac:dyDescent="0.2"/>
    <row r="2635" customFormat="1" x14ac:dyDescent="0.2"/>
    <row r="2636" customFormat="1" x14ac:dyDescent="0.2"/>
    <row r="2637" customFormat="1" x14ac:dyDescent="0.2"/>
    <row r="2638" customFormat="1" x14ac:dyDescent="0.2"/>
    <row r="2639" customFormat="1" x14ac:dyDescent="0.2"/>
    <row r="2640" customFormat="1" x14ac:dyDescent="0.2"/>
    <row r="2641" customFormat="1" x14ac:dyDescent="0.2"/>
    <row r="2642" customFormat="1" x14ac:dyDescent="0.2"/>
    <row r="2643" customFormat="1" x14ac:dyDescent="0.2"/>
    <row r="2644" customFormat="1" x14ac:dyDescent="0.2"/>
    <row r="2645" customFormat="1" x14ac:dyDescent="0.2"/>
    <row r="2646" customFormat="1" x14ac:dyDescent="0.2"/>
    <row r="2647" customFormat="1" x14ac:dyDescent="0.2"/>
    <row r="2648" customFormat="1" x14ac:dyDescent="0.2"/>
    <row r="2649" customFormat="1" x14ac:dyDescent="0.2"/>
    <row r="2650" customFormat="1" x14ac:dyDescent="0.2"/>
    <row r="2651" customFormat="1" x14ac:dyDescent="0.2"/>
    <row r="2652" customFormat="1" x14ac:dyDescent="0.2"/>
    <row r="2653" customFormat="1" x14ac:dyDescent="0.2"/>
    <row r="2654" customFormat="1" x14ac:dyDescent="0.2"/>
    <row r="2655" customFormat="1" x14ac:dyDescent="0.2"/>
    <row r="2656" customFormat="1" x14ac:dyDescent="0.2"/>
    <row r="2657" customFormat="1" x14ac:dyDescent="0.2"/>
    <row r="2658" customFormat="1" x14ac:dyDescent="0.2"/>
    <row r="2659" customFormat="1" x14ac:dyDescent="0.2"/>
    <row r="2660" customFormat="1" x14ac:dyDescent="0.2"/>
    <row r="2661" customFormat="1" x14ac:dyDescent="0.2"/>
    <row r="2662" customFormat="1" x14ac:dyDescent="0.2"/>
    <row r="2663" customFormat="1" x14ac:dyDescent="0.2"/>
    <row r="2664" customFormat="1" x14ac:dyDescent="0.2"/>
    <row r="2665" customFormat="1" x14ac:dyDescent="0.2"/>
    <row r="2666" customFormat="1" x14ac:dyDescent="0.2"/>
    <row r="2667" customFormat="1" x14ac:dyDescent="0.2"/>
    <row r="2668" customFormat="1" x14ac:dyDescent="0.2"/>
    <row r="2669" customFormat="1" x14ac:dyDescent="0.2"/>
    <row r="2670" customFormat="1" x14ac:dyDescent="0.2"/>
    <row r="2671" customFormat="1" x14ac:dyDescent="0.2"/>
    <row r="2672" customFormat="1" x14ac:dyDescent="0.2"/>
    <row r="2673" customFormat="1" x14ac:dyDescent="0.2"/>
    <row r="2674" customFormat="1" x14ac:dyDescent="0.2"/>
    <row r="2675" customFormat="1" x14ac:dyDescent="0.2"/>
    <row r="2676" customFormat="1" x14ac:dyDescent="0.2"/>
    <row r="2677" customFormat="1" x14ac:dyDescent="0.2"/>
    <row r="2678" customFormat="1" x14ac:dyDescent="0.2"/>
    <row r="2679" customFormat="1" x14ac:dyDescent="0.2"/>
    <row r="2680" customFormat="1" x14ac:dyDescent="0.2"/>
    <row r="2681" customFormat="1" x14ac:dyDescent="0.2"/>
    <row r="2682" customFormat="1" x14ac:dyDescent="0.2"/>
    <row r="2683" customFormat="1" x14ac:dyDescent="0.2"/>
    <row r="2684" customFormat="1" x14ac:dyDescent="0.2"/>
    <row r="2685" customFormat="1" x14ac:dyDescent="0.2"/>
    <row r="2686" customFormat="1" x14ac:dyDescent="0.2"/>
    <row r="2687" customFormat="1" x14ac:dyDescent="0.2"/>
    <row r="2688" customFormat="1" x14ac:dyDescent="0.2"/>
    <row r="2689" customFormat="1" x14ac:dyDescent="0.2"/>
    <row r="2690" customFormat="1" x14ac:dyDescent="0.2"/>
    <row r="2691" customFormat="1" x14ac:dyDescent="0.2"/>
    <row r="2692" customFormat="1" x14ac:dyDescent="0.2"/>
    <row r="2693" customFormat="1" x14ac:dyDescent="0.2"/>
    <row r="2694" customFormat="1" x14ac:dyDescent="0.2"/>
    <row r="2695" customFormat="1" x14ac:dyDescent="0.2"/>
    <row r="2696" customFormat="1" x14ac:dyDescent="0.2"/>
    <row r="2697" customFormat="1" x14ac:dyDescent="0.2"/>
    <row r="2698" customFormat="1" x14ac:dyDescent="0.2"/>
    <row r="2699" customFormat="1" x14ac:dyDescent="0.2"/>
    <row r="2700" customFormat="1" x14ac:dyDescent="0.2"/>
    <row r="2701" customFormat="1" x14ac:dyDescent="0.2"/>
    <row r="2702" customFormat="1" x14ac:dyDescent="0.2"/>
    <row r="2703" customFormat="1" x14ac:dyDescent="0.2"/>
    <row r="2704" customFormat="1" x14ac:dyDescent="0.2"/>
    <row r="2705" customFormat="1" x14ac:dyDescent="0.2"/>
    <row r="2706" customFormat="1" x14ac:dyDescent="0.2"/>
    <row r="2707" customFormat="1" x14ac:dyDescent="0.2"/>
    <row r="2708" customFormat="1" x14ac:dyDescent="0.2"/>
    <row r="2709" customFormat="1" x14ac:dyDescent="0.2"/>
    <row r="2710" customFormat="1" x14ac:dyDescent="0.2"/>
    <row r="2711" customFormat="1" x14ac:dyDescent="0.2"/>
    <row r="2712" customFormat="1" x14ac:dyDescent="0.2"/>
    <row r="2713" customFormat="1" x14ac:dyDescent="0.2"/>
    <row r="2714" customFormat="1" x14ac:dyDescent="0.2"/>
    <row r="2715" customFormat="1" x14ac:dyDescent="0.2"/>
    <row r="2716" customFormat="1" x14ac:dyDescent="0.2"/>
    <row r="2717" customFormat="1" x14ac:dyDescent="0.2"/>
    <row r="2718" customFormat="1" x14ac:dyDescent="0.2"/>
    <row r="2719" customFormat="1" x14ac:dyDescent="0.2"/>
    <row r="2720" customFormat="1" x14ac:dyDescent="0.2"/>
    <row r="2721" customFormat="1" x14ac:dyDescent="0.2"/>
    <row r="2722" customFormat="1" x14ac:dyDescent="0.2"/>
    <row r="2723" customFormat="1" x14ac:dyDescent="0.2"/>
    <row r="2724" customFormat="1" x14ac:dyDescent="0.2"/>
    <row r="2725" customFormat="1" x14ac:dyDescent="0.2"/>
    <row r="2726" customFormat="1" x14ac:dyDescent="0.2"/>
    <row r="2727" customFormat="1" x14ac:dyDescent="0.2"/>
    <row r="2728" customFormat="1" x14ac:dyDescent="0.2"/>
    <row r="2729" customFormat="1" x14ac:dyDescent="0.2"/>
    <row r="2730" customFormat="1" x14ac:dyDescent="0.2"/>
    <row r="2731" customFormat="1" x14ac:dyDescent="0.2"/>
    <row r="2732" customFormat="1" x14ac:dyDescent="0.2"/>
    <row r="2733" customFormat="1" x14ac:dyDescent="0.2"/>
    <row r="2734" customFormat="1" x14ac:dyDescent="0.2"/>
    <row r="2735" customFormat="1" x14ac:dyDescent="0.2"/>
    <row r="2736" customFormat="1" x14ac:dyDescent="0.2"/>
    <row r="2737" customFormat="1" x14ac:dyDescent="0.2"/>
    <row r="2738" customFormat="1" x14ac:dyDescent="0.2"/>
    <row r="2739" customFormat="1" x14ac:dyDescent="0.2"/>
    <row r="2740" customFormat="1" x14ac:dyDescent="0.2"/>
    <row r="2741" customFormat="1" x14ac:dyDescent="0.2"/>
    <row r="2742" customFormat="1" x14ac:dyDescent="0.2"/>
    <row r="2743" customFormat="1" x14ac:dyDescent="0.2"/>
    <row r="2744" customFormat="1" x14ac:dyDescent="0.2"/>
    <row r="2745" customFormat="1" x14ac:dyDescent="0.2"/>
    <row r="2746" customFormat="1" x14ac:dyDescent="0.2"/>
    <row r="2747" customFormat="1" x14ac:dyDescent="0.2"/>
    <row r="2748" customFormat="1" x14ac:dyDescent="0.2"/>
    <row r="2749" customFormat="1" x14ac:dyDescent="0.2"/>
    <row r="2750" customFormat="1" x14ac:dyDescent="0.2"/>
    <row r="2751" customFormat="1" x14ac:dyDescent="0.2"/>
    <row r="2752" customFormat="1" x14ac:dyDescent="0.2"/>
    <row r="2753" customFormat="1" x14ac:dyDescent="0.2"/>
    <row r="2754" customFormat="1" x14ac:dyDescent="0.2"/>
    <row r="2755" customFormat="1" x14ac:dyDescent="0.2"/>
    <row r="2756" customFormat="1" x14ac:dyDescent="0.2"/>
    <row r="2757" customFormat="1" x14ac:dyDescent="0.2"/>
    <row r="2758" customFormat="1" x14ac:dyDescent="0.2"/>
    <row r="2759" customFormat="1" x14ac:dyDescent="0.2"/>
    <row r="2760" customFormat="1" x14ac:dyDescent="0.2"/>
    <row r="2761" customFormat="1" x14ac:dyDescent="0.2"/>
    <row r="2762" customFormat="1" x14ac:dyDescent="0.2"/>
    <row r="2763" customFormat="1" x14ac:dyDescent="0.2"/>
    <row r="2764" customFormat="1" x14ac:dyDescent="0.2"/>
    <row r="2765" customFormat="1" x14ac:dyDescent="0.2"/>
    <row r="2766" customFormat="1" x14ac:dyDescent="0.2"/>
    <row r="2767" customFormat="1" x14ac:dyDescent="0.2"/>
    <row r="2768" customFormat="1" x14ac:dyDescent="0.2"/>
    <row r="2769" customFormat="1" x14ac:dyDescent="0.2"/>
    <row r="2770" customFormat="1" x14ac:dyDescent="0.2"/>
    <row r="2771" customFormat="1" x14ac:dyDescent="0.2"/>
    <row r="2772" customFormat="1" x14ac:dyDescent="0.2"/>
    <row r="2773" customFormat="1" x14ac:dyDescent="0.2"/>
    <row r="2774" customFormat="1" x14ac:dyDescent="0.2"/>
    <row r="2775" customFormat="1" x14ac:dyDescent="0.2"/>
    <row r="2776" customFormat="1" x14ac:dyDescent="0.2"/>
    <row r="2777" customFormat="1" x14ac:dyDescent="0.2"/>
    <row r="2778" customFormat="1" x14ac:dyDescent="0.2"/>
    <row r="2779" customFormat="1" x14ac:dyDescent="0.2"/>
    <row r="2780" customFormat="1" x14ac:dyDescent="0.2"/>
    <row r="2781" customFormat="1" x14ac:dyDescent="0.2"/>
    <row r="2782" customFormat="1" x14ac:dyDescent="0.2"/>
    <row r="2783" customFormat="1" x14ac:dyDescent="0.2"/>
    <row r="2784" customFormat="1" x14ac:dyDescent="0.2"/>
    <row r="2785" customFormat="1" x14ac:dyDescent="0.2"/>
    <row r="2786" customFormat="1" x14ac:dyDescent="0.2"/>
    <row r="2787" customFormat="1" x14ac:dyDescent="0.2"/>
    <row r="2788" customFormat="1" x14ac:dyDescent="0.2"/>
    <row r="2789" customFormat="1" x14ac:dyDescent="0.2"/>
    <row r="2790" customFormat="1" x14ac:dyDescent="0.2"/>
    <row r="2791" customFormat="1" x14ac:dyDescent="0.2"/>
    <row r="2792" customFormat="1" x14ac:dyDescent="0.2"/>
    <row r="2793" customFormat="1" x14ac:dyDescent="0.2"/>
    <row r="2794" customFormat="1" x14ac:dyDescent="0.2"/>
    <row r="2795" customFormat="1" x14ac:dyDescent="0.2"/>
    <row r="2796" customFormat="1" x14ac:dyDescent="0.2"/>
    <row r="2797" customFormat="1" x14ac:dyDescent="0.2"/>
    <row r="2798" customFormat="1" x14ac:dyDescent="0.2"/>
    <row r="2799" customFormat="1" x14ac:dyDescent="0.2"/>
    <row r="2800" customFormat="1" x14ac:dyDescent="0.2"/>
    <row r="2801" customFormat="1" x14ac:dyDescent="0.2"/>
    <row r="2802" customFormat="1" x14ac:dyDescent="0.2"/>
    <row r="2803" customFormat="1" x14ac:dyDescent="0.2"/>
    <row r="2804" customFormat="1" x14ac:dyDescent="0.2"/>
    <row r="2805" customFormat="1" x14ac:dyDescent="0.2"/>
    <row r="2806" customFormat="1" x14ac:dyDescent="0.2"/>
    <row r="2807" customFormat="1" x14ac:dyDescent="0.2"/>
    <row r="2808" customFormat="1" x14ac:dyDescent="0.2"/>
    <row r="2809" customFormat="1" x14ac:dyDescent="0.2"/>
    <row r="2810" customFormat="1" x14ac:dyDescent="0.2"/>
    <row r="2811" customFormat="1" x14ac:dyDescent="0.2"/>
    <row r="2812" customFormat="1" x14ac:dyDescent="0.2"/>
    <row r="2813" customFormat="1" x14ac:dyDescent="0.2"/>
    <row r="2814" customFormat="1" x14ac:dyDescent="0.2"/>
    <row r="2815" customFormat="1" x14ac:dyDescent="0.2"/>
    <row r="2816" customFormat="1" x14ac:dyDescent="0.2"/>
    <row r="2817" customFormat="1" x14ac:dyDescent="0.2"/>
    <row r="2818" customFormat="1" x14ac:dyDescent="0.2"/>
    <row r="2819" customFormat="1" x14ac:dyDescent="0.2"/>
    <row r="2820" customFormat="1" x14ac:dyDescent="0.2"/>
    <row r="2821" customFormat="1" x14ac:dyDescent="0.2"/>
    <row r="2822" customFormat="1" x14ac:dyDescent="0.2"/>
    <row r="2823" customFormat="1" x14ac:dyDescent="0.2"/>
    <row r="2824" customFormat="1" x14ac:dyDescent="0.2"/>
    <row r="2825" customFormat="1" x14ac:dyDescent="0.2"/>
    <row r="2826" customFormat="1" x14ac:dyDescent="0.2"/>
    <row r="2827" customFormat="1" x14ac:dyDescent="0.2"/>
    <row r="2828" customFormat="1" x14ac:dyDescent="0.2"/>
    <row r="2829" customFormat="1" x14ac:dyDescent="0.2"/>
    <row r="2830" customFormat="1" x14ac:dyDescent="0.2"/>
    <row r="2831" customFormat="1" x14ac:dyDescent="0.2"/>
    <row r="2832" customFormat="1" x14ac:dyDescent="0.2"/>
    <row r="2833" customFormat="1" x14ac:dyDescent="0.2"/>
    <row r="2834" customFormat="1" x14ac:dyDescent="0.2"/>
    <row r="2835" customFormat="1" x14ac:dyDescent="0.2"/>
    <row r="2836" customFormat="1" x14ac:dyDescent="0.2"/>
    <row r="2837" customFormat="1" x14ac:dyDescent="0.2"/>
    <row r="2838" customFormat="1" x14ac:dyDescent="0.2"/>
    <row r="2839" customFormat="1" x14ac:dyDescent="0.2"/>
    <row r="2840" customFormat="1" x14ac:dyDescent="0.2"/>
    <row r="2841" customFormat="1" x14ac:dyDescent="0.2"/>
    <row r="2842" customFormat="1" x14ac:dyDescent="0.2"/>
    <row r="2843" customFormat="1" x14ac:dyDescent="0.2"/>
    <row r="2844" customFormat="1" x14ac:dyDescent="0.2"/>
    <row r="2845" customFormat="1" x14ac:dyDescent="0.2"/>
    <row r="2846" customFormat="1" x14ac:dyDescent="0.2"/>
    <row r="2847" customFormat="1" x14ac:dyDescent="0.2"/>
    <row r="2848" customFormat="1" x14ac:dyDescent="0.2"/>
    <row r="2849" customFormat="1" x14ac:dyDescent="0.2"/>
    <row r="2850" customFormat="1" x14ac:dyDescent="0.2"/>
    <row r="2851" customFormat="1" x14ac:dyDescent="0.2"/>
    <row r="2852" customFormat="1" x14ac:dyDescent="0.2"/>
    <row r="2853" customFormat="1" x14ac:dyDescent="0.2"/>
    <row r="2854" customFormat="1" x14ac:dyDescent="0.2"/>
    <row r="2855" customFormat="1" x14ac:dyDescent="0.2"/>
    <row r="2856" customFormat="1" x14ac:dyDescent="0.2"/>
    <row r="2857" customFormat="1" x14ac:dyDescent="0.2"/>
    <row r="2858" customFormat="1" x14ac:dyDescent="0.2"/>
    <row r="2859" customFormat="1" x14ac:dyDescent="0.2"/>
    <row r="2860" customFormat="1" x14ac:dyDescent="0.2"/>
    <row r="2861" customFormat="1" x14ac:dyDescent="0.2"/>
    <row r="2862" customFormat="1" x14ac:dyDescent="0.2"/>
    <row r="2863" customFormat="1" x14ac:dyDescent="0.2"/>
    <row r="2864" customFormat="1" x14ac:dyDescent="0.2"/>
    <row r="2865" customFormat="1" x14ac:dyDescent="0.2"/>
    <row r="2866" customFormat="1" x14ac:dyDescent="0.2"/>
    <row r="2867" customFormat="1" x14ac:dyDescent="0.2"/>
    <row r="2868" customFormat="1" x14ac:dyDescent="0.2"/>
    <row r="2869" customFormat="1" x14ac:dyDescent="0.2"/>
    <row r="2870" customFormat="1" x14ac:dyDescent="0.2"/>
    <row r="2871" customFormat="1" x14ac:dyDescent="0.2"/>
    <row r="2872" customFormat="1" x14ac:dyDescent="0.2"/>
    <row r="2873" customFormat="1" x14ac:dyDescent="0.2"/>
    <row r="2874" customFormat="1" x14ac:dyDescent="0.2"/>
    <row r="2875" customFormat="1" x14ac:dyDescent="0.2"/>
    <row r="2876" customFormat="1" x14ac:dyDescent="0.2"/>
    <row r="2877" customFormat="1" x14ac:dyDescent="0.2"/>
    <row r="2878" customFormat="1" x14ac:dyDescent="0.2"/>
    <row r="2879" customFormat="1" x14ac:dyDescent="0.2"/>
    <row r="2880" customFormat="1" x14ac:dyDescent="0.2"/>
    <row r="2881" customFormat="1" x14ac:dyDescent="0.2"/>
    <row r="2882" customFormat="1" x14ac:dyDescent="0.2"/>
    <row r="2883" customFormat="1" x14ac:dyDescent="0.2"/>
    <row r="2884" customFormat="1" x14ac:dyDescent="0.2"/>
    <row r="2885" customFormat="1" x14ac:dyDescent="0.2"/>
    <row r="2886" customFormat="1" x14ac:dyDescent="0.2"/>
    <row r="2887" customFormat="1" x14ac:dyDescent="0.2"/>
    <row r="2888" customFormat="1" x14ac:dyDescent="0.2"/>
    <row r="2889" customFormat="1" x14ac:dyDescent="0.2"/>
    <row r="2890" customFormat="1" x14ac:dyDescent="0.2"/>
    <row r="2891" customFormat="1" x14ac:dyDescent="0.2"/>
    <row r="2892" customFormat="1" x14ac:dyDescent="0.2"/>
    <row r="2893" customFormat="1" x14ac:dyDescent="0.2"/>
    <row r="2894" customFormat="1" x14ac:dyDescent="0.2"/>
    <row r="2895" customFormat="1" x14ac:dyDescent="0.2"/>
    <row r="2896" customFormat="1" x14ac:dyDescent="0.2"/>
    <row r="2897" customFormat="1" x14ac:dyDescent="0.2"/>
    <row r="2898" customFormat="1" x14ac:dyDescent="0.2"/>
    <row r="2899" customFormat="1" x14ac:dyDescent="0.2"/>
    <row r="2900" customFormat="1" x14ac:dyDescent="0.2"/>
    <row r="2901" customFormat="1" x14ac:dyDescent="0.2"/>
    <row r="2902" customFormat="1" x14ac:dyDescent="0.2"/>
    <row r="2903" customFormat="1" x14ac:dyDescent="0.2"/>
    <row r="2904" customFormat="1" x14ac:dyDescent="0.2"/>
    <row r="2905" customFormat="1" x14ac:dyDescent="0.2"/>
    <row r="2906" customFormat="1" x14ac:dyDescent="0.2"/>
    <row r="2907" customFormat="1" x14ac:dyDescent="0.2"/>
    <row r="2908" customFormat="1" x14ac:dyDescent="0.2"/>
    <row r="2909" customFormat="1" x14ac:dyDescent="0.2"/>
    <row r="2910" customFormat="1" x14ac:dyDescent="0.2"/>
    <row r="2911" customFormat="1" x14ac:dyDescent="0.2"/>
    <row r="2912" customFormat="1" x14ac:dyDescent="0.2"/>
    <row r="2913" customFormat="1" x14ac:dyDescent="0.2"/>
    <row r="2914" customFormat="1" x14ac:dyDescent="0.2"/>
    <row r="2915" customFormat="1" x14ac:dyDescent="0.2"/>
    <row r="2916" customFormat="1" x14ac:dyDescent="0.2"/>
    <row r="2917" customFormat="1" x14ac:dyDescent="0.2"/>
    <row r="2918" customFormat="1" x14ac:dyDescent="0.2"/>
    <row r="2919" customFormat="1" x14ac:dyDescent="0.2"/>
    <row r="2920" customFormat="1" x14ac:dyDescent="0.2"/>
    <row r="2921" customFormat="1" x14ac:dyDescent="0.2"/>
    <row r="2922" customFormat="1" x14ac:dyDescent="0.2"/>
    <row r="2923" customFormat="1" x14ac:dyDescent="0.2"/>
    <row r="2924" customFormat="1" x14ac:dyDescent="0.2"/>
    <row r="2925" customFormat="1" x14ac:dyDescent="0.2"/>
    <row r="2926" customFormat="1" x14ac:dyDescent="0.2"/>
    <row r="2927" customFormat="1" x14ac:dyDescent="0.2"/>
    <row r="2928" customFormat="1" x14ac:dyDescent="0.2"/>
    <row r="2929" customFormat="1" x14ac:dyDescent="0.2"/>
    <row r="2930" customFormat="1" x14ac:dyDescent="0.2"/>
    <row r="2931" customFormat="1" x14ac:dyDescent="0.2"/>
    <row r="2932" customFormat="1" x14ac:dyDescent="0.2"/>
    <row r="2933" customFormat="1" x14ac:dyDescent="0.2"/>
    <row r="2934" customFormat="1" x14ac:dyDescent="0.2"/>
    <row r="2935" customFormat="1" x14ac:dyDescent="0.2"/>
    <row r="2936" customFormat="1" x14ac:dyDescent="0.2"/>
    <row r="2937" customFormat="1" x14ac:dyDescent="0.2"/>
    <row r="2938" customFormat="1" x14ac:dyDescent="0.2"/>
    <row r="2939" customFormat="1" x14ac:dyDescent="0.2"/>
    <row r="2940" customFormat="1" x14ac:dyDescent="0.2"/>
    <row r="2941" customFormat="1" x14ac:dyDescent="0.2"/>
    <row r="2942" customFormat="1" x14ac:dyDescent="0.2"/>
    <row r="2943" customFormat="1" x14ac:dyDescent="0.2"/>
    <row r="2944" customFormat="1" x14ac:dyDescent="0.2"/>
    <row r="2945" customFormat="1" x14ac:dyDescent="0.2"/>
    <row r="2946" customFormat="1" x14ac:dyDescent="0.2"/>
    <row r="2947" customFormat="1" x14ac:dyDescent="0.2"/>
    <row r="2948" customFormat="1" x14ac:dyDescent="0.2"/>
    <row r="2949" customFormat="1" x14ac:dyDescent="0.2"/>
    <row r="2950" customFormat="1" x14ac:dyDescent="0.2"/>
    <row r="2951" customFormat="1" x14ac:dyDescent="0.2"/>
    <row r="2952" customFormat="1" x14ac:dyDescent="0.2"/>
    <row r="2953" customFormat="1" x14ac:dyDescent="0.2"/>
    <row r="2954" customFormat="1" x14ac:dyDescent="0.2"/>
    <row r="2955" customFormat="1" x14ac:dyDescent="0.2"/>
    <row r="2956" customFormat="1" x14ac:dyDescent="0.2"/>
    <row r="2957" customFormat="1" x14ac:dyDescent="0.2"/>
    <row r="2958" customFormat="1" x14ac:dyDescent="0.2"/>
    <row r="2959" customFormat="1" x14ac:dyDescent="0.2"/>
    <row r="2960" customFormat="1" x14ac:dyDescent="0.2"/>
    <row r="2961" customFormat="1" x14ac:dyDescent="0.2"/>
    <row r="2962" customFormat="1" x14ac:dyDescent="0.2"/>
    <row r="2963" customFormat="1" x14ac:dyDescent="0.2"/>
    <row r="2964" customFormat="1" x14ac:dyDescent="0.2"/>
    <row r="2965" customFormat="1" x14ac:dyDescent="0.2"/>
    <row r="2966" customFormat="1" x14ac:dyDescent="0.2"/>
    <row r="2967" customFormat="1" x14ac:dyDescent="0.2"/>
    <row r="2968" customFormat="1" x14ac:dyDescent="0.2"/>
    <row r="2969" customFormat="1" x14ac:dyDescent="0.2"/>
    <row r="2970" customFormat="1" x14ac:dyDescent="0.2"/>
    <row r="2971" customFormat="1" x14ac:dyDescent="0.2"/>
    <row r="2972" customFormat="1" x14ac:dyDescent="0.2"/>
    <row r="2973" customFormat="1" x14ac:dyDescent="0.2"/>
    <row r="2974" customFormat="1" x14ac:dyDescent="0.2"/>
    <row r="2975" customFormat="1" x14ac:dyDescent="0.2"/>
    <row r="2976" customFormat="1" x14ac:dyDescent="0.2"/>
    <row r="2977" customFormat="1" x14ac:dyDescent="0.2"/>
    <row r="2978" customFormat="1" x14ac:dyDescent="0.2"/>
    <row r="2979" customFormat="1" x14ac:dyDescent="0.2"/>
    <row r="2980" customFormat="1" x14ac:dyDescent="0.2"/>
    <row r="2981" customFormat="1" x14ac:dyDescent="0.2"/>
    <row r="2982" customFormat="1" x14ac:dyDescent="0.2"/>
    <row r="2983" customFormat="1" x14ac:dyDescent="0.2"/>
    <row r="2984" customFormat="1" x14ac:dyDescent="0.2"/>
    <row r="2985" customFormat="1" x14ac:dyDescent="0.2"/>
    <row r="2986" customFormat="1" x14ac:dyDescent="0.2"/>
    <row r="2987" customFormat="1" x14ac:dyDescent="0.2"/>
    <row r="2988" customFormat="1" x14ac:dyDescent="0.2"/>
    <row r="2989" customFormat="1" x14ac:dyDescent="0.2"/>
    <row r="2990" customFormat="1" x14ac:dyDescent="0.2"/>
    <row r="2991" customFormat="1" x14ac:dyDescent="0.2"/>
    <row r="2992" customFormat="1" x14ac:dyDescent="0.2"/>
    <row r="2993" customFormat="1" x14ac:dyDescent="0.2"/>
    <row r="2994" customFormat="1" x14ac:dyDescent="0.2"/>
    <row r="2995" customFormat="1" x14ac:dyDescent="0.2"/>
    <row r="2996" customFormat="1" x14ac:dyDescent="0.2"/>
    <row r="2997" customFormat="1" x14ac:dyDescent="0.2"/>
    <row r="2998" customFormat="1" x14ac:dyDescent="0.2"/>
    <row r="2999" customFormat="1" x14ac:dyDescent="0.2"/>
    <row r="3000" customFormat="1" x14ac:dyDescent="0.2"/>
    <row r="3001" customFormat="1" x14ac:dyDescent="0.2"/>
    <row r="3002" customFormat="1" x14ac:dyDescent="0.2"/>
    <row r="3003" customFormat="1" x14ac:dyDescent="0.2"/>
    <row r="3004" customFormat="1" x14ac:dyDescent="0.2"/>
    <row r="3005" customFormat="1" x14ac:dyDescent="0.2"/>
    <row r="3006" customFormat="1" x14ac:dyDescent="0.2"/>
    <row r="3007" customFormat="1" x14ac:dyDescent="0.2"/>
    <row r="3008" customFormat="1" x14ac:dyDescent="0.2"/>
    <row r="3009" customFormat="1" x14ac:dyDescent="0.2"/>
    <row r="3010" customFormat="1" x14ac:dyDescent="0.2"/>
    <row r="3011" customFormat="1" x14ac:dyDescent="0.2"/>
    <row r="3012" customFormat="1" x14ac:dyDescent="0.2"/>
    <row r="3013" customFormat="1" x14ac:dyDescent="0.2"/>
    <row r="3014" customFormat="1" x14ac:dyDescent="0.2"/>
    <row r="3015" customFormat="1" x14ac:dyDescent="0.2"/>
    <row r="3016" customFormat="1" x14ac:dyDescent="0.2"/>
    <row r="3017" customFormat="1" x14ac:dyDescent="0.2"/>
    <row r="3018" customFormat="1" x14ac:dyDescent="0.2"/>
    <row r="3019" customFormat="1" x14ac:dyDescent="0.2"/>
    <row r="3020" customFormat="1" x14ac:dyDescent="0.2"/>
    <row r="3021" customFormat="1" x14ac:dyDescent="0.2"/>
    <row r="3022" customFormat="1" x14ac:dyDescent="0.2"/>
    <row r="3023" customFormat="1" x14ac:dyDescent="0.2"/>
    <row r="3024" customFormat="1" x14ac:dyDescent="0.2"/>
    <row r="3025" customFormat="1" x14ac:dyDescent="0.2"/>
    <row r="3026" customFormat="1" x14ac:dyDescent="0.2"/>
    <row r="3027" customFormat="1" x14ac:dyDescent="0.2"/>
    <row r="3028" customFormat="1" x14ac:dyDescent="0.2"/>
    <row r="3029" customFormat="1" x14ac:dyDescent="0.2"/>
    <row r="3030" customFormat="1" x14ac:dyDescent="0.2"/>
    <row r="3031" customFormat="1" x14ac:dyDescent="0.2"/>
    <row r="3032" customFormat="1" x14ac:dyDescent="0.2"/>
    <row r="3033" customFormat="1" x14ac:dyDescent="0.2"/>
    <row r="3034" customFormat="1" x14ac:dyDescent="0.2"/>
    <row r="3035" customFormat="1" x14ac:dyDescent="0.2"/>
    <row r="3036" customFormat="1" x14ac:dyDescent="0.2"/>
    <row r="3037" customFormat="1" x14ac:dyDescent="0.2"/>
    <row r="3038" customFormat="1" x14ac:dyDescent="0.2"/>
    <row r="3039" customFormat="1" x14ac:dyDescent="0.2"/>
    <row r="3040" customFormat="1" x14ac:dyDescent="0.2"/>
    <row r="3041" customFormat="1" x14ac:dyDescent="0.2"/>
    <row r="3042" customFormat="1" x14ac:dyDescent="0.2"/>
    <row r="3043" customFormat="1" x14ac:dyDescent="0.2"/>
    <row r="3044" customFormat="1" x14ac:dyDescent="0.2"/>
    <row r="3045" customFormat="1" x14ac:dyDescent="0.2"/>
    <row r="3046" customFormat="1" x14ac:dyDescent="0.2"/>
    <row r="3047" customFormat="1" x14ac:dyDescent="0.2"/>
    <row r="3048" customFormat="1" x14ac:dyDescent="0.2"/>
    <row r="3049" customFormat="1" x14ac:dyDescent="0.2"/>
    <row r="3050" customFormat="1" x14ac:dyDescent="0.2"/>
    <row r="3051" customFormat="1" x14ac:dyDescent="0.2"/>
    <row r="3052" customFormat="1" x14ac:dyDescent="0.2"/>
    <row r="3053" customFormat="1" x14ac:dyDescent="0.2"/>
    <row r="3054" customFormat="1" x14ac:dyDescent="0.2"/>
    <row r="3055" customFormat="1" x14ac:dyDescent="0.2"/>
    <row r="3056" customFormat="1" x14ac:dyDescent="0.2"/>
    <row r="3057" customFormat="1" x14ac:dyDescent="0.2"/>
    <row r="3058" customFormat="1" x14ac:dyDescent="0.2"/>
    <row r="3059" customFormat="1" x14ac:dyDescent="0.2"/>
    <row r="3060" customFormat="1" x14ac:dyDescent="0.2"/>
    <row r="3061" customFormat="1" x14ac:dyDescent="0.2"/>
    <row r="3062" customFormat="1" x14ac:dyDescent="0.2"/>
    <row r="3063" customFormat="1" x14ac:dyDescent="0.2"/>
    <row r="3064" customFormat="1" x14ac:dyDescent="0.2"/>
    <row r="3065" customFormat="1" x14ac:dyDescent="0.2"/>
    <row r="3066" customFormat="1" x14ac:dyDescent="0.2"/>
    <row r="3067" customFormat="1" x14ac:dyDescent="0.2"/>
    <row r="3068" customFormat="1" x14ac:dyDescent="0.2"/>
    <row r="3069" customFormat="1" x14ac:dyDescent="0.2"/>
    <row r="3070" customFormat="1" x14ac:dyDescent="0.2"/>
    <row r="3071" customFormat="1" x14ac:dyDescent="0.2"/>
    <row r="3072" customFormat="1" x14ac:dyDescent="0.2"/>
    <row r="3073" customFormat="1" x14ac:dyDescent="0.2"/>
    <row r="3074" customFormat="1" x14ac:dyDescent="0.2"/>
    <row r="3075" customFormat="1" x14ac:dyDescent="0.2"/>
    <row r="3076" customFormat="1" x14ac:dyDescent="0.2"/>
    <row r="3077" customFormat="1" x14ac:dyDescent="0.2"/>
    <row r="3078" customFormat="1" x14ac:dyDescent="0.2"/>
    <row r="3079" customFormat="1" x14ac:dyDescent="0.2"/>
    <row r="3080" customFormat="1" x14ac:dyDescent="0.2"/>
    <row r="3081" customFormat="1" x14ac:dyDescent="0.2"/>
    <row r="3082" customFormat="1" x14ac:dyDescent="0.2"/>
    <row r="3083" customFormat="1" x14ac:dyDescent="0.2"/>
    <row r="3084" customFormat="1" x14ac:dyDescent="0.2"/>
    <row r="3085" customFormat="1" x14ac:dyDescent="0.2"/>
    <row r="3086" customFormat="1" x14ac:dyDescent="0.2"/>
    <row r="3087" customFormat="1" x14ac:dyDescent="0.2"/>
    <row r="3088" customFormat="1" x14ac:dyDescent="0.2"/>
    <row r="3089" customFormat="1" x14ac:dyDescent="0.2"/>
    <row r="3090" customFormat="1" x14ac:dyDescent="0.2"/>
    <row r="3091" customFormat="1" x14ac:dyDescent="0.2"/>
    <row r="3092" customFormat="1" x14ac:dyDescent="0.2"/>
    <row r="3093" customFormat="1" x14ac:dyDescent="0.2"/>
    <row r="3094" customFormat="1" x14ac:dyDescent="0.2"/>
    <row r="3095" customFormat="1" x14ac:dyDescent="0.2"/>
    <row r="3096" customFormat="1" x14ac:dyDescent="0.2"/>
    <row r="3097" customFormat="1" x14ac:dyDescent="0.2"/>
    <row r="3098" customFormat="1" x14ac:dyDescent="0.2"/>
    <row r="3099" customFormat="1" x14ac:dyDescent="0.2"/>
    <row r="3100" customFormat="1" x14ac:dyDescent="0.2"/>
    <row r="3101" customFormat="1" x14ac:dyDescent="0.2"/>
    <row r="3102" customFormat="1" x14ac:dyDescent="0.2"/>
    <row r="3103" customFormat="1" x14ac:dyDescent="0.2"/>
    <row r="3104" customFormat="1" x14ac:dyDescent="0.2"/>
    <row r="3105" customFormat="1" x14ac:dyDescent="0.2"/>
    <row r="3106" customFormat="1" x14ac:dyDescent="0.2"/>
    <row r="3107" customFormat="1" x14ac:dyDescent="0.2"/>
    <row r="3108" customFormat="1" x14ac:dyDescent="0.2"/>
    <row r="3109" customFormat="1" x14ac:dyDescent="0.2"/>
    <row r="3110" customFormat="1" x14ac:dyDescent="0.2"/>
    <row r="3111" customFormat="1" x14ac:dyDescent="0.2"/>
    <row r="3112" customFormat="1" x14ac:dyDescent="0.2"/>
    <row r="3113" customFormat="1" x14ac:dyDescent="0.2"/>
    <row r="3114" customFormat="1" x14ac:dyDescent="0.2"/>
    <row r="3115" customFormat="1" x14ac:dyDescent="0.2"/>
    <row r="3116" customFormat="1" x14ac:dyDescent="0.2"/>
    <row r="3117" customFormat="1" x14ac:dyDescent="0.2"/>
    <row r="3118" customFormat="1" x14ac:dyDescent="0.2"/>
    <row r="3119" customFormat="1" x14ac:dyDescent="0.2"/>
    <row r="3120" customFormat="1" x14ac:dyDescent="0.2"/>
    <row r="3121" customFormat="1" x14ac:dyDescent="0.2"/>
    <row r="3122" customFormat="1" x14ac:dyDescent="0.2"/>
    <row r="3123" customFormat="1" x14ac:dyDescent="0.2"/>
    <row r="3124" customFormat="1" x14ac:dyDescent="0.2"/>
    <row r="3125" customFormat="1" x14ac:dyDescent="0.2"/>
    <row r="3126" customFormat="1" x14ac:dyDescent="0.2"/>
    <row r="3127" customFormat="1" x14ac:dyDescent="0.2"/>
    <row r="3128" customFormat="1" x14ac:dyDescent="0.2"/>
    <row r="3129" customFormat="1" x14ac:dyDescent="0.2"/>
    <row r="3130" customFormat="1" x14ac:dyDescent="0.2"/>
    <row r="3131" customFormat="1" x14ac:dyDescent="0.2"/>
    <row r="3132" customFormat="1" x14ac:dyDescent="0.2"/>
    <row r="3133" customFormat="1" x14ac:dyDescent="0.2"/>
    <row r="3134" customFormat="1" x14ac:dyDescent="0.2"/>
    <row r="3135" customFormat="1" x14ac:dyDescent="0.2"/>
    <row r="3136" customFormat="1" x14ac:dyDescent="0.2"/>
    <row r="3137" customFormat="1" x14ac:dyDescent="0.2"/>
    <row r="3138" customFormat="1" x14ac:dyDescent="0.2"/>
    <row r="3139" customFormat="1" x14ac:dyDescent="0.2"/>
    <row r="3140" customFormat="1" x14ac:dyDescent="0.2"/>
    <row r="3141" customFormat="1" x14ac:dyDescent="0.2"/>
    <row r="3142" customFormat="1" x14ac:dyDescent="0.2"/>
    <row r="3143" customFormat="1" x14ac:dyDescent="0.2"/>
    <row r="3144" customFormat="1" x14ac:dyDescent="0.2"/>
    <row r="3145" customFormat="1" x14ac:dyDescent="0.2"/>
    <row r="3146" customFormat="1" x14ac:dyDescent="0.2"/>
    <row r="3147" customFormat="1" x14ac:dyDescent="0.2"/>
    <row r="3148" customFormat="1" x14ac:dyDescent="0.2"/>
    <row r="3149" customFormat="1" x14ac:dyDescent="0.2"/>
    <row r="3150" customFormat="1" x14ac:dyDescent="0.2"/>
    <row r="3151" customFormat="1" x14ac:dyDescent="0.2"/>
    <row r="3152" customFormat="1" x14ac:dyDescent="0.2"/>
    <row r="3153" customFormat="1" x14ac:dyDescent="0.2"/>
    <row r="3154" customFormat="1" x14ac:dyDescent="0.2"/>
    <row r="3155" customFormat="1" x14ac:dyDescent="0.2"/>
    <row r="3156" customFormat="1" x14ac:dyDescent="0.2"/>
    <row r="3157" customFormat="1" x14ac:dyDescent="0.2"/>
    <row r="3158" customFormat="1" x14ac:dyDescent="0.2"/>
    <row r="3159" customFormat="1" x14ac:dyDescent="0.2"/>
    <row r="3160" customFormat="1" x14ac:dyDescent="0.2"/>
    <row r="3161" customFormat="1" x14ac:dyDescent="0.2"/>
    <row r="3162" customFormat="1" x14ac:dyDescent="0.2"/>
    <row r="3163" customFormat="1" x14ac:dyDescent="0.2"/>
    <row r="3164" customFormat="1" x14ac:dyDescent="0.2"/>
    <row r="3165" customFormat="1" x14ac:dyDescent="0.2"/>
    <row r="3166" customFormat="1" x14ac:dyDescent="0.2"/>
    <row r="3167" customFormat="1" x14ac:dyDescent="0.2"/>
    <row r="3168" customFormat="1" x14ac:dyDescent="0.2"/>
    <row r="3169" customFormat="1" x14ac:dyDescent="0.2"/>
    <row r="3170" customFormat="1" x14ac:dyDescent="0.2"/>
    <row r="3171" customFormat="1" x14ac:dyDescent="0.2"/>
    <row r="3172" customFormat="1" x14ac:dyDescent="0.2"/>
    <row r="3173" customFormat="1" x14ac:dyDescent="0.2"/>
    <row r="3174" customFormat="1" x14ac:dyDescent="0.2"/>
    <row r="3175" customFormat="1" x14ac:dyDescent="0.2"/>
    <row r="3176" customFormat="1" x14ac:dyDescent="0.2"/>
    <row r="3177" customFormat="1" x14ac:dyDescent="0.2"/>
    <row r="3178" customFormat="1" x14ac:dyDescent="0.2"/>
    <row r="3179" customFormat="1" x14ac:dyDescent="0.2"/>
    <row r="3180" customFormat="1" x14ac:dyDescent="0.2"/>
    <row r="3181" customFormat="1" x14ac:dyDescent="0.2"/>
    <row r="3182" customFormat="1" x14ac:dyDescent="0.2"/>
    <row r="3183" customFormat="1" x14ac:dyDescent="0.2"/>
    <row r="3184" customFormat="1" x14ac:dyDescent="0.2"/>
    <row r="3185" customFormat="1" x14ac:dyDescent="0.2"/>
    <row r="3186" customFormat="1" x14ac:dyDescent="0.2"/>
    <row r="3187" customFormat="1" x14ac:dyDescent="0.2"/>
    <row r="3188" customFormat="1" x14ac:dyDescent="0.2"/>
    <row r="3189" customFormat="1" x14ac:dyDescent="0.2"/>
    <row r="3190" customFormat="1" x14ac:dyDescent="0.2"/>
    <row r="3191" customFormat="1" x14ac:dyDescent="0.2"/>
    <row r="3192" customFormat="1" x14ac:dyDescent="0.2"/>
    <row r="3193" customFormat="1" x14ac:dyDescent="0.2"/>
    <row r="3194" customFormat="1" x14ac:dyDescent="0.2"/>
    <row r="3195" customFormat="1" x14ac:dyDescent="0.2"/>
    <row r="3196" customFormat="1" x14ac:dyDescent="0.2"/>
    <row r="3197" customFormat="1" x14ac:dyDescent="0.2"/>
    <row r="3198" customFormat="1" x14ac:dyDescent="0.2"/>
    <row r="3199" customFormat="1" x14ac:dyDescent="0.2"/>
    <row r="3200" customFormat="1" x14ac:dyDescent="0.2"/>
    <row r="3201" customFormat="1" x14ac:dyDescent="0.2"/>
    <row r="3202" customFormat="1" x14ac:dyDescent="0.2"/>
    <row r="3203" customFormat="1" x14ac:dyDescent="0.2"/>
    <row r="3204" customFormat="1" x14ac:dyDescent="0.2"/>
    <row r="3205" customFormat="1" x14ac:dyDescent="0.2"/>
    <row r="3206" customFormat="1" x14ac:dyDescent="0.2"/>
    <row r="3207" customFormat="1" x14ac:dyDescent="0.2"/>
    <row r="3208" customFormat="1" x14ac:dyDescent="0.2"/>
    <row r="3209" customFormat="1" x14ac:dyDescent="0.2"/>
    <row r="3210" customFormat="1" x14ac:dyDescent="0.2"/>
    <row r="3211" customFormat="1" x14ac:dyDescent="0.2"/>
    <row r="3212" customFormat="1" x14ac:dyDescent="0.2"/>
    <row r="3213" customFormat="1" x14ac:dyDescent="0.2"/>
    <row r="3214" customFormat="1" x14ac:dyDescent="0.2"/>
    <row r="3215" customFormat="1" x14ac:dyDescent="0.2"/>
    <row r="3216" customFormat="1" x14ac:dyDescent="0.2"/>
    <row r="3217" customFormat="1" x14ac:dyDescent="0.2"/>
    <row r="3218" customFormat="1" x14ac:dyDescent="0.2"/>
    <row r="3219" customFormat="1" x14ac:dyDescent="0.2"/>
    <row r="3220" customFormat="1" x14ac:dyDescent="0.2"/>
    <row r="3221" customFormat="1" x14ac:dyDescent="0.2"/>
    <row r="3222" customFormat="1" x14ac:dyDescent="0.2"/>
    <row r="3223" customFormat="1" x14ac:dyDescent="0.2"/>
    <row r="3224" customFormat="1" x14ac:dyDescent="0.2"/>
    <row r="3225" customFormat="1" x14ac:dyDescent="0.2"/>
    <row r="3226" customFormat="1" x14ac:dyDescent="0.2"/>
    <row r="3227" customFormat="1" x14ac:dyDescent="0.2"/>
    <row r="3228" customFormat="1" x14ac:dyDescent="0.2"/>
    <row r="3229" customFormat="1" x14ac:dyDescent="0.2"/>
    <row r="3230" customFormat="1" x14ac:dyDescent="0.2"/>
    <row r="3231" customFormat="1" x14ac:dyDescent="0.2"/>
    <row r="3232" customFormat="1" x14ac:dyDescent="0.2"/>
    <row r="3233" customFormat="1" x14ac:dyDescent="0.2"/>
    <row r="3234" customFormat="1" x14ac:dyDescent="0.2"/>
    <row r="3235" customFormat="1" x14ac:dyDescent="0.2"/>
    <row r="3236" customFormat="1" x14ac:dyDescent="0.2"/>
    <row r="3237" customFormat="1" x14ac:dyDescent="0.2"/>
    <row r="3238" customFormat="1" x14ac:dyDescent="0.2"/>
    <row r="3239" customFormat="1" x14ac:dyDescent="0.2"/>
    <row r="3240" customFormat="1" x14ac:dyDescent="0.2"/>
    <row r="3241" customFormat="1" x14ac:dyDescent="0.2"/>
    <row r="3242" customFormat="1" x14ac:dyDescent="0.2"/>
    <row r="3243" customFormat="1" x14ac:dyDescent="0.2"/>
    <row r="3244" customFormat="1" x14ac:dyDescent="0.2"/>
    <row r="3245" customFormat="1" x14ac:dyDescent="0.2"/>
    <row r="3246" customFormat="1" x14ac:dyDescent="0.2"/>
    <row r="3247" customFormat="1" x14ac:dyDescent="0.2"/>
    <row r="3248" customFormat="1" x14ac:dyDescent="0.2"/>
    <row r="3249" customFormat="1" x14ac:dyDescent="0.2"/>
    <row r="3250" customFormat="1" x14ac:dyDescent="0.2"/>
    <row r="3251" customFormat="1" x14ac:dyDescent="0.2"/>
    <row r="3252" customFormat="1" x14ac:dyDescent="0.2"/>
    <row r="3253" customFormat="1" x14ac:dyDescent="0.2"/>
    <row r="3254" customFormat="1" x14ac:dyDescent="0.2"/>
    <row r="3255" customFormat="1" x14ac:dyDescent="0.2"/>
    <row r="3256" customFormat="1" x14ac:dyDescent="0.2"/>
    <row r="3257" customFormat="1" x14ac:dyDescent="0.2"/>
    <row r="3258" customFormat="1" x14ac:dyDescent="0.2"/>
    <row r="3259" customFormat="1" x14ac:dyDescent="0.2"/>
    <row r="3260" customFormat="1" x14ac:dyDescent="0.2"/>
    <row r="3261" customFormat="1" x14ac:dyDescent="0.2"/>
    <row r="3262" customFormat="1" x14ac:dyDescent="0.2"/>
    <row r="3263" customFormat="1" x14ac:dyDescent="0.2"/>
    <row r="3264" customFormat="1" x14ac:dyDescent="0.2"/>
    <row r="3265" customFormat="1" x14ac:dyDescent="0.2"/>
    <row r="3266" customFormat="1" x14ac:dyDescent="0.2"/>
    <row r="3267" customFormat="1" x14ac:dyDescent="0.2"/>
    <row r="3268" customFormat="1" x14ac:dyDescent="0.2"/>
    <row r="3269" customFormat="1" x14ac:dyDescent="0.2"/>
    <row r="3270" customFormat="1" x14ac:dyDescent="0.2"/>
    <row r="3271" customFormat="1" x14ac:dyDescent="0.2"/>
    <row r="3272" customFormat="1" x14ac:dyDescent="0.2"/>
    <row r="3273" customFormat="1" x14ac:dyDescent="0.2"/>
    <row r="3274" customFormat="1" x14ac:dyDescent="0.2"/>
    <row r="3275" customFormat="1" x14ac:dyDescent="0.2"/>
    <row r="3276" customFormat="1" x14ac:dyDescent="0.2"/>
    <row r="3277" customFormat="1" x14ac:dyDescent="0.2"/>
    <row r="3278" customFormat="1" x14ac:dyDescent="0.2"/>
    <row r="3279" customFormat="1" x14ac:dyDescent="0.2"/>
    <row r="3280" customFormat="1" x14ac:dyDescent="0.2"/>
    <row r="3281" customFormat="1" x14ac:dyDescent="0.2"/>
    <row r="3282" customFormat="1" x14ac:dyDescent="0.2"/>
    <row r="3283" customFormat="1" x14ac:dyDescent="0.2"/>
    <row r="3284" customFormat="1" x14ac:dyDescent="0.2"/>
    <row r="3285" customFormat="1" x14ac:dyDescent="0.2"/>
    <row r="3286" customFormat="1" x14ac:dyDescent="0.2"/>
    <row r="3287" customFormat="1" x14ac:dyDescent="0.2"/>
    <row r="3288" customFormat="1" x14ac:dyDescent="0.2"/>
    <row r="3289" customFormat="1" x14ac:dyDescent="0.2"/>
    <row r="3290" customFormat="1" x14ac:dyDescent="0.2"/>
    <row r="3291" customFormat="1" x14ac:dyDescent="0.2"/>
    <row r="3292" customFormat="1" x14ac:dyDescent="0.2"/>
    <row r="3293" customFormat="1" x14ac:dyDescent="0.2"/>
    <row r="3294" customFormat="1" x14ac:dyDescent="0.2"/>
    <row r="3295" customFormat="1" x14ac:dyDescent="0.2"/>
    <row r="3296" customFormat="1" x14ac:dyDescent="0.2"/>
    <row r="3297" customFormat="1" x14ac:dyDescent="0.2"/>
    <row r="3298" customFormat="1" x14ac:dyDescent="0.2"/>
    <row r="3299" customFormat="1" x14ac:dyDescent="0.2"/>
    <row r="3300" customFormat="1" x14ac:dyDescent="0.2"/>
    <row r="3301" customFormat="1" x14ac:dyDescent="0.2"/>
    <row r="3302" customFormat="1" x14ac:dyDescent="0.2"/>
    <row r="3303" customFormat="1" x14ac:dyDescent="0.2"/>
    <row r="3304" customFormat="1" x14ac:dyDescent="0.2"/>
    <row r="3305" customFormat="1" x14ac:dyDescent="0.2"/>
    <row r="3306" customFormat="1" x14ac:dyDescent="0.2"/>
    <row r="3307" customFormat="1" x14ac:dyDescent="0.2"/>
    <row r="3308" customFormat="1" x14ac:dyDescent="0.2"/>
    <row r="3309" customFormat="1" x14ac:dyDescent="0.2"/>
    <row r="3310" customFormat="1" x14ac:dyDescent="0.2"/>
    <row r="3311" customFormat="1" x14ac:dyDescent="0.2"/>
    <row r="3312" customFormat="1" x14ac:dyDescent="0.2"/>
    <row r="3313" customFormat="1" x14ac:dyDescent="0.2"/>
    <row r="3314" customFormat="1" x14ac:dyDescent="0.2"/>
    <row r="3315" customFormat="1" x14ac:dyDescent="0.2"/>
    <row r="3316" customFormat="1" x14ac:dyDescent="0.2"/>
    <row r="3317" customFormat="1" x14ac:dyDescent="0.2"/>
    <row r="3318" customFormat="1" x14ac:dyDescent="0.2"/>
    <row r="3319" customFormat="1" x14ac:dyDescent="0.2"/>
    <row r="3320" customFormat="1" x14ac:dyDescent="0.2"/>
    <row r="3321" customFormat="1" x14ac:dyDescent="0.2"/>
    <row r="3322" customFormat="1" x14ac:dyDescent="0.2"/>
    <row r="3323" customFormat="1" x14ac:dyDescent="0.2"/>
    <row r="3324" customFormat="1" x14ac:dyDescent="0.2"/>
    <row r="3325" customFormat="1" x14ac:dyDescent="0.2"/>
    <row r="3326" customFormat="1" x14ac:dyDescent="0.2"/>
    <row r="3327" customFormat="1" x14ac:dyDescent="0.2"/>
    <row r="3328" customFormat="1" x14ac:dyDescent="0.2"/>
    <row r="3329" customFormat="1" x14ac:dyDescent="0.2"/>
    <row r="3330" customFormat="1" x14ac:dyDescent="0.2"/>
    <row r="3331" customFormat="1" x14ac:dyDescent="0.2"/>
    <row r="3332" customFormat="1" x14ac:dyDescent="0.2"/>
    <row r="3333" customFormat="1" x14ac:dyDescent="0.2"/>
    <row r="3334" customFormat="1" x14ac:dyDescent="0.2"/>
    <row r="3335" customFormat="1" x14ac:dyDescent="0.2"/>
    <row r="3336" customFormat="1" x14ac:dyDescent="0.2"/>
    <row r="3337" customFormat="1" x14ac:dyDescent="0.2"/>
    <row r="3338" customFormat="1" x14ac:dyDescent="0.2"/>
    <row r="3339" customFormat="1" x14ac:dyDescent="0.2"/>
    <row r="3340" customFormat="1" x14ac:dyDescent="0.2"/>
    <row r="3341" customFormat="1" x14ac:dyDescent="0.2"/>
    <row r="3342" customFormat="1" x14ac:dyDescent="0.2"/>
    <row r="3343" customFormat="1" x14ac:dyDescent="0.2"/>
    <row r="3344" customFormat="1" x14ac:dyDescent="0.2"/>
    <row r="3345" customFormat="1" x14ac:dyDescent="0.2"/>
    <row r="3346" customFormat="1" x14ac:dyDescent="0.2"/>
    <row r="3347" customFormat="1" x14ac:dyDescent="0.2"/>
    <row r="3348" customFormat="1" x14ac:dyDescent="0.2"/>
    <row r="3349" customFormat="1" x14ac:dyDescent="0.2"/>
    <row r="3350" customFormat="1" x14ac:dyDescent="0.2"/>
    <row r="3351" customFormat="1" x14ac:dyDescent="0.2"/>
    <row r="3352" customFormat="1" x14ac:dyDescent="0.2"/>
    <row r="3353" customFormat="1" x14ac:dyDescent="0.2"/>
    <row r="3354" customFormat="1" x14ac:dyDescent="0.2"/>
    <row r="3355" customFormat="1" x14ac:dyDescent="0.2"/>
    <row r="3356" customFormat="1" x14ac:dyDescent="0.2"/>
    <row r="3357" customFormat="1" x14ac:dyDescent="0.2"/>
    <row r="3358" customFormat="1" x14ac:dyDescent="0.2"/>
    <row r="3359" customFormat="1" x14ac:dyDescent="0.2"/>
    <row r="3360" customFormat="1" x14ac:dyDescent="0.2"/>
    <row r="3361" customFormat="1" x14ac:dyDescent="0.2"/>
    <row r="3362" customFormat="1" x14ac:dyDescent="0.2"/>
    <row r="3363" customFormat="1" x14ac:dyDescent="0.2"/>
    <row r="3364" customFormat="1" x14ac:dyDescent="0.2"/>
    <row r="3365" customFormat="1" x14ac:dyDescent="0.2"/>
    <row r="3366" customFormat="1" x14ac:dyDescent="0.2"/>
    <row r="3367" customFormat="1" x14ac:dyDescent="0.2"/>
    <row r="3368" customFormat="1" x14ac:dyDescent="0.2"/>
    <row r="3369" customFormat="1" x14ac:dyDescent="0.2"/>
    <row r="3370" customFormat="1" x14ac:dyDescent="0.2"/>
    <row r="3371" customFormat="1" x14ac:dyDescent="0.2"/>
    <row r="3372" customFormat="1" x14ac:dyDescent="0.2"/>
    <row r="3373" customFormat="1" x14ac:dyDescent="0.2"/>
    <row r="3374" customFormat="1" x14ac:dyDescent="0.2"/>
    <row r="3375" customFormat="1" x14ac:dyDescent="0.2"/>
    <row r="3376" customFormat="1" x14ac:dyDescent="0.2"/>
    <row r="3377" customFormat="1" x14ac:dyDescent="0.2"/>
    <row r="3378" customFormat="1" x14ac:dyDescent="0.2"/>
    <row r="3379" customFormat="1" x14ac:dyDescent="0.2"/>
    <row r="3380" customFormat="1" x14ac:dyDescent="0.2"/>
    <row r="3381" customFormat="1" x14ac:dyDescent="0.2"/>
    <row r="3382" customFormat="1" x14ac:dyDescent="0.2"/>
    <row r="3383" customFormat="1" x14ac:dyDescent="0.2"/>
    <row r="3384" customFormat="1" x14ac:dyDescent="0.2"/>
    <row r="3385" customFormat="1" x14ac:dyDescent="0.2"/>
    <row r="3386" customFormat="1" x14ac:dyDescent="0.2"/>
    <row r="3387" customFormat="1" x14ac:dyDescent="0.2"/>
    <row r="3388" customFormat="1" x14ac:dyDescent="0.2"/>
    <row r="3389" customFormat="1" x14ac:dyDescent="0.2"/>
    <row r="3390" customFormat="1" x14ac:dyDescent="0.2"/>
    <row r="3391" customFormat="1" x14ac:dyDescent="0.2"/>
    <row r="3392" customFormat="1" x14ac:dyDescent="0.2"/>
    <row r="3393" customFormat="1" x14ac:dyDescent="0.2"/>
    <row r="3394" customFormat="1" x14ac:dyDescent="0.2"/>
    <row r="3395" customFormat="1" x14ac:dyDescent="0.2"/>
    <row r="3396" customFormat="1" x14ac:dyDescent="0.2"/>
    <row r="3397" customFormat="1" x14ac:dyDescent="0.2"/>
    <row r="3398" customFormat="1" x14ac:dyDescent="0.2"/>
    <row r="3399" customFormat="1" x14ac:dyDescent="0.2"/>
    <row r="3400" customFormat="1" x14ac:dyDescent="0.2"/>
    <row r="3401" customFormat="1" x14ac:dyDescent="0.2"/>
    <row r="3402" customFormat="1" x14ac:dyDescent="0.2"/>
    <row r="3403" customFormat="1" x14ac:dyDescent="0.2"/>
    <row r="3404" customFormat="1" x14ac:dyDescent="0.2"/>
    <row r="3405" customFormat="1" x14ac:dyDescent="0.2"/>
    <row r="3406" customFormat="1" x14ac:dyDescent="0.2"/>
    <row r="3407" customFormat="1" x14ac:dyDescent="0.2"/>
    <row r="3408" customFormat="1" x14ac:dyDescent="0.2"/>
    <row r="3409" customFormat="1" x14ac:dyDescent="0.2"/>
    <row r="3410" customFormat="1" x14ac:dyDescent="0.2"/>
    <row r="3411" customFormat="1" x14ac:dyDescent="0.2"/>
    <row r="3412" customFormat="1" x14ac:dyDescent="0.2"/>
    <row r="3413" customFormat="1" x14ac:dyDescent="0.2"/>
    <row r="3414" customFormat="1" x14ac:dyDescent="0.2"/>
    <row r="3415" customFormat="1" x14ac:dyDescent="0.2"/>
    <row r="3416" customFormat="1" x14ac:dyDescent="0.2"/>
    <row r="3417" customFormat="1" x14ac:dyDescent="0.2"/>
    <row r="3418" customFormat="1" x14ac:dyDescent="0.2"/>
    <row r="3419" customFormat="1" x14ac:dyDescent="0.2"/>
    <row r="3420" customFormat="1" x14ac:dyDescent="0.2"/>
    <row r="3421" customFormat="1" x14ac:dyDescent="0.2"/>
    <row r="3422" customFormat="1" x14ac:dyDescent="0.2"/>
    <row r="3423" customFormat="1" x14ac:dyDescent="0.2"/>
    <row r="3424" customFormat="1" x14ac:dyDescent="0.2"/>
    <row r="3425" customFormat="1" x14ac:dyDescent="0.2"/>
    <row r="3426" customFormat="1" x14ac:dyDescent="0.2"/>
    <row r="3427" customFormat="1" x14ac:dyDescent="0.2"/>
    <row r="3428" customFormat="1" x14ac:dyDescent="0.2"/>
    <row r="3429" customFormat="1" x14ac:dyDescent="0.2"/>
    <row r="3430" customFormat="1" x14ac:dyDescent="0.2"/>
    <row r="3431" customFormat="1" x14ac:dyDescent="0.2"/>
    <row r="3432" customFormat="1" x14ac:dyDescent="0.2"/>
    <row r="3433" customFormat="1" x14ac:dyDescent="0.2"/>
    <row r="3434" customFormat="1" x14ac:dyDescent="0.2"/>
    <row r="3435" customFormat="1" x14ac:dyDescent="0.2"/>
    <row r="3436" customFormat="1" x14ac:dyDescent="0.2"/>
    <row r="3437" customFormat="1" x14ac:dyDescent="0.2"/>
    <row r="3438" customFormat="1" x14ac:dyDescent="0.2"/>
    <row r="3439" customFormat="1" x14ac:dyDescent="0.2"/>
    <row r="3440" customFormat="1" x14ac:dyDescent="0.2"/>
    <row r="3441" customFormat="1" x14ac:dyDescent="0.2"/>
    <row r="3442" customFormat="1" x14ac:dyDescent="0.2"/>
    <row r="3443" customFormat="1" x14ac:dyDescent="0.2"/>
    <row r="3444" customFormat="1" x14ac:dyDescent="0.2"/>
    <row r="3445" customFormat="1" x14ac:dyDescent="0.2"/>
    <row r="3446" customFormat="1" x14ac:dyDescent="0.2"/>
    <row r="3447" customFormat="1" x14ac:dyDescent="0.2"/>
    <row r="3448" customFormat="1" x14ac:dyDescent="0.2"/>
    <row r="3449" customFormat="1" x14ac:dyDescent="0.2"/>
    <row r="3450" customFormat="1" x14ac:dyDescent="0.2"/>
    <row r="3451" customFormat="1" x14ac:dyDescent="0.2"/>
    <row r="3452" customFormat="1" x14ac:dyDescent="0.2"/>
    <row r="3453" customFormat="1" x14ac:dyDescent="0.2"/>
    <row r="3454" customFormat="1" x14ac:dyDescent="0.2"/>
    <row r="3455" customFormat="1" x14ac:dyDescent="0.2"/>
    <row r="3456" customFormat="1" x14ac:dyDescent="0.2"/>
    <row r="3457" customFormat="1" x14ac:dyDescent="0.2"/>
    <row r="3458" customFormat="1" x14ac:dyDescent="0.2"/>
    <row r="3459" customFormat="1" x14ac:dyDescent="0.2"/>
    <row r="3460" customFormat="1" x14ac:dyDescent="0.2"/>
    <row r="3461" customFormat="1" x14ac:dyDescent="0.2"/>
    <row r="3462" customFormat="1" x14ac:dyDescent="0.2"/>
    <row r="3463" customFormat="1" x14ac:dyDescent="0.2"/>
    <row r="3464" customFormat="1" x14ac:dyDescent="0.2"/>
    <row r="3465" customFormat="1" x14ac:dyDescent="0.2"/>
    <row r="3466" customFormat="1" x14ac:dyDescent="0.2"/>
    <row r="3467" customFormat="1" x14ac:dyDescent="0.2"/>
    <row r="3468" customFormat="1" x14ac:dyDescent="0.2"/>
    <row r="3469" customFormat="1" x14ac:dyDescent="0.2"/>
    <row r="3470" customFormat="1" x14ac:dyDescent="0.2"/>
    <row r="3471" customFormat="1" x14ac:dyDescent="0.2"/>
    <row r="3472" customFormat="1" x14ac:dyDescent="0.2"/>
    <row r="3473" customFormat="1" x14ac:dyDescent="0.2"/>
    <row r="3474" customFormat="1" x14ac:dyDescent="0.2"/>
    <row r="3475" customFormat="1" x14ac:dyDescent="0.2"/>
    <row r="3476" customFormat="1" x14ac:dyDescent="0.2"/>
    <row r="3477" customFormat="1" x14ac:dyDescent="0.2"/>
    <row r="3478" customFormat="1" x14ac:dyDescent="0.2"/>
    <row r="3479" customFormat="1" x14ac:dyDescent="0.2"/>
    <row r="3480" customFormat="1" x14ac:dyDescent="0.2"/>
    <row r="3481" customFormat="1" x14ac:dyDescent="0.2"/>
    <row r="3482" customFormat="1" x14ac:dyDescent="0.2"/>
    <row r="3483" customFormat="1" x14ac:dyDescent="0.2"/>
    <row r="3484" customFormat="1" x14ac:dyDescent="0.2"/>
    <row r="3485" customFormat="1" x14ac:dyDescent="0.2"/>
    <row r="3486" customFormat="1" x14ac:dyDescent="0.2"/>
    <row r="3487" customFormat="1" x14ac:dyDescent="0.2"/>
    <row r="3488" customFormat="1" x14ac:dyDescent="0.2"/>
    <row r="3489" customFormat="1" x14ac:dyDescent="0.2"/>
    <row r="3490" customFormat="1" x14ac:dyDescent="0.2"/>
    <row r="3491" customFormat="1" x14ac:dyDescent="0.2"/>
    <row r="3492" customFormat="1" x14ac:dyDescent="0.2"/>
    <row r="3493" customFormat="1" x14ac:dyDescent="0.2"/>
    <row r="3494" customFormat="1" x14ac:dyDescent="0.2"/>
    <row r="3495" customFormat="1" x14ac:dyDescent="0.2"/>
    <row r="3496" customFormat="1" x14ac:dyDescent="0.2"/>
    <row r="3497" customFormat="1" x14ac:dyDescent="0.2"/>
    <row r="3498" customFormat="1" x14ac:dyDescent="0.2"/>
    <row r="3499" customFormat="1" x14ac:dyDescent="0.2"/>
    <row r="3500" customFormat="1" x14ac:dyDescent="0.2"/>
    <row r="3501" customFormat="1" x14ac:dyDescent="0.2"/>
    <row r="3502" customFormat="1" x14ac:dyDescent="0.2"/>
    <row r="3503" customFormat="1" x14ac:dyDescent="0.2"/>
    <row r="3504" customFormat="1" x14ac:dyDescent="0.2"/>
    <row r="3505" customFormat="1" x14ac:dyDescent="0.2"/>
    <row r="3506" customFormat="1" x14ac:dyDescent="0.2"/>
    <row r="3507" customFormat="1" x14ac:dyDescent="0.2"/>
    <row r="3508" customFormat="1" x14ac:dyDescent="0.2"/>
    <row r="3509" customFormat="1" x14ac:dyDescent="0.2"/>
    <row r="3510" customFormat="1" x14ac:dyDescent="0.2"/>
    <row r="3511" customFormat="1" x14ac:dyDescent="0.2"/>
    <row r="3512" customFormat="1" x14ac:dyDescent="0.2"/>
    <row r="3513" customFormat="1" x14ac:dyDescent="0.2"/>
    <row r="3514" customFormat="1" x14ac:dyDescent="0.2"/>
    <row r="3515" customFormat="1" x14ac:dyDescent="0.2"/>
    <row r="3516" customFormat="1" x14ac:dyDescent="0.2"/>
    <row r="3517" customFormat="1" x14ac:dyDescent="0.2"/>
    <row r="3518" customFormat="1" x14ac:dyDescent="0.2"/>
    <row r="3519" customFormat="1" x14ac:dyDescent="0.2"/>
    <row r="3520" customFormat="1" x14ac:dyDescent="0.2"/>
    <row r="3521" customFormat="1" x14ac:dyDescent="0.2"/>
    <row r="3522" customFormat="1" x14ac:dyDescent="0.2"/>
    <row r="3523" customFormat="1" x14ac:dyDescent="0.2"/>
    <row r="3524" customFormat="1" x14ac:dyDescent="0.2"/>
    <row r="3525" customFormat="1" x14ac:dyDescent="0.2"/>
    <row r="3526" customFormat="1" x14ac:dyDescent="0.2"/>
    <row r="3527" customFormat="1" x14ac:dyDescent="0.2"/>
    <row r="3528" customFormat="1" x14ac:dyDescent="0.2"/>
    <row r="3529" customFormat="1" x14ac:dyDescent="0.2"/>
    <row r="3530" customFormat="1" x14ac:dyDescent="0.2"/>
    <row r="3531" customFormat="1" x14ac:dyDescent="0.2"/>
    <row r="3532" customFormat="1" x14ac:dyDescent="0.2"/>
    <row r="3533" customFormat="1" x14ac:dyDescent="0.2"/>
    <row r="3534" customFormat="1" x14ac:dyDescent="0.2"/>
    <row r="3535" customFormat="1" x14ac:dyDescent="0.2"/>
    <row r="3536" customFormat="1" x14ac:dyDescent="0.2"/>
    <row r="3537" customFormat="1" x14ac:dyDescent="0.2"/>
    <row r="3538" customFormat="1" x14ac:dyDescent="0.2"/>
    <row r="3539" customFormat="1" x14ac:dyDescent="0.2"/>
    <row r="3540" customFormat="1" x14ac:dyDescent="0.2"/>
    <row r="3541" customFormat="1" x14ac:dyDescent="0.2"/>
    <row r="3542" customFormat="1" x14ac:dyDescent="0.2"/>
    <row r="3543" customFormat="1" x14ac:dyDescent="0.2"/>
    <row r="3544" customFormat="1" x14ac:dyDescent="0.2"/>
    <row r="3545" customFormat="1" x14ac:dyDescent="0.2"/>
    <row r="3546" customFormat="1" x14ac:dyDescent="0.2"/>
    <row r="3547" customFormat="1" x14ac:dyDescent="0.2"/>
    <row r="3548" customFormat="1" x14ac:dyDescent="0.2"/>
    <row r="3549" customFormat="1" x14ac:dyDescent="0.2"/>
    <row r="3550" customFormat="1" x14ac:dyDescent="0.2"/>
    <row r="3551" customFormat="1" x14ac:dyDescent="0.2"/>
    <row r="3552" customFormat="1" x14ac:dyDescent="0.2"/>
    <row r="3553" customFormat="1" x14ac:dyDescent="0.2"/>
    <row r="3554" customFormat="1" x14ac:dyDescent="0.2"/>
    <row r="3555" customFormat="1" x14ac:dyDescent="0.2"/>
    <row r="3556" customFormat="1" x14ac:dyDescent="0.2"/>
    <row r="3557" customFormat="1" x14ac:dyDescent="0.2"/>
    <row r="3558" customFormat="1" x14ac:dyDescent="0.2"/>
    <row r="3559" customFormat="1" x14ac:dyDescent="0.2"/>
    <row r="3560" customFormat="1" x14ac:dyDescent="0.2"/>
    <row r="3561" customFormat="1" x14ac:dyDescent="0.2"/>
    <row r="3562" customFormat="1" x14ac:dyDescent="0.2"/>
    <row r="3563" customFormat="1" x14ac:dyDescent="0.2"/>
    <row r="3564" customFormat="1" x14ac:dyDescent="0.2"/>
    <row r="3565" customFormat="1" x14ac:dyDescent="0.2"/>
    <row r="3566" customFormat="1" x14ac:dyDescent="0.2"/>
    <row r="3567" customFormat="1" x14ac:dyDescent="0.2"/>
    <row r="3568" customFormat="1" x14ac:dyDescent="0.2"/>
    <row r="3569" customFormat="1" x14ac:dyDescent="0.2"/>
    <row r="3570" customFormat="1" x14ac:dyDescent="0.2"/>
    <row r="3571" customFormat="1" x14ac:dyDescent="0.2"/>
    <row r="3572" customFormat="1" x14ac:dyDescent="0.2"/>
    <row r="3573" customFormat="1" x14ac:dyDescent="0.2"/>
    <row r="3574" customFormat="1" x14ac:dyDescent="0.2"/>
    <row r="3575" customFormat="1" x14ac:dyDescent="0.2"/>
    <row r="3576" customFormat="1" x14ac:dyDescent="0.2"/>
    <row r="3577" customFormat="1" x14ac:dyDescent="0.2"/>
    <row r="3578" customFormat="1" x14ac:dyDescent="0.2"/>
    <row r="3579" customFormat="1" x14ac:dyDescent="0.2"/>
    <row r="3580" customFormat="1" x14ac:dyDescent="0.2"/>
    <row r="3581" customFormat="1" x14ac:dyDescent="0.2"/>
    <row r="3582" customFormat="1" x14ac:dyDescent="0.2"/>
    <row r="3583" customFormat="1" x14ac:dyDescent="0.2"/>
    <row r="3584" customFormat="1" x14ac:dyDescent="0.2"/>
    <row r="3585" customFormat="1" x14ac:dyDescent="0.2"/>
    <row r="3586" customFormat="1" x14ac:dyDescent="0.2"/>
    <row r="3587" customFormat="1" x14ac:dyDescent="0.2"/>
    <row r="3588" customFormat="1" x14ac:dyDescent="0.2"/>
    <row r="3589" customFormat="1" x14ac:dyDescent="0.2"/>
    <row r="3590" customFormat="1" x14ac:dyDescent="0.2"/>
    <row r="3591" customFormat="1" x14ac:dyDescent="0.2"/>
    <row r="3592" customFormat="1" x14ac:dyDescent="0.2"/>
    <row r="3593" customFormat="1" x14ac:dyDescent="0.2"/>
    <row r="3594" customFormat="1" x14ac:dyDescent="0.2"/>
    <row r="3595" customFormat="1" x14ac:dyDescent="0.2"/>
    <row r="3596" customFormat="1" x14ac:dyDescent="0.2"/>
    <row r="3597" customFormat="1" x14ac:dyDescent="0.2"/>
    <row r="3598" customFormat="1" x14ac:dyDescent="0.2"/>
    <row r="3599" customFormat="1" x14ac:dyDescent="0.2"/>
    <row r="3600" customFormat="1" x14ac:dyDescent="0.2"/>
    <row r="3601" customFormat="1" x14ac:dyDescent="0.2"/>
    <row r="3602" customFormat="1" x14ac:dyDescent="0.2"/>
    <row r="3603" customFormat="1" x14ac:dyDescent="0.2"/>
    <row r="3604" customFormat="1" x14ac:dyDescent="0.2"/>
    <row r="3605" customFormat="1" x14ac:dyDescent="0.2"/>
    <row r="3606" customFormat="1" x14ac:dyDescent="0.2"/>
    <row r="3607" customFormat="1" x14ac:dyDescent="0.2"/>
    <row r="3608" customFormat="1" x14ac:dyDescent="0.2"/>
    <row r="3609" customFormat="1" x14ac:dyDescent="0.2"/>
    <row r="3610" customFormat="1" x14ac:dyDescent="0.2"/>
    <row r="3611" customFormat="1" x14ac:dyDescent="0.2"/>
    <row r="3612" customFormat="1" x14ac:dyDescent="0.2"/>
    <row r="3613" customFormat="1" x14ac:dyDescent="0.2"/>
    <row r="3614" customFormat="1" x14ac:dyDescent="0.2"/>
    <row r="3615" customFormat="1" x14ac:dyDescent="0.2"/>
    <row r="3616" customFormat="1" x14ac:dyDescent="0.2"/>
    <row r="3617" customFormat="1" x14ac:dyDescent="0.2"/>
    <row r="3618" customFormat="1" x14ac:dyDescent="0.2"/>
    <row r="3619" customFormat="1" x14ac:dyDescent="0.2"/>
    <row r="3620" customFormat="1" x14ac:dyDescent="0.2"/>
    <row r="3621" customFormat="1" x14ac:dyDescent="0.2"/>
    <row r="3622" customFormat="1" x14ac:dyDescent="0.2"/>
    <row r="3623" customFormat="1" x14ac:dyDescent="0.2"/>
    <row r="3624" customFormat="1" x14ac:dyDescent="0.2"/>
    <row r="3625" customFormat="1" x14ac:dyDescent="0.2"/>
    <row r="3626" customFormat="1" x14ac:dyDescent="0.2"/>
    <row r="3627" customFormat="1" x14ac:dyDescent="0.2"/>
    <row r="3628" customFormat="1" x14ac:dyDescent="0.2"/>
    <row r="3629" customFormat="1" x14ac:dyDescent="0.2"/>
    <row r="3630" customFormat="1" x14ac:dyDescent="0.2"/>
    <row r="3631" customFormat="1" x14ac:dyDescent="0.2"/>
    <row r="3632" customFormat="1" x14ac:dyDescent="0.2"/>
    <row r="3633" customFormat="1" x14ac:dyDescent="0.2"/>
    <row r="3634" customFormat="1" x14ac:dyDescent="0.2"/>
    <row r="3635" customFormat="1" x14ac:dyDescent="0.2"/>
    <row r="3636" customFormat="1" x14ac:dyDescent="0.2"/>
    <row r="3637" customFormat="1" x14ac:dyDescent="0.2"/>
    <row r="3638" customFormat="1" x14ac:dyDescent="0.2"/>
    <row r="3639" customFormat="1" x14ac:dyDescent="0.2"/>
    <row r="3640" customFormat="1" x14ac:dyDescent="0.2"/>
    <row r="3641" customFormat="1" x14ac:dyDescent="0.2"/>
    <row r="3642" customFormat="1" x14ac:dyDescent="0.2"/>
    <row r="3643" customFormat="1" x14ac:dyDescent="0.2"/>
    <row r="3644" customFormat="1" x14ac:dyDescent="0.2"/>
    <row r="3645" customFormat="1" x14ac:dyDescent="0.2"/>
    <row r="3646" customFormat="1" x14ac:dyDescent="0.2"/>
    <row r="3647" customFormat="1" x14ac:dyDescent="0.2"/>
    <row r="3648" customFormat="1" x14ac:dyDescent="0.2"/>
    <row r="3649" customFormat="1" x14ac:dyDescent="0.2"/>
    <row r="3650" customFormat="1" x14ac:dyDescent="0.2"/>
    <row r="3651" customFormat="1" x14ac:dyDescent="0.2"/>
    <row r="3652" customFormat="1" x14ac:dyDescent="0.2"/>
    <row r="3653" customFormat="1" x14ac:dyDescent="0.2"/>
    <row r="3654" customFormat="1" x14ac:dyDescent="0.2"/>
    <row r="3655" customFormat="1" x14ac:dyDescent="0.2"/>
    <row r="3656" customFormat="1" x14ac:dyDescent="0.2"/>
    <row r="3657" customFormat="1" x14ac:dyDescent="0.2"/>
    <row r="3658" customFormat="1" x14ac:dyDescent="0.2"/>
    <row r="3659" customFormat="1" x14ac:dyDescent="0.2"/>
    <row r="3660" customFormat="1" x14ac:dyDescent="0.2"/>
    <row r="3661" customFormat="1" x14ac:dyDescent="0.2"/>
    <row r="3662" customFormat="1" x14ac:dyDescent="0.2"/>
    <row r="3663" customFormat="1" x14ac:dyDescent="0.2"/>
    <row r="3664" customFormat="1" x14ac:dyDescent="0.2"/>
    <row r="3665" customFormat="1" x14ac:dyDescent="0.2"/>
    <row r="3666" customFormat="1" x14ac:dyDescent="0.2"/>
    <row r="3667" customFormat="1" x14ac:dyDescent="0.2"/>
    <row r="3668" customFormat="1" x14ac:dyDescent="0.2"/>
    <row r="3669" customFormat="1" x14ac:dyDescent="0.2"/>
    <row r="3670" customFormat="1" x14ac:dyDescent="0.2"/>
    <row r="3671" customFormat="1" x14ac:dyDescent="0.2"/>
    <row r="3672" customFormat="1" x14ac:dyDescent="0.2"/>
    <row r="3673" customFormat="1" x14ac:dyDescent="0.2"/>
    <row r="3674" customFormat="1" x14ac:dyDescent="0.2"/>
    <row r="3675" customFormat="1" x14ac:dyDescent="0.2"/>
    <row r="3676" customFormat="1" x14ac:dyDescent="0.2"/>
    <row r="3677" customFormat="1" x14ac:dyDescent="0.2"/>
    <row r="3678" customFormat="1" x14ac:dyDescent="0.2"/>
    <row r="3679" customFormat="1" x14ac:dyDescent="0.2"/>
    <row r="3680" customFormat="1" x14ac:dyDescent="0.2"/>
    <row r="3681" customFormat="1" x14ac:dyDescent="0.2"/>
    <row r="3682" customFormat="1" x14ac:dyDescent="0.2"/>
    <row r="3683" customFormat="1" x14ac:dyDescent="0.2"/>
    <row r="3684" customFormat="1" x14ac:dyDescent="0.2"/>
    <row r="3685" customFormat="1" x14ac:dyDescent="0.2"/>
    <row r="3686" customFormat="1" x14ac:dyDescent="0.2"/>
    <row r="3687" customFormat="1" x14ac:dyDescent="0.2"/>
    <row r="3688" customFormat="1" x14ac:dyDescent="0.2"/>
    <row r="3689" customFormat="1" x14ac:dyDescent="0.2"/>
    <row r="3690" customFormat="1" x14ac:dyDescent="0.2"/>
    <row r="3691" customFormat="1" x14ac:dyDescent="0.2"/>
    <row r="3692" customFormat="1" x14ac:dyDescent="0.2"/>
    <row r="3693" customFormat="1" x14ac:dyDescent="0.2"/>
    <row r="3694" customFormat="1" x14ac:dyDescent="0.2"/>
    <row r="3695" customFormat="1" x14ac:dyDescent="0.2"/>
    <row r="3696" customFormat="1" x14ac:dyDescent="0.2"/>
    <row r="3697" customFormat="1" x14ac:dyDescent="0.2"/>
    <row r="3698" customFormat="1" x14ac:dyDescent="0.2"/>
    <row r="3699" customFormat="1" x14ac:dyDescent="0.2"/>
    <row r="3700" customFormat="1" x14ac:dyDescent="0.2"/>
    <row r="3701" customFormat="1" x14ac:dyDescent="0.2"/>
    <row r="3702" customFormat="1" x14ac:dyDescent="0.2"/>
    <row r="3703" customFormat="1" x14ac:dyDescent="0.2"/>
    <row r="3704" customFormat="1" x14ac:dyDescent="0.2"/>
    <row r="3705" customFormat="1" x14ac:dyDescent="0.2"/>
    <row r="3706" customFormat="1" x14ac:dyDescent="0.2"/>
    <row r="3707" customFormat="1" x14ac:dyDescent="0.2"/>
    <row r="3708" customFormat="1" x14ac:dyDescent="0.2"/>
    <row r="3709" customFormat="1" x14ac:dyDescent="0.2"/>
    <row r="3710" customFormat="1" x14ac:dyDescent="0.2"/>
    <row r="3711" customFormat="1" x14ac:dyDescent="0.2"/>
    <row r="3712" customFormat="1" x14ac:dyDescent="0.2"/>
    <row r="3713" customFormat="1" x14ac:dyDescent="0.2"/>
    <row r="3714" customFormat="1" x14ac:dyDescent="0.2"/>
    <row r="3715" customFormat="1" x14ac:dyDescent="0.2"/>
    <row r="3716" customFormat="1" x14ac:dyDescent="0.2"/>
    <row r="3717" customFormat="1" x14ac:dyDescent="0.2"/>
    <row r="3718" customFormat="1" x14ac:dyDescent="0.2"/>
    <row r="3719" customFormat="1" x14ac:dyDescent="0.2"/>
    <row r="3720" customFormat="1" x14ac:dyDescent="0.2"/>
    <row r="3721" customFormat="1" x14ac:dyDescent="0.2"/>
    <row r="3722" customFormat="1" x14ac:dyDescent="0.2"/>
    <row r="3723" customFormat="1" x14ac:dyDescent="0.2"/>
    <row r="3724" customFormat="1" x14ac:dyDescent="0.2"/>
    <row r="3725" customFormat="1" x14ac:dyDescent="0.2"/>
    <row r="3726" customFormat="1" x14ac:dyDescent="0.2"/>
    <row r="3727" customFormat="1" x14ac:dyDescent="0.2"/>
    <row r="3728" customFormat="1" x14ac:dyDescent="0.2"/>
    <row r="3729" customFormat="1" x14ac:dyDescent="0.2"/>
    <row r="3730" customFormat="1" x14ac:dyDescent="0.2"/>
    <row r="3731" customFormat="1" x14ac:dyDescent="0.2"/>
    <row r="3732" customFormat="1" x14ac:dyDescent="0.2"/>
    <row r="3733" customFormat="1" x14ac:dyDescent="0.2"/>
    <row r="3734" customFormat="1" x14ac:dyDescent="0.2"/>
    <row r="3735" customFormat="1" x14ac:dyDescent="0.2"/>
    <row r="3736" customFormat="1" x14ac:dyDescent="0.2"/>
    <row r="3737" customFormat="1" x14ac:dyDescent="0.2"/>
    <row r="3738" customFormat="1" x14ac:dyDescent="0.2"/>
    <row r="3739" customFormat="1" x14ac:dyDescent="0.2"/>
    <row r="3740" customFormat="1" x14ac:dyDescent="0.2"/>
    <row r="3741" customFormat="1" x14ac:dyDescent="0.2"/>
    <row r="3742" customFormat="1" x14ac:dyDescent="0.2"/>
    <row r="3743" customFormat="1" x14ac:dyDescent="0.2"/>
    <row r="3744" customFormat="1" x14ac:dyDescent="0.2"/>
    <row r="3745" customFormat="1" x14ac:dyDescent="0.2"/>
    <row r="3746" customFormat="1" x14ac:dyDescent="0.2"/>
    <row r="3747" customFormat="1" x14ac:dyDescent="0.2"/>
    <row r="3748" customFormat="1" x14ac:dyDescent="0.2"/>
    <row r="3749" customFormat="1" x14ac:dyDescent="0.2"/>
    <row r="3750" customFormat="1" x14ac:dyDescent="0.2"/>
    <row r="3751" customFormat="1" x14ac:dyDescent="0.2"/>
    <row r="3752" customFormat="1" x14ac:dyDescent="0.2"/>
    <row r="3753" customFormat="1" x14ac:dyDescent="0.2"/>
    <row r="3754" customFormat="1" x14ac:dyDescent="0.2"/>
    <row r="3755" customFormat="1" x14ac:dyDescent="0.2"/>
    <row r="3756" customFormat="1" x14ac:dyDescent="0.2"/>
    <row r="3757" customFormat="1" x14ac:dyDescent="0.2"/>
    <row r="3758" customFormat="1" x14ac:dyDescent="0.2"/>
    <row r="3759" customFormat="1" x14ac:dyDescent="0.2"/>
    <row r="3760" customFormat="1" x14ac:dyDescent="0.2"/>
    <row r="3761" customFormat="1" x14ac:dyDescent="0.2"/>
    <row r="3762" customFormat="1" x14ac:dyDescent="0.2"/>
    <row r="3763" customFormat="1" x14ac:dyDescent="0.2"/>
    <row r="3764" customFormat="1" x14ac:dyDescent="0.2"/>
    <row r="3765" customFormat="1" x14ac:dyDescent="0.2"/>
    <row r="3766" customFormat="1" x14ac:dyDescent="0.2"/>
    <row r="3767" customFormat="1" x14ac:dyDescent="0.2"/>
    <row r="3768" customFormat="1" x14ac:dyDescent="0.2"/>
    <row r="3769" customFormat="1" x14ac:dyDescent="0.2"/>
    <row r="3770" customFormat="1" x14ac:dyDescent="0.2"/>
    <row r="3771" customFormat="1" x14ac:dyDescent="0.2"/>
    <row r="3772" customFormat="1" x14ac:dyDescent="0.2"/>
    <row r="3773" customFormat="1" x14ac:dyDescent="0.2"/>
    <row r="3774" customFormat="1" x14ac:dyDescent="0.2"/>
    <row r="3775" customFormat="1" x14ac:dyDescent="0.2"/>
    <row r="3776" customFormat="1" x14ac:dyDescent="0.2"/>
    <row r="3777" customFormat="1" x14ac:dyDescent="0.2"/>
    <row r="3778" customFormat="1" x14ac:dyDescent="0.2"/>
    <row r="3779" customFormat="1" x14ac:dyDescent="0.2"/>
    <row r="3780" customFormat="1" x14ac:dyDescent="0.2"/>
    <row r="3781" customFormat="1" x14ac:dyDescent="0.2"/>
    <row r="3782" customFormat="1" x14ac:dyDescent="0.2"/>
    <row r="3783" customFormat="1" x14ac:dyDescent="0.2"/>
    <row r="3784" customFormat="1" x14ac:dyDescent="0.2"/>
    <row r="3785" customFormat="1" x14ac:dyDescent="0.2"/>
    <row r="3786" customFormat="1" x14ac:dyDescent="0.2"/>
    <row r="3787" customFormat="1" x14ac:dyDescent="0.2"/>
    <row r="3788" customFormat="1" x14ac:dyDescent="0.2"/>
    <row r="3789" customFormat="1" x14ac:dyDescent="0.2"/>
    <row r="3790" customFormat="1" x14ac:dyDescent="0.2"/>
    <row r="3791" customFormat="1" x14ac:dyDescent="0.2"/>
    <row r="3792" customFormat="1" x14ac:dyDescent="0.2"/>
    <row r="3793" customFormat="1" x14ac:dyDescent="0.2"/>
    <row r="3794" customFormat="1" x14ac:dyDescent="0.2"/>
    <row r="3795" customFormat="1" x14ac:dyDescent="0.2"/>
    <row r="3796" customFormat="1" x14ac:dyDescent="0.2"/>
    <row r="3797" customFormat="1" x14ac:dyDescent="0.2"/>
    <row r="3798" customFormat="1" x14ac:dyDescent="0.2"/>
    <row r="3799" customFormat="1" x14ac:dyDescent="0.2"/>
    <row r="3800" customFormat="1" x14ac:dyDescent="0.2"/>
    <row r="3801" customFormat="1" x14ac:dyDescent="0.2"/>
    <row r="3802" customFormat="1" x14ac:dyDescent="0.2"/>
    <row r="3803" customFormat="1" x14ac:dyDescent="0.2"/>
    <row r="3804" customFormat="1" x14ac:dyDescent="0.2"/>
    <row r="3805" customFormat="1" x14ac:dyDescent="0.2"/>
    <row r="3806" customFormat="1" x14ac:dyDescent="0.2"/>
    <row r="3807" customFormat="1" x14ac:dyDescent="0.2"/>
    <row r="3808" customFormat="1" x14ac:dyDescent="0.2"/>
    <row r="3809" customFormat="1" x14ac:dyDescent="0.2"/>
    <row r="3810" customFormat="1" x14ac:dyDescent="0.2"/>
    <row r="3811" customFormat="1" x14ac:dyDescent="0.2"/>
    <row r="3812" customFormat="1" x14ac:dyDescent="0.2"/>
    <row r="3813" customFormat="1" x14ac:dyDescent="0.2"/>
    <row r="3814" customFormat="1" x14ac:dyDescent="0.2"/>
    <row r="3815" customFormat="1" x14ac:dyDescent="0.2"/>
    <row r="3816" customFormat="1" x14ac:dyDescent="0.2"/>
    <row r="3817" customFormat="1" x14ac:dyDescent="0.2"/>
    <row r="3818" customFormat="1" x14ac:dyDescent="0.2"/>
    <row r="3819" customFormat="1" x14ac:dyDescent="0.2"/>
    <row r="3820" customFormat="1" x14ac:dyDescent="0.2"/>
    <row r="3821" customFormat="1" x14ac:dyDescent="0.2"/>
    <row r="3822" customFormat="1" x14ac:dyDescent="0.2"/>
    <row r="3823" customFormat="1" x14ac:dyDescent="0.2"/>
    <row r="3824" customFormat="1" x14ac:dyDescent="0.2"/>
    <row r="3825" customFormat="1" x14ac:dyDescent="0.2"/>
    <row r="3826" customFormat="1" x14ac:dyDescent="0.2"/>
    <row r="3827" customFormat="1" x14ac:dyDescent="0.2"/>
    <row r="3828" customFormat="1" x14ac:dyDescent="0.2"/>
    <row r="3829" customFormat="1" x14ac:dyDescent="0.2"/>
    <row r="3830" customFormat="1" x14ac:dyDescent="0.2"/>
    <row r="3831" customFormat="1" x14ac:dyDescent="0.2"/>
    <row r="3832" customFormat="1" x14ac:dyDescent="0.2"/>
    <row r="3833" customFormat="1" x14ac:dyDescent="0.2"/>
    <row r="3834" customFormat="1" x14ac:dyDescent="0.2"/>
    <row r="3835" customFormat="1" x14ac:dyDescent="0.2"/>
    <row r="3836" customFormat="1" x14ac:dyDescent="0.2"/>
    <row r="3837" customFormat="1" x14ac:dyDescent="0.2"/>
    <row r="3838" customFormat="1" x14ac:dyDescent="0.2"/>
    <row r="3839" customFormat="1" x14ac:dyDescent="0.2"/>
    <row r="3840" customFormat="1" x14ac:dyDescent="0.2"/>
    <row r="3841" customFormat="1" x14ac:dyDescent="0.2"/>
    <row r="3842" customFormat="1" x14ac:dyDescent="0.2"/>
    <row r="3843" customFormat="1" x14ac:dyDescent="0.2"/>
    <row r="3844" customFormat="1" x14ac:dyDescent="0.2"/>
    <row r="3845" customFormat="1" x14ac:dyDescent="0.2"/>
    <row r="3846" customFormat="1" x14ac:dyDescent="0.2"/>
    <row r="3847" customFormat="1" x14ac:dyDescent="0.2"/>
    <row r="3848" customFormat="1" x14ac:dyDescent="0.2"/>
    <row r="3849" customFormat="1" x14ac:dyDescent="0.2"/>
    <row r="3850" customFormat="1" x14ac:dyDescent="0.2"/>
    <row r="3851" customFormat="1" x14ac:dyDescent="0.2"/>
    <row r="3852" customFormat="1" x14ac:dyDescent="0.2"/>
    <row r="3853" customFormat="1" x14ac:dyDescent="0.2"/>
    <row r="3854" customFormat="1" x14ac:dyDescent="0.2"/>
    <row r="3855" customFormat="1" x14ac:dyDescent="0.2"/>
    <row r="3856" customFormat="1" x14ac:dyDescent="0.2"/>
    <row r="3857" customFormat="1" x14ac:dyDescent="0.2"/>
    <row r="3858" customFormat="1" x14ac:dyDescent="0.2"/>
    <row r="3859" customFormat="1" x14ac:dyDescent="0.2"/>
    <row r="3860" customFormat="1" x14ac:dyDescent="0.2"/>
    <row r="3861" customFormat="1" x14ac:dyDescent="0.2"/>
    <row r="3862" customFormat="1" x14ac:dyDescent="0.2"/>
    <row r="3863" customFormat="1" x14ac:dyDescent="0.2"/>
    <row r="3864" customFormat="1" x14ac:dyDescent="0.2"/>
    <row r="3865" customFormat="1" x14ac:dyDescent="0.2"/>
    <row r="3866" customFormat="1" x14ac:dyDescent="0.2"/>
    <row r="3867" customFormat="1" x14ac:dyDescent="0.2"/>
    <row r="3868" customFormat="1" x14ac:dyDescent="0.2"/>
    <row r="3869" customFormat="1" x14ac:dyDescent="0.2"/>
    <row r="3870" customFormat="1" x14ac:dyDescent="0.2"/>
    <row r="3871" customFormat="1" x14ac:dyDescent="0.2"/>
    <row r="3872" customFormat="1" x14ac:dyDescent="0.2"/>
    <row r="3873" customFormat="1" x14ac:dyDescent="0.2"/>
    <row r="3874" customFormat="1" x14ac:dyDescent="0.2"/>
    <row r="3875" customFormat="1" x14ac:dyDescent="0.2"/>
    <row r="3876" customFormat="1" x14ac:dyDescent="0.2"/>
    <row r="3877" customFormat="1" x14ac:dyDescent="0.2"/>
    <row r="3878" customFormat="1" x14ac:dyDescent="0.2"/>
    <row r="3879" customFormat="1" x14ac:dyDescent="0.2"/>
    <row r="3880" customFormat="1" x14ac:dyDescent="0.2"/>
    <row r="3881" customFormat="1" x14ac:dyDescent="0.2"/>
    <row r="3882" customFormat="1" x14ac:dyDescent="0.2"/>
    <row r="3883" customFormat="1" x14ac:dyDescent="0.2"/>
    <row r="3884" customFormat="1" x14ac:dyDescent="0.2"/>
    <row r="3885" customFormat="1" x14ac:dyDescent="0.2"/>
    <row r="3886" customFormat="1" x14ac:dyDescent="0.2"/>
    <row r="3887" customFormat="1" x14ac:dyDescent="0.2"/>
    <row r="3888" customFormat="1" x14ac:dyDescent="0.2"/>
    <row r="3889" customFormat="1" x14ac:dyDescent="0.2"/>
    <row r="3890" customFormat="1" x14ac:dyDescent="0.2"/>
    <row r="3891" customFormat="1" x14ac:dyDescent="0.2"/>
    <row r="3892" customFormat="1" x14ac:dyDescent="0.2"/>
    <row r="3893" customFormat="1" x14ac:dyDescent="0.2"/>
    <row r="3894" customFormat="1" x14ac:dyDescent="0.2"/>
    <row r="3895" customFormat="1" x14ac:dyDescent="0.2"/>
    <row r="3896" customFormat="1" x14ac:dyDescent="0.2"/>
    <row r="3897" customFormat="1" x14ac:dyDescent="0.2"/>
    <row r="3898" customFormat="1" x14ac:dyDescent="0.2"/>
    <row r="3899" customFormat="1" x14ac:dyDescent="0.2"/>
    <row r="3900" customFormat="1" x14ac:dyDescent="0.2"/>
    <row r="3901" customFormat="1" x14ac:dyDescent="0.2"/>
    <row r="3902" customFormat="1" x14ac:dyDescent="0.2"/>
    <row r="3903" customFormat="1" x14ac:dyDescent="0.2"/>
    <row r="3904" customFormat="1" x14ac:dyDescent="0.2"/>
    <row r="3905" customFormat="1" x14ac:dyDescent="0.2"/>
    <row r="3906" customFormat="1" x14ac:dyDescent="0.2"/>
    <row r="3907" customFormat="1" x14ac:dyDescent="0.2"/>
    <row r="3908" customFormat="1" x14ac:dyDescent="0.2"/>
    <row r="3909" customFormat="1" x14ac:dyDescent="0.2"/>
    <row r="3910" customFormat="1" x14ac:dyDescent="0.2"/>
    <row r="3911" customFormat="1" x14ac:dyDescent="0.2"/>
    <row r="3912" customFormat="1" x14ac:dyDescent="0.2"/>
    <row r="3913" customFormat="1" x14ac:dyDescent="0.2"/>
    <row r="3914" customFormat="1" x14ac:dyDescent="0.2"/>
    <row r="3915" customFormat="1" x14ac:dyDescent="0.2"/>
    <row r="3916" customFormat="1" x14ac:dyDescent="0.2"/>
    <row r="3917" customFormat="1" x14ac:dyDescent="0.2"/>
    <row r="3918" customFormat="1" x14ac:dyDescent="0.2"/>
    <row r="3919" customFormat="1" x14ac:dyDescent="0.2"/>
    <row r="3920" customFormat="1" x14ac:dyDescent="0.2"/>
    <row r="3921" customFormat="1" x14ac:dyDescent="0.2"/>
    <row r="3922" customFormat="1" x14ac:dyDescent="0.2"/>
    <row r="3923" customFormat="1" x14ac:dyDescent="0.2"/>
    <row r="3924" customFormat="1" x14ac:dyDescent="0.2"/>
    <row r="3925" customFormat="1" x14ac:dyDescent="0.2"/>
    <row r="3926" customFormat="1" x14ac:dyDescent="0.2"/>
    <row r="3927" customFormat="1" x14ac:dyDescent="0.2"/>
    <row r="3928" customFormat="1" x14ac:dyDescent="0.2"/>
    <row r="3929" customFormat="1" x14ac:dyDescent="0.2"/>
    <row r="3930" customFormat="1" x14ac:dyDescent="0.2"/>
    <row r="3931" customFormat="1" x14ac:dyDescent="0.2"/>
    <row r="3932" customFormat="1" x14ac:dyDescent="0.2"/>
    <row r="3933" customFormat="1" x14ac:dyDescent="0.2"/>
    <row r="3934" customFormat="1" x14ac:dyDescent="0.2"/>
    <row r="3935" customFormat="1" x14ac:dyDescent="0.2"/>
    <row r="3936" customFormat="1" x14ac:dyDescent="0.2"/>
    <row r="3937" customFormat="1" x14ac:dyDescent="0.2"/>
    <row r="3938" customFormat="1" x14ac:dyDescent="0.2"/>
    <row r="3939" customFormat="1" x14ac:dyDescent="0.2"/>
    <row r="3940" customFormat="1" x14ac:dyDescent="0.2"/>
    <row r="3941" customFormat="1" x14ac:dyDescent="0.2"/>
    <row r="3942" customFormat="1" x14ac:dyDescent="0.2"/>
    <row r="3943" customFormat="1" x14ac:dyDescent="0.2"/>
    <row r="3944" customFormat="1" x14ac:dyDescent="0.2"/>
    <row r="3945" customFormat="1" x14ac:dyDescent="0.2"/>
    <row r="3946" customFormat="1" x14ac:dyDescent="0.2"/>
    <row r="3947" customFormat="1" x14ac:dyDescent="0.2"/>
    <row r="3948" customFormat="1" x14ac:dyDescent="0.2"/>
    <row r="3949" customFormat="1" x14ac:dyDescent="0.2"/>
    <row r="3950" customFormat="1" x14ac:dyDescent="0.2"/>
    <row r="3951" customFormat="1" x14ac:dyDescent="0.2"/>
    <row r="3952" customFormat="1" x14ac:dyDescent="0.2"/>
    <row r="3953" customFormat="1" x14ac:dyDescent="0.2"/>
    <row r="3954" customFormat="1" x14ac:dyDescent="0.2"/>
    <row r="3955" customFormat="1" x14ac:dyDescent="0.2"/>
    <row r="3956" customFormat="1" x14ac:dyDescent="0.2"/>
    <row r="3957" customFormat="1" x14ac:dyDescent="0.2"/>
    <row r="3958" customFormat="1" x14ac:dyDescent="0.2"/>
    <row r="3959" customFormat="1" x14ac:dyDescent="0.2"/>
    <row r="3960" customFormat="1" x14ac:dyDescent="0.2"/>
    <row r="3961" customFormat="1" x14ac:dyDescent="0.2"/>
    <row r="3962" customFormat="1" x14ac:dyDescent="0.2"/>
    <row r="3963" customFormat="1" x14ac:dyDescent="0.2"/>
    <row r="3964" customFormat="1" x14ac:dyDescent="0.2"/>
    <row r="3965" customFormat="1" x14ac:dyDescent="0.2"/>
    <row r="3966" customFormat="1" x14ac:dyDescent="0.2"/>
    <row r="3967" customFormat="1" x14ac:dyDescent="0.2"/>
    <row r="3968" customFormat="1" x14ac:dyDescent="0.2"/>
    <row r="3969" customFormat="1" x14ac:dyDescent="0.2"/>
    <row r="3970" customFormat="1" x14ac:dyDescent="0.2"/>
    <row r="3971" customFormat="1" x14ac:dyDescent="0.2"/>
    <row r="3972" customFormat="1" x14ac:dyDescent="0.2"/>
    <row r="3973" customFormat="1" x14ac:dyDescent="0.2"/>
    <row r="3974" customFormat="1" x14ac:dyDescent="0.2"/>
    <row r="3975" customFormat="1" x14ac:dyDescent="0.2"/>
    <row r="3976" customFormat="1" x14ac:dyDescent="0.2"/>
    <row r="3977" customFormat="1" x14ac:dyDescent="0.2"/>
    <row r="3978" customFormat="1" x14ac:dyDescent="0.2"/>
    <row r="3979" customFormat="1" x14ac:dyDescent="0.2"/>
    <row r="3980" customFormat="1" x14ac:dyDescent="0.2"/>
    <row r="3981" customFormat="1" x14ac:dyDescent="0.2"/>
    <row r="3982" customFormat="1" x14ac:dyDescent="0.2"/>
    <row r="3983" customFormat="1" x14ac:dyDescent="0.2"/>
    <row r="3984" customFormat="1" x14ac:dyDescent="0.2"/>
    <row r="3985" customFormat="1" x14ac:dyDescent="0.2"/>
  </sheetData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X63"/>
  <sheetViews>
    <sheetView topLeftCell="CF35" zoomScale="85" zoomScaleNormal="85" workbookViewId="0">
      <selection activeCell="CO70" sqref="CO70"/>
    </sheetView>
  </sheetViews>
  <sheetFormatPr baseColWidth="10" defaultColWidth="12.5703125" defaultRowHeight="15.75" customHeight="1" x14ac:dyDescent="0.2"/>
  <cols>
    <col min="1" max="1" width="36" customWidth="1"/>
    <col min="2" max="2" width="25.28515625" customWidth="1"/>
    <col min="3" max="3" width="28.85546875" customWidth="1"/>
    <col min="4" max="4" width="24.140625" customWidth="1"/>
    <col min="5" max="5" width="37.140625" customWidth="1"/>
    <col min="6" max="22" width="12.5703125" hidden="1"/>
    <col min="23" max="23" width="16.85546875" hidden="1" customWidth="1"/>
    <col min="24" max="24" width="12.5703125" hidden="1"/>
    <col min="25" max="25" width="16.85546875" hidden="1" customWidth="1"/>
    <col min="26" max="26" width="12.5703125" hidden="1"/>
    <col min="27" max="27" width="16.85546875" hidden="1" customWidth="1"/>
    <col min="28" max="28" width="12.5703125" hidden="1"/>
    <col min="29" max="29" width="16.85546875" hidden="1" customWidth="1"/>
    <col min="30" max="30" width="12.5703125" hidden="1"/>
    <col min="31" max="31" width="16.85546875" hidden="1" customWidth="1"/>
    <col min="32" max="32" width="12.5703125" hidden="1"/>
    <col min="33" max="33" width="16.85546875" hidden="1" customWidth="1"/>
    <col min="34" max="34" width="12.5703125" hidden="1"/>
    <col min="35" max="35" width="16.85546875" hidden="1" customWidth="1"/>
    <col min="36" max="36" width="12.5703125" hidden="1"/>
    <col min="37" max="37" width="16.85546875" hidden="1" customWidth="1"/>
    <col min="38" max="38" width="12.5703125" hidden="1"/>
    <col min="39" max="39" width="16.85546875" hidden="1" customWidth="1"/>
    <col min="40" max="40" width="12.5703125" hidden="1"/>
    <col min="41" max="41" width="16.85546875" hidden="1" customWidth="1"/>
    <col min="42" max="42" width="12.5703125" hidden="1"/>
    <col min="43" max="43" width="16.85546875" hidden="1" customWidth="1"/>
    <col min="44" max="44" width="12.5703125" hidden="1"/>
    <col min="45" max="45" width="16.85546875" hidden="1" customWidth="1"/>
    <col min="46" max="46" width="12.5703125" hidden="1"/>
    <col min="47" max="47" width="16.85546875" hidden="1" customWidth="1"/>
    <col min="48" max="48" width="12.5703125" hidden="1"/>
    <col min="49" max="49" width="16.85546875" hidden="1" customWidth="1"/>
    <col min="50" max="50" width="12.5703125" hidden="1"/>
    <col min="51" max="51" width="16.85546875" hidden="1" customWidth="1"/>
    <col min="52" max="52" width="12.5703125" hidden="1"/>
    <col min="53" max="53" width="16.85546875" hidden="1" customWidth="1"/>
    <col min="54" max="54" width="12.5703125" hidden="1"/>
    <col min="55" max="55" width="16.85546875" hidden="1" customWidth="1"/>
    <col min="56" max="56" width="12.5703125" hidden="1"/>
    <col min="57" max="57" width="16.85546875" hidden="1" customWidth="1"/>
    <col min="58" max="58" width="12.5703125" hidden="1"/>
    <col min="59" max="59" width="0.140625" customWidth="1"/>
    <col min="60" max="60" width="1" hidden="1" customWidth="1"/>
    <col min="61" max="61" width="1.42578125" hidden="1" customWidth="1"/>
    <col min="62" max="62" width="0.140625" hidden="1" customWidth="1"/>
    <col min="63" max="63" width="1.28515625" hidden="1" customWidth="1"/>
    <col min="64" max="64" width="14.5703125" customWidth="1"/>
    <col min="65" max="65" width="17.5703125" customWidth="1"/>
    <col min="66" max="66" width="19.42578125" customWidth="1"/>
    <col min="67" max="67" width="16.140625" customWidth="1"/>
    <col min="71" max="71" width="16" customWidth="1"/>
    <col min="82" max="82" width="15.7109375" customWidth="1"/>
    <col min="83" max="83" width="17.42578125" customWidth="1"/>
    <col min="84" max="84" width="16.28515625" customWidth="1"/>
    <col min="89" max="89" width="15.28515625" customWidth="1"/>
    <col min="91" max="91" width="16.5703125" customWidth="1"/>
    <col min="93" max="93" width="15.5703125" customWidth="1"/>
  </cols>
  <sheetData>
    <row r="1" spans="1:102" s="286" customFormat="1" ht="12.75" x14ac:dyDescent="0.2">
      <c r="A1" s="274" t="s">
        <v>1</v>
      </c>
      <c r="B1" s="274" t="s">
        <v>202</v>
      </c>
      <c r="C1" s="274" t="s">
        <v>203</v>
      </c>
      <c r="D1" s="274" t="s">
        <v>204</v>
      </c>
      <c r="E1" s="274" t="s">
        <v>205</v>
      </c>
      <c r="F1" s="274" t="s">
        <v>479</v>
      </c>
      <c r="G1" s="274" t="s">
        <v>480</v>
      </c>
      <c r="H1" s="274" t="s">
        <v>481</v>
      </c>
      <c r="I1" s="274" t="s">
        <v>482</v>
      </c>
      <c r="J1" s="274" t="s">
        <v>483</v>
      </c>
      <c r="K1" s="274" t="s">
        <v>484</v>
      </c>
      <c r="L1" s="274" t="s">
        <v>485</v>
      </c>
      <c r="M1" s="274" t="s">
        <v>486</v>
      </c>
      <c r="N1" s="274" t="s">
        <v>487</v>
      </c>
      <c r="O1" s="274" t="s">
        <v>488</v>
      </c>
      <c r="P1" s="274" t="s">
        <v>489</v>
      </c>
      <c r="Q1" s="274" t="s">
        <v>490</v>
      </c>
      <c r="R1" s="274" t="s">
        <v>491</v>
      </c>
      <c r="S1" s="274" t="s">
        <v>492</v>
      </c>
      <c r="T1" s="274" t="s">
        <v>493</v>
      </c>
      <c r="U1" s="274" t="s">
        <v>494</v>
      </c>
      <c r="V1" s="274" t="s">
        <v>495</v>
      </c>
      <c r="W1" s="274" t="s">
        <v>496</v>
      </c>
      <c r="X1" s="274" t="s">
        <v>497</v>
      </c>
      <c r="Y1" s="274" t="s">
        <v>498</v>
      </c>
      <c r="Z1" s="274" t="s">
        <v>499</v>
      </c>
      <c r="AA1" s="274" t="s">
        <v>500</v>
      </c>
      <c r="AB1" s="274" t="s">
        <v>501</v>
      </c>
      <c r="AC1" s="274" t="s">
        <v>502</v>
      </c>
      <c r="AD1" s="274" t="s">
        <v>503</v>
      </c>
      <c r="AE1" s="274" t="s">
        <v>504</v>
      </c>
      <c r="AF1" s="274" t="s">
        <v>505</v>
      </c>
      <c r="AG1" s="274" t="s">
        <v>506</v>
      </c>
      <c r="AH1" s="274" t="s">
        <v>507</v>
      </c>
      <c r="AI1" s="274" t="s">
        <v>508</v>
      </c>
      <c r="AJ1" s="274" t="s">
        <v>509</v>
      </c>
      <c r="AK1" s="274" t="s">
        <v>510</v>
      </c>
      <c r="AL1" s="274" t="s">
        <v>511</v>
      </c>
      <c r="AM1" s="274" t="s">
        <v>512</v>
      </c>
      <c r="AN1" s="274" t="s">
        <v>513</v>
      </c>
      <c r="AO1" s="274" t="s">
        <v>514</v>
      </c>
      <c r="AP1" s="274" t="s">
        <v>515</v>
      </c>
      <c r="AQ1" s="274" t="s">
        <v>516</v>
      </c>
      <c r="AR1" s="274" t="s">
        <v>517</v>
      </c>
      <c r="AS1" s="274" t="s">
        <v>518</v>
      </c>
      <c r="AT1" s="274" t="s">
        <v>519</v>
      </c>
      <c r="AU1" s="274" t="s">
        <v>520</v>
      </c>
      <c r="AV1" s="274" t="s">
        <v>521</v>
      </c>
      <c r="AW1" s="274" t="s">
        <v>522</v>
      </c>
      <c r="AX1" s="274" t="s">
        <v>523</v>
      </c>
      <c r="AY1" s="274" t="s">
        <v>524</v>
      </c>
      <c r="AZ1" s="274" t="s">
        <v>525</v>
      </c>
      <c r="BA1" s="274" t="s">
        <v>526</v>
      </c>
      <c r="BB1" s="274" t="s">
        <v>527</v>
      </c>
      <c r="BC1" s="274" t="s">
        <v>528</v>
      </c>
      <c r="BD1" s="274" t="s">
        <v>529</v>
      </c>
      <c r="BE1" s="274" t="s">
        <v>530</v>
      </c>
      <c r="BF1" s="274" t="s">
        <v>531</v>
      </c>
      <c r="BG1" s="274" t="s">
        <v>532</v>
      </c>
      <c r="BH1" s="274" t="s">
        <v>533</v>
      </c>
      <c r="BI1" s="274" t="s">
        <v>534</v>
      </c>
      <c r="BJ1" s="274" t="s">
        <v>535</v>
      </c>
      <c r="BK1" s="295" t="s">
        <v>536</v>
      </c>
      <c r="BL1" s="301" t="s">
        <v>711</v>
      </c>
      <c r="BM1" s="301" t="s">
        <v>712</v>
      </c>
      <c r="BN1" s="303" t="s">
        <v>713</v>
      </c>
      <c r="BO1" s="302" t="s">
        <v>714</v>
      </c>
      <c r="BP1" s="301" t="s">
        <v>715</v>
      </c>
      <c r="BQ1" s="301" t="s">
        <v>716</v>
      </c>
      <c r="BR1" s="301" t="s">
        <v>717</v>
      </c>
      <c r="BS1" s="301" t="s">
        <v>718</v>
      </c>
      <c r="BT1" s="301" t="s">
        <v>719</v>
      </c>
      <c r="BU1" s="301" t="s">
        <v>720</v>
      </c>
      <c r="BV1" s="227" t="s">
        <v>721</v>
      </c>
      <c r="BW1" s="227" t="s">
        <v>722</v>
      </c>
      <c r="BX1" s="227" t="s">
        <v>723</v>
      </c>
      <c r="BY1" s="227" t="s">
        <v>724</v>
      </c>
      <c r="BZ1" s="227" t="s">
        <v>725</v>
      </c>
      <c r="CA1" s="227" t="s">
        <v>726</v>
      </c>
      <c r="CB1" s="227" t="s">
        <v>727</v>
      </c>
      <c r="CC1" s="227" t="s">
        <v>728</v>
      </c>
      <c r="CD1" s="307" t="s">
        <v>729</v>
      </c>
      <c r="CE1" s="227" t="s">
        <v>730</v>
      </c>
      <c r="CF1" s="307" t="s">
        <v>731</v>
      </c>
      <c r="CG1" s="227" t="s">
        <v>732</v>
      </c>
      <c r="CH1" s="227" t="s">
        <v>733</v>
      </c>
      <c r="CI1" s="227" t="s">
        <v>734</v>
      </c>
      <c r="CJ1" s="227" t="s">
        <v>735</v>
      </c>
      <c r="CK1" s="284" t="s">
        <v>736</v>
      </c>
      <c r="CL1" s="284" t="s">
        <v>737</v>
      </c>
      <c r="CM1" s="284" t="s">
        <v>738</v>
      </c>
      <c r="CN1" s="227" t="s">
        <v>747</v>
      </c>
      <c r="CO1" s="227" t="s">
        <v>748</v>
      </c>
      <c r="CP1" s="227"/>
      <c r="CQ1" s="227"/>
      <c r="CR1" s="227"/>
      <c r="CS1" s="227"/>
      <c r="CT1" s="227"/>
      <c r="CU1" s="227"/>
      <c r="CV1" s="227"/>
      <c r="CW1" s="227"/>
      <c r="CX1" s="227"/>
    </row>
    <row r="2" spans="1:102" ht="12.75" x14ac:dyDescent="0.2">
      <c r="A2" s="5" t="s">
        <v>77</v>
      </c>
      <c r="B2" s="26">
        <v>24000</v>
      </c>
      <c r="C2" s="26">
        <v>1000</v>
      </c>
      <c r="D2" s="15">
        <v>3000</v>
      </c>
      <c r="E2" s="15">
        <f>D2-C2</f>
        <v>2000</v>
      </c>
      <c r="F2" s="10">
        <v>1</v>
      </c>
      <c r="G2" s="15">
        <f t="shared" ref="G2:G59" si="0">F2*E2</f>
        <v>2000</v>
      </c>
      <c r="H2" s="10">
        <v>0</v>
      </c>
      <c r="I2" s="15">
        <f t="shared" ref="I2:I59" si="1">H2*E2</f>
        <v>0</v>
      </c>
      <c r="J2" s="10">
        <v>0</v>
      </c>
      <c r="K2" s="15">
        <f t="shared" ref="K2:K59" si="2">J2*E2</f>
        <v>0</v>
      </c>
      <c r="L2" s="10">
        <v>0</v>
      </c>
      <c r="M2" s="15">
        <f t="shared" ref="M2:M59" si="3">L2*E2</f>
        <v>0</v>
      </c>
      <c r="N2" s="10">
        <v>0</v>
      </c>
      <c r="O2" s="15">
        <f t="shared" ref="O2:O59" si="4">N2*E2</f>
        <v>0</v>
      </c>
      <c r="P2" s="10">
        <v>2</v>
      </c>
      <c r="Q2" s="15">
        <f t="shared" ref="Q2:Q59" si="5">P2*E2</f>
        <v>4000</v>
      </c>
      <c r="R2" s="10">
        <v>1</v>
      </c>
      <c r="S2" s="83">
        <f t="shared" ref="S2:S59" si="6">R2*E2</f>
        <v>2000</v>
      </c>
      <c r="T2" s="10">
        <v>6</v>
      </c>
      <c r="U2" s="83">
        <f t="shared" ref="U2:U60" si="7">T2*E2</f>
        <v>12000</v>
      </c>
      <c r="V2" s="78">
        <v>0</v>
      </c>
      <c r="W2" s="83">
        <f t="shared" ref="W2:W60" si="8">V2*E2</f>
        <v>0</v>
      </c>
      <c r="X2" s="78">
        <v>0</v>
      </c>
      <c r="Y2" s="83">
        <f t="shared" ref="Y2:Y60" si="9">X2*E2</f>
        <v>0</v>
      </c>
      <c r="Z2" s="79">
        <v>1</v>
      </c>
      <c r="AA2" s="83">
        <f t="shared" ref="AA2:AA60" si="10">Z2*E2</f>
        <v>2000</v>
      </c>
      <c r="AB2" s="78">
        <v>0</v>
      </c>
      <c r="AC2" s="83">
        <f t="shared" ref="AC2:AC60" si="11">AB2*E2</f>
        <v>0</v>
      </c>
      <c r="AD2" s="79">
        <v>2</v>
      </c>
      <c r="AE2" s="83">
        <f t="shared" ref="AE2:AE60" si="12">AD2*E2</f>
        <v>4000</v>
      </c>
      <c r="AF2" s="78">
        <v>0</v>
      </c>
      <c r="AG2" s="83">
        <f t="shared" ref="AG2:AG60" si="13">AF2*E2</f>
        <v>0</v>
      </c>
      <c r="AH2" s="79">
        <v>0</v>
      </c>
      <c r="AI2" s="83">
        <f t="shared" ref="AI2:AI60" si="14">AH2*E2</f>
        <v>0</v>
      </c>
      <c r="AJ2" s="79">
        <v>0</v>
      </c>
      <c r="AK2" s="83">
        <f t="shared" ref="AK2:AK60" si="15">AJ2*E2</f>
        <v>0</v>
      </c>
      <c r="AL2" s="79">
        <v>0</v>
      </c>
      <c r="AM2" s="83">
        <f t="shared" ref="AM2:AM60" si="16">AL2*E2</f>
        <v>0</v>
      </c>
      <c r="AN2" s="79">
        <v>0</v>
      </c>
      <c r="AO2" s="83">
        <f t="shared" ref="AO2:AO60" si="17">AN2*E2</f>
        <v>0</v>
      </c>
      <c r="AP2" s="79">
        <v>0</v>
      </c>
      <c r="AQ2" s="83">
        <f t="shared" ref="AQ2:AQ60" si="18">AP2*E2</f>
        <v>0</v>
      </c>
      <c r="AR2" s="79">
        <v>3</v>
      </c>
      <c r="AS2" s="83">
        <f t="shared" ref="AS2:AS60" si="19">AR2*E2</f>
        <v>6000</v>
      </c>
      <c r="AT2" s="79">
        <v>0</v>
      </c>
      <c r="AU2" s="83">
        <f t="shared" ref="AU2:AU60" si="20">AT2*E2</f>
        <v>0</v>
      </c>
      <c r="AV2" s="79">
        <v>0</v>
      </c>
      <c r="AW2" s="83">
        <f t="shared" ref="AW2:AW60" si="21">AV2*E2</f>
        <v>0</v>
      </c>
      <c r="AX2" s="79">
        <v>2</v>
      </c>
      <c r="AY2" s="83">
        <f t="shared" ref="AY2:AY60" si="22">AX2*E2</f>
        <v>4000</v>
      </c>
      <c r="AZ2" s="79">
        <v>4</v>
      </c>
      <c r="BA2" s="83">
        <f t="shared" ref="BA2:BA60" si="23">AZ2*E2</f>
        <v>8000</v>
      </c>
      <c r="BB2" s="79">
        <v>3</v>
      </c>
      <c r="BC2" s="83">
        <f t="shared" ref="BC2:BC60" si="24">BB2*E2</f>
        <v>6000</v>
      </c>
      <c r="BD2" s="79">
        <v>0</v>
      </c>
      <c r="BE2" s="83">
        <f t="shared" ref="BE2:BE60" si="25">BD2*E2</f>
        <v>0</v>
      </c>
      <c r="BF2" s="79">
        <v>0</v>
      </c>
      <c r="BG2" s="83">
        <f>BF2*E2</f>
        <v>0</v>
      </c>
      <c r="BH2" s="79">
        <v>0</v>
      </c>
      <c r="BI2" s="83">
        <f>BH2*E2</f>
        <v>0</v>
      </c>
      <c r="BJ2" s="79">
        <v>0</v>
      </c>
      <c r="BK2" s="287">
        <f>BJ2*E2</f>
        <v>0</v>
      </c>
      <c r="BL2" s="299">
        <v>0</v>
      </c>
      <c r="BM2" s="299">
        <f>E2*BL2</f>
        <v>0</v>
      </c>
      <c r="BN2" s="128">
        <v>1</v>
      </c>
      <c r="BO2" s="305">
        <f>BN2*E2</f>
        <v>2000</v>
      </c>
      <c r="BP2" s="128"/>
      <c r="BQ2" s="128">
        <f>BP2*E2</f>
        <v>0</v>
      </c>
      <c r="BR2" s="128"/>
      <c r="BS2" s="128">
        <f>BR2*E2</f>
        <v>0</v>
      </c>
      <c r="BT2" s="128">
        <v>0</v>
      </c>
      <c r="BU2" s="128">
        <f>BT2*E2</f>
        <v>0</v>
      </c>
      <c r="BV2" s="128"/>
      <c r="BW2" s="128">
        <f>BV2*E2</f>
        <v>0</v>
      </c>
      <c r="BX2" s="128">
        <v>2</v>
      </c>
      <c r="BY2" s="128">
        <f>BX2*E2</f>
        <v>4000</v>
      </c>
      <c r="BZ2" s="128"/>
      <c r="CA2" s="128">
        <f>BZ2*E2</f>
        <v>0</v>
      </c>
      <c r="CB2" s="128">
        <v>0</v>
      </c>
      <c r="CC2" s="128">
        <f>CB2*E2</f>
        <v>0</v>
      </c>
      <c r="CD2" s="128"/>
      <c r="CE2" s="128">
        <f>E2*CD2</f>
        <v>0</v>
      </c>
      <c r="CF2" s="128"/>
      <c r="CG2" s="128">
        <f>E2*CF2</f>
        <v>0</v>
      </c>
      <c r="CH2" s="128"/>
      <c r="CI2" s="128">
        <f>E2*CH2</f>
        <v>0</v>
      </c>
      <c r="CJ2" s="128"/>
      <c r="CK2" s="128">
        <f>CJ2*E2</f>
        <v>0</v>
      </c>
      <c r="CL2" s="128">
        <v>0</v>
      </c>
      <c r="CM2" s="128">
        <f>E2*CL2</f>
        <v>0</v>
      </c>
      <c r="CN2" s="128">
        <v>0</v>
      </c>
      <c r="CO2" s="128">
        <f>CN2*E2</f>
        <v>0</v>
      </c>
      <c r="CP2" s="128"/>
      <c r="CQ2" s="128"/>
      <c r="CR2" s="128"/>
      <c r="CS2" s="128"/>
      <c r="CT2" s="128"/>
      <c r="CU2" s="128"/>
      <c r="CV2" s="128"/>
      <c r="CW2" s="128"/>
      <c r="CX2" s="128"/>
    </row>
    <row r="3" spans="1:102" ht="12.75" x14ac:dyDescent="0.2">
      <c r="A3" s="5" t="s">
        <v>78</v>
      </c>
      <c r="B3" s="26">
        <v>30000</v>
      </c>
      <c r="C3" s="26">
        <v>2500</v>
      </c>
      <c r="D3" s="26">
        <v>4000</v>
      </c>
      <c r="E3" s="15">
        <f t="shared" ref="E3:E60" si="26">D3-C3</f>
        <v>1500</v>
      </c>
      <c r="F3" s="10">
        <v>0</v>
      </c>
      <c r="G3" s="15">
        <f t="shared" si="0"/>
        <v>0</v>
      </c>
      <c r="H3" s="10">
        <v>0</v>
      </c>
      <c r="I3" s="15">
        <f t="shared" si="1"/>
        <v>0</v>
      </c>
      <c r="J3" s="10">
        <v>0</v>
      </c>
      <c r="K3" s="15">
        <f t="shared" si="2"/>
        <v>0</v>
      </c>
      <c r="L3" s="10">
        <v>1</v>
      </c>
      <c r="M3" s="15">
        <f t="shared" si="3"/>
        <v>1500</v>
      </c>
      <c r="N3" s="10">
        <v>0</v>
      </c>
      <c r="O3" s="15">
        <f t="shared" si="4"/>
        <v>0</v>
      </c>
      <c r="P3" s="10">
        <v>0</v>
      </c>
      <c r="Q3" s="15">
        <f t="shared" si="5"/>
        <v>0</v>
      </c>
      <c r="R3" s="10">
        <v>1</v>
      </c>
      <c r="S3" s="83">
        <f t="shared" si="6"/>
        <v>1500</v>
      </c>
      <c r="T3" s="10">
        <v>0</v>
      </c>
      <c r="U3" s="83">
        <f t="shared" si="7"/>
        <v>0</v>
      </c>
      <c r="V3" s="78">
        <v>0</v>
      </c>
      <c r="W3" s="83">
        <f t="shared" si="8"/>
        <v>0</v>
      </c>
      <c r="X3" s="78">
        <v>0</v>
      </c>
      <c r="Y3" s="83">
        <f t="shared" si="9"/>
        <v>0</v>
      </c>
      <c r="Z3" s="79">
        <v>1</v>
      </c>
      <c r="AA3" s="83">
        <f t="shared" si="10"/>
        <v>1500</v>
      </c>
      <c r="AB3" s="79">
        <v>1</v>
      </c>
      <c r="AC3" s="83">
        <f t="shared" si="11"/>
        <v>1500</v>
      </c>
      <c r="AD3" s="78">
        <v>0</v>
      </c>
      <c r="AE3" s="83">
        <f t="shared" si="12"/>
        <v>0</v>
      </c>
      <c r="AF3" s="78">
        <v>0</v>
      </c>
      <c r="AG3" s="83">
        <f t="shared" si="13"/>
        <v>0</v>
      </c>
      <c r="AH3" s="80">
        <v>0</v>
      </c>
      <c r="AI3" s="83">
        <f t="shared" si="14"/>
        <v>0</v>
      </c>
      <c r="AJ3" s="79">
        <v>0</v>
      </c>
      <c r="AK3" s="83">
        <f t="shared" si="15"/>
        <v>0</v>
      </c>
      <c r="AL3" s="79">
        <v>2</v>
      </c>
      <c r="AM3" s="83">
        <f t="shared" si="16"/>
        <v>3000</v>
      </c>
      <c r="AN3" s="79">
        <v>1</v>
      </c>
      <c r="AO3" s="83">
        <f t="shared" si="17"/>
        <v>1500</v>
      </c>
      <c r="AP3" s="79">
        <v>1</v>
      </c>
      <c r="AQ3" s="83">
        <f t="shared" si="18"/>
        <v>1500</v>
      </c>
      <c r="AR3" s="79">
        <v>0</v>
      </c>
      <c r="AS3" s="83">
        <f t="shared" si="19"/>
        <v>0</v>
      </c>
      <c r="AT3" s="79">
        <v>1</v>
      </c>
      <c r="AU3" s="83">
        <f t="shared" si="20"/>
        <v>1500</v>
      </c>
      <c r="AV3" s="79">
        <v>0</v>
      </c>
      <c r="AW3" s="83">
        <f t="shared" si="21"/>
        <v>0</v>
      </c>
      <c r="AX3" s="79">
        <v>0</v>
      </c>
      <c r="AY3" s="83">
        <f t="shared" si="22"/>
        <v>0</v>
      </c>
      <c r="AZ3" s="79">
        <v>1</v>
      </c>
      <c r="BA3" s="83">
        <f t="shared" si="23"/>
        <v>1500</v>
      </c>
      <c r="BB3" s="79">
        <v>2</v>
      </c>
      <c r="BC3" s="83">
        <f t="shared" si="24"/>
        <v>3000</v>
      </c>
      <c r="BD3" s="79">
        <v>1</v>
      </c>
      <c r="BE3" s="83">
        <f t="shared" si="25"/>
        <v>1500</v>
      </c>
      <c r="BF3" s="79">
        <v>0</v>
      </c>
      <c r="BG3" s="83">
        <f t="shared" ref="BG3:BG60" si="27">BF3*E3</f>
        <v>0</v>
      </c>
      <c r="BH3" s="79">
        <v>0</v>
      </c>
      <c r="BI3" s="83">
        <f t="shared" ref="BI3:BI60" si="28">BH3*E3</f>
        <v>0</v>
      </c>
      <c r="BJ3" s="79">
        <v>0</v>
      </c>
      <c r="BK3" s="287">
        <f t="shared" ref="BK3:BK60" si="29">BJ3*E3</f>
        <v>0</v>
      </c>
      <c r="BL3" s="299">
        <v>2</v>
      </c>
      <c r="BM3" s="128">
        <f t="shared" ref="BM3:BM23" si="30">E3*BL3</f>
        <v>3000</v>
      </c>
      <c r="BN3" s="128">
        <v>2</v>
      </c>
      <c r="BO3" s="305">
        <f>BN3*E3</f>
        <v>3000</v>
      </c>
      <c r="BP3" s="128"/>
      <c r="BQ3" s="128">
        <v>0</v>
      </c>
      <c r="BR3" s="128"/>
      <c r="BS3" s="128">
        <v>1</v>
      </c>
      <c r="BT3" s="128">
        <v>1</v>
      </c>
      <c r="BU3" s="128">
        <f t="shared" ref="BU3:BU61" si="31">BT3*E3</f>
        <v>1500</v>
      </c>
      <c r="BV3" s="128">
        <v>2</v>
      </c>
      <c r="BW3" s="128">
        <f t="shared" ref="BW3:BW61" si="32">BV3*E3</f>
        <v>3000</v>
      </c>
      <c r="BX3" s="128"/>
      <c r="BY3" s="128">
        <f t="shared" ref="BY3:BY61" si="33">BX3*E3</f>
        <v>0</v>
      </c>
      <c r="BZ3" s="128">
        <v>2</v>
      </c>
      <c r="CA3" s="128">
        <f t="shared" ref="CA3:CA61" si="34">BZ3*E3</f>
        <v>3000</v>
      </c>
      <c r="CB3" s="128">
        <v>0</v>
      </c>
      <c r="CC3" s="128">
        <f t="shared" ref="CC3:CC61" si="35">CB3*E3</f>
        <v>0</v>
      </c>
      <c r="CD3" s="128">
        <v>1</v>
      </c>
      <c r="CE3" s="128">
        <f t="shared" ref="CE3:CE61" si="36">E3*CD3</f>
        <v>1500</v>
      </c>
      <c r="CF3" s="128">
        <v>1</v>
      </c>
      <c r="CG3" s="128">
        <f t="shared" ref="CG3:CG61" si="37">E3*CF3</f>
        <v>1500</v>
      </c>
      <c r="CH3" s="128"/>
      <c r="CI3" s="128">
        <f t="shared" ref="CI3:CI61" si="38">E3*CH3</f>
        <v>0</v>
      </c>
      <c r="CJ3" s="128">
        <v>1</v>
      </c>
      <c r="CK3" s="128">
        <f t="shared" ref="CK3:CK61" si="39">CJ3*E3</f>
        <v>1500</v>
      </c>
      <c r="CL3" s="128">
        <v>0</v>
      </c>
      <c r="CM3" s="128">
        <f t="shared" ref="CM3:CM61" si="40">E3*CL3</f>
        <v>0</v>
      </c>
      <c r="CN3" s="128">
        <v>0</v>
      </c>
      <c r="CO3" s="128">
        <f t="shared" ref="CO3:CO61" si="41">CN3*E3</f>
        <v>0</v>
      </c>
      <c r="CP3" s="128"/>
      <c r="CQ3" s="128"/>
      <c r="CR3" s="128"/>
      <c r="CS3" s="128"/>
      <c r="CT3" s="128"/>
      <c r="CU3" s="128"/>
      <c r="CV3" s="128"/>
      <c r="CW3" s="128"/>
      <c r="CX3" s="128"/>
    </row>
    <row r="4" spans="1:102" ht="12.75" x14ac:dyDescent="0.2">
      <c r="A4" s="5" t="s">
        <v>79</v>
      </c>
      <c r="B4" s="26">
        <v>37000</v>
      </c>
      <c r="C4" s="26">
        <v>3083</v>
      </c>
      <c r="D4" s="26">
        <v>5000</v>
      </c>
      <c r="E4" s="15">
        <f t="shared" si="26"/>
        <v>1917</v>
      </c>
      <c r="F4" s="10">
        <v>1</v>
      </c>
      <c r="G4" s="15">
        <f t="shared" si="0"/>
        <v>1917</v>
      </c>
      <c r="H4" s="10">
        <v>0</v>
      </c>
      <c r="I4" s="15">
        <f t="shared" si="1"/>
        <v>0</v>
      </c>
      <c r="J4" s="10">
        <v>0</v>
      </c>
      <c r="K4" s="15">
        <f t="shared" si="2"/>
        <v>0</v>
      </c>
      <c r="L4" s="10">
        <v>0</v>
      </c>
      <c r="M4" s="15">
        <f t="shared" si="3"/>
        <v>0</v>
      </c>
      <c r="N4" s="10">
        <v>0</v>
      </c>
      <c r="O4" s="15">
        <f t="shared" si="4"/>
        <v>0</v>
      </c>
      <c r="P4" s="10">
        <v>0</v>
      </c>
      <c r="Q4" s="15">
        <f t="shared" si="5"/>
        <v>0</v>
      </c>
      <c r="R4" s="10">
        <v>0</v>
      </c>
      <c r="S4" s="83">
        <f t="shared" si="6"/>
        <v>0</v>
      </c>
      <c r="T4" s="10">
        <v>0</v>
      </c>
      <c r="U4" s="83">
        <f t="shared" si="7"/>
        <v>0</v>
      </c>
      <c r="V4" s="78">
        <v>0</v>
      </c>
      <c r="W4" s="83">
        <f t="shared" si="8"/>
        <v>0</v>
      </c>
      <c r="X4" s="78">
        <v>0</v>
      </c>
      <c r="Y4" s="83">
        <f t="shared" si="9"/>
        <v>0</v>
      </c>
      <c r="Z4" s="78">
        <v>0</v>
      </c>
      <c r="AA4" s="83">
        <f t="shared" si="10"/>
        <v>0</v>
      </c>
      <c r="AB4" s="78">
        <v>0</v>
      </c>
      <c r="AC4" s="83">
        <f t="shared" si="11"/>
        <v>0</v>
      </c>
      <c r="AD4" s="78">
        <v>0</v>
      </c>
      <c r="AE4" s="83">
        <f t="shared" si="12"/>
        <v>0</v>
      </c>
      <c r="AF4" s="78">
        <v>0</v>
      </c>
      <c r="AG4" s="83">
        <f t="shared" si="13"/>
        <v>0</v>
      </c>
      <c r="AH4" s="80">
        <v>1</v>
      </c>
      <c r="AI4" s="83">
        <f t="shared" si="14"/>
        <v>1917</v>
      </c>
      <c r="AJ4" s="79">
        <v>0</v>
      </c>
      <c r="AK4" s="83">
        <f t="shared" si="15"/>
        <v>0</v>
      </c>
      <c r="AL4" s="79">
        <v>6</v>
      </c>
      <c r="AM4" s="83">
        <f t="shared" si="16"/>
        <v>11502</v>
      </c>
      <c r="AN4" s="79">
        <v>1</v>
      </c>
      <c r="AO4" s="83">
        <f t="shared" si="17"/>
        <v>1917</v>
      </c>
      <c r="AP4" s="79">
        <v>1</v>
      </c>
      <c r="AQ4" s="83">
        <f t="shared" si="18"/>
        <v>1917</v>
      </c>
      <c r="AR4" s="79">
        <v>1</v>
      </c>
      <c r="AS4" s="83">
        <f t="shared" si="19"/>
        <v>1917</v>
      </c>
      <c r="AT4" s="79">
        <v>0</v>
      </c>
      <c r="AU4" s="83">
        <f t="shared" si="20"/>
        <v>0</v>
      </c>
      <c r="AV4" s="79">
        <v>0</v>
      </c>
      <c r="AW4" s="83">
        <f t="shared" si="21"/>
        <v>0</v>
      </c>
      <c r="AX4" s="79">
        <v>2</v>
      </c>
      <c r="AY4" s="83">
        <f t="shared" si="22"/>
        <v>3834</v>
      </c>
      <c r="AZ4" s="79">
        <v>3</v>
      </c>
      <c r="BA4" s="83">
        <f t="shared" si="23"/>
        <v>5751</v>
      </c>
      <c r="BB4" s="79">
        <v>1</v>
      </c>
      <c r="BC4" s="83">
        <f t="shared" si="24"/>
        <v>1917</v>
      </c>
      <c r="BD4" s="79">
        <v>0</v>
      </c>
      <c r="BE4" s="83">
        <f t="shared" si="25"/>
        <v>0</v>
      </c>
      <c r="BF4" s="79">
        <v>0</v>
      </c>
      <c r="BG4" s="83">
        <f t="shared" si="27"/>
        <v>0</v>
      </c>
      <c r="BH4" s="79">
        <v>0</v>
      </c>
      <c r="BI4" s="83">
        <f t="shared" si="28"/>
        <v>0</v>
      </c>
      <c r="BJ4" s="79">
        <v>0</v>
      </c>
      <c r="BK4" s="287">
        <f t="shared" si="29"/>
        <v>0</v>
      </c>
      <c r="BL4" s="299">
        <v>0</v>
      </c>
      <c r="BM4" s="128">
        <f t="shared" si="30"/>
        <v>0</v>
      </c>
      <c r="BN4" s="128">
        <v>0</v>
      </c>
      <c r="BO4" s="305">
        <f t="shared" ref="BO4:BO61" si="42">BN4*E4</f>
        <v>0</v>
      </c>
      <c r="BP4" s="128">
        <v>1</v>
      </c>
      <c r="BQ4" s="128">
        <f t="shared" ref="BQ4:BQ61" si="43">BP4*E4</f>
        <v>1917</v>
      </c>
      <c r="BR4" s="128"/>
      <c r="BS4" s="128">
        <f t="shared" ref="BS4:BS61" si="44">BR4*E4</f>
        <v>0</v>
      </c>
      <c r="BT4" s="128">
        <v>0</v>
      </c>
      <c r="BU4" s="128">
        <f t="shared" si="31"/>
        <v>0</v>
      </c>
      <c r="BV4" s="128"/>
      <c r="BW4" s="128">
        <f t="shared" si="32"/>
        <v>0</v>
      </c>
      <c r="BX4" s="128"/>
      <c r="BY4" s="128">
        <f t="shared" si="33"/>
        <v>0</v>
      </c>
      <c r="BZ4" s="128"/>
      <c r="CA4" s="128">
        <f t="shared" si="34"/>
        <v>0</v>
      </c>
      <c r="CB4" s="128">
        <v>0</v>
      </c>
      <c r="CC4" s="128">
        <f t="shared" si="35"/>
        <v>0</v>
      </c>
      <c r="CD4" s="128"/>
      <c r="CE4" s="128">
        <f t="shared" si="36"/>
        <v>0</v>
      </c>
      <c r="CF4" s="128"/>
      <c r="CG4" s="128">
        <f t="shared" si="37"/>
        <v>0</v>
      </c>
      <c r="CH4" s="128"/>
      <c r="CI4" s="128">
        <f t="shared" si="38"/>
        <v>0</v>
      </c>
      <c r="CJ4" s="128"/>
      <c r="CK4" s="128">
        <f t="shared" si="39"/>
        <v>0</v>
      </c>
      <c r="CL4" s="128">
        <v>0</v>
      </c>
      <c r="CM4" s="128">
        <f t="shared" si="40"/>
        <v>0</v>
      </c>
      <c r="CN4" s="128">
        <v>0</v>
      </c>
      <c r="CO4" s="128">
        <f t="shared" si="41"/>
        <v>0</v>
      </c>
      <c r="CP4" s="128"/>
      <c r="CQ4" s="128"/>
      <c r="CR4" s="128"/>
      <c r="CS4" s="128"/>
      <c r="CT4" s="128"/>
      <c r="CU4" s="128"/>
      <c r="CV4" s="128"/>
      <c r="CW4" s="128"/>
      <c r="CX4" s="128"/>
    </row>
    <row r="5" spans="1:102" ht="12.75" x14ac:dyDescent="0.2">
      <c r="A5" s="5" t="s">
        <v>80</v>
      </c>
      <c r="B5" s="15">
        <v>8000</v>
      </c>
      <c r="C5" s="15">
        <v>8000</v>
      </c>
      <c r="D5" s="15">
        <v>12000</v>
      </c>
      <c r="E5" s="15">
        <f t="shared" si="26"/>
        <v>4000</v>
      </c>
      <c r="F5" s="10">
        <v>2</v>
      </c>
      <c r="G5" s="15">
        <f t="shared" si="0"/>
        <v>8000</v>
      </c>
      <c r="H5" s="10">
        <v>0</v>
      </c>
      <c r="I5" s="15">
        <f t="shared" si="1"/>
        <v>0</v>
      </c>
      <c r="J5" s="10">
        <v>0</v>
      </c>
      <c r="K5" s="15">
        <f t="shared" si="2"/>
        <v>0</v>
      </c>
      <c r="L5" s="10">
        <v>0</v>
      </c>
      <c r="M5" s="15">
        <f t="shared" si="3"/>
        <v>0</v>
      </c>
      <c r="N5" s="10">
        <v>0</v>
      </c>
      <c r="O5" s="15">
        <f t="shared" si="4"/>
        <v>0</v>
      </c>
      <c r="P5" s="10">
        <v>0</v>
      </c>
      <c r="Q5" s="15">
        <f t="shared" si="5"/>
        <v>0</v>
      </c>
      <c r="R5" s="10">
        <v>0</v>
      </c>
      <c r="S5" s="83">
        <f t="shared" si="6"/>
        <v>0</v>
      </c>
      <c r="T5" s="10">
        <v>0</v>
      </c>
      <c r="U5" s="83">
        <f t="shared" si="7"/>
        <v>0</v>
      </c>
      <c r="V5" s="78">
        <v>0</v>
      </c>
      <c r="W5" s="83">
        <f t="shared" si="8"/>
        <v>0</v>
      </c>
      <c r="X5" s="78">
        <v>0</v>
      </c>
      <c r="Y5" s="83">
        <f t="shared" si="9"/>
        <v>0</v>
      </c>
      <c r="Z5" s="78">
        <v>0</v>
      </c>
      <c r="AA5" s="83">
        <f t="shared" si="10"/>
        <v>0</v>
      </c>
      <c r="AB5" s="78">
        <v>0</v>
      </c>
      <c r="AC5" s="83">
        <f t="shared" si="11"/>
        <v>0</v>
      </c>
      <c r="AD5" s="78">
        <v>0</v>
      </c>
      <c r="AE5" s="83">
        <f t="shared" si="12"/>
        <v>0</v>
      </c>
      <c r="AF5" s="78">
        <v>0</v>
      </c>
      <c r="AG5" s="83">
        <f t="shared" si="13"/>
        <v>0</v>
      </c>
      <c r="AH5" s="80">
        <v>1</v>
      </c>
      <c r="AI5" s="83">
        <f t="shared" si="14"/>
        <v>4000</v>
      </c>
      <c r="AJ5" s="79">
        <v>0</v>
      </c>
      <c r="AK5" s="83">
        <f t="shared" si="15"/>
        <v>0</v>
      </c>
      <c r="AL5" s="79">
        <v>0</v>
      </c>
      <c r="AM5" s="83">
        <f t="shared" si="16"/>
        <v>0</v>
      </c>
      <c r="AN5" s="79">
        <v>0</v>
      </c>
      <c r="AO5" s="83">
        <f t="shared" si="17"/>
        <v>0</v>
      </c>
      <c r="AP5" s="79">
        <v>0</v>
      </c>
      <c r="AQ5" s="83">
        <f t="shared" si="18"/>
        <v>0</v>
      </c>
      <c r="AR5" s="79">
        <v>0</v>
      </c>
      <c r="AS5" s="83">
        <f t="shared" si="19"/>
        <v>0</v>
      </c>
      <c r="AT5" s="79">
        <v>0</v>
      </c>
      <c r="AU5" s="83">
        <f t="shared" si="20"/>
        <v>0</v>
      </c>
      <c r="AV5" s="79">
        <v>0</v>
      </c>
      <c r="AW5" s="83">
        <f t="shared" si="21"/>
        <v>0</v>
      </c>
      <c r="AX5" s="79">
        <v>0</v>
      </c>
      <c r="AY5" s="83">
        <f t="shared" si="22"/>
        <v>0</v>
      </c>
      <c r="AZ5" s="79">
        <v>0</v>
      </c>
      <c r="BA5" s="83">
        <f t="shared" si="23"/>
        <v>0</v>
      </c>
      <c r="BB5" s="79">
        <v>3</v>
      </c>
      <c r="BC5" s="83">
        <f t="shared" si="24"/>
        <v>12000</v>
      </c>
      <c r="BD5" s="79">
        <v>0</v>
      </c>
      <c r="BE5" s="83">
        <f t="shared" si="25"/>
        <v>0</v>
      </c>
      <c r="BF5" s="79">
        <v>0</v>
      </c>
      <c r="BG5" s="83">
        <f t="shared" si="27"/>
        <v>0</v>
      </c>
      <c r="BH5" s="79">
        <v>0</v>
      </c>
      <c r="BI5" s="83">
        <f t="shared" si="28"/>
        <v>0</v>
      </c>
      <c r="BJ5" s="79">
        <v>0</v>
      </c>
      <c r="BK5" s="287">
        <f t="shared" si="29"/>
        <v>0</v>
      </c>
      <c r="BL5" s="299">
        <v>0</v>
      </c>
      <c r="BM5" s="128">
        <f t="shared" si="30"/>
        <v>0</v>
      </c>
      <c r="BN5" s="128">
        <v>1</v>
      </c>
      <c r="BO5" s="305">
        <f t="shared" si="42"/>
        <v>4000</v>
      </c>
      <c r="BP5" s="128"/>
      <c r="BQ5" s="128">
        <f t="shared" si="43"/>
        <v>0</v>
      </c>
      <c r="BR5" s="128"/>
      <c r="BS5" s="128">
        <f t="shared" si="44"/>
        <v>0</v>
      </c>
      <c r="BT5" s="128">
        <v>0</v>
      </c>
      <c r="BU5" s="128">
        <f t="shared" si="31"/>
        <v>0</v>
      </c>
      <c r="BV5" s="128"/>
      <c r="BW5" s="128">
        <f t="shared" si="32"/>
        <v>0</v>
      </c>
      <c r="BX5" s="128"/>
      <c r="BY5" s="128">
        <f t="shared" si="33"/>
        <v>0</v>
      </c>
      <c r="BZ5" s="128"/>
      <c r="CA5" s="128">
        <f t="shared" si="34"/>
        <v>0</v>
      </c>
      <c r="CB5" s="128">
        <v>0</v>
      </c>
      <c r="CC5" s="128">
        <f t="shared" si="35"/>
        <v>0</v>
      </c>
      <c r="CD5" s="128"/>
      <c r="CE5" s="128">
        <f t="shared" si="36"/>
        <v>0</v>
      </c>
      <c r="CF5" s="128"/>
      <c r="CG5" s="128">
        <f t="shared" si="37"/>
        <v>0</v>
      </c>
      <c r="CH5" s="128"/>
      <c r="CI5" s="128">
        <f t="shared" si="38"/>
        <v>0</v>
      </c>
      <c r="CJ5" s="128"/>
      <c r="CK5" s="128">
        <f t="shared" si="39"/>
        <v>0</v>
      </c>
      <c r="CL5" s="128">
        <v>0</v>
      </c>
      <c r="CM5" s="128">
        <f t="shared" si="40"/>
        <v>0</v>
      </c>
      <c r="CN5" s="128">
        <v>0</v>
      </c>
      <c r="CO5" s="128">
        <f t="shared" si="41"/>
        <v>0</v>
      </c>
      <c r="CP5" s="128"/>
      <c r="CQ5" s="128"/>
      <c r="CR5" s="128"/>
      <c r="CS5" s="128"/>
      <c r="CT5" s="128"/>
      <c r="CU5" s="128"/>
      <c r="CV5" s="128"/>
      <c r="CW5" s="128"/>
      <c r="CX5" s="128"/>
    </row>
    <row r="6" spans="1:102" ht="12.75" x14ac:dyDescent="0.2">
      <c r="A6" s="5" t="s">
        <v>81</v>
      </c>
      <c r="B6" s="15">
        <v>2000</v>
      </c>
      <c r="C6" s="15">
        <v>2000</v>
      </c>
      <c r="D6" s="15">
        <v>3000</v>
      </c>
      <c r="E6" s="15">
        <f t="shared" si="26"/>
        <v>1000</v>
      </c>
      <c r="F6" s="10">
        <v>0</v>
      </c>
      <c r="G6" s="15">
        <f t="shared" si="0"/>
        <v>0</v>
      </c>
      <c r="H6" s="10">
        <v>0</v>
      </c>
      <c r="I6" s="15">
        <f t="shared" si="1"/>
        <v>0</v>
      </c>
      <c r="J6" s="10">
        <v>0</v>
      </c>
      <c r="K6" s="15">
        <f t="shared" si="2"/>
        <v>0</v>
      </c>
      <c r="L6" s="10">
        <v>0</v>
      </c>
      <c r="M6" s="15">
        <f t="shared" si="3"/>
        <v>0</v>
      </c>
      <c r="N6" s="10">
        <v>0</v>
      </c>
      <c r="O6" s="15">
        <f t="shared" si="4"/>
        <v>0</v>
      </c>
      <c r="P6" s="10">
        <v>0</v>
      </c>
      <c r="Q6" s="15">
        <f t="shared" si="5"/>
        <v>0</v>
      </c>
      <c r="R6" s="10">
        <v>0</v>
      </c>
      <c r="S6" s="83">
        <f t="shared" si="6"/>
        <v>0</v>
      </c>
      <c r="T6" s="10">
        <v>0</v>
      </c>
      <c r="U6" s="83">
        <f t="shared" si="7"/>
        <v>0</v>
      </c>
      <c r="V6" s="78">
        <v>0</v>
      </c>
      <c r="W6" s="83">
        <f t="shared" si="8"/>
        <v>0</v>
      </c>
      <c r="X6" s="78">
        <v>0</v>
      </c>
      <c r="Y6" s="83">
        <f t="shared" si="9"/>
        <v>0</v>
      </c>
      <c r="Z6" s="78">
        <v>0</v>
      </c>
      <c r="AA6" s="83">
        <f t="shared" si="10"/>
        <v>0</v>
      </c>
      <c r="AB6" s="78">
        <v>0</v>
      </c>
      <c r="AC6" s="83">
        <f t="shared" si="11"/>
        <v>0</v>
      </c>
      <c r="AD6" s="78">
        <v>0</v>
      </c>
      <c r="AE6" s="83">
        <f t="shared" si="12"/>
        <v>0</v>
      </c>
      <c r="AF6" s="78">
        <v>0</v>
      </c>
      <c r="AG6" s="83">
        <f t="shared" si="13"/>
        <v>0</v>
      </c>
      <c r="AH6" s="79">
        <v>0</v>
      </c>
      <c r="AI6" s="83">
        <f t="shared" si="14"/>
        <v>0</v>
      </c>
      <c r="AJ6" s="79">
        <v>0</v>
      </c>
      <c r="AK6" s="83">
        <f t="shared" si="15"/>
        <v>0</v>
      </c>
      <c r="AL6" s="79">
        <v>0</v>
      </c>
      <c r="AM6" s="83">
        <f t="shared" si="16"/>
        <v>0</v>
      </c>
      <c r="AN6" s="79">
        <v>0</v>
      </c>
      <c r="AO6" s="83">
        <f t="shared" si="17"/>
        <v>0</v>
      </c>
      <c r="AP6" s="79">
        <v>0</v>
      </c>
      <c r="AQ6" s="83">
        <f t="shared" si="18"/>
        <v>0</v>
      </c>
      <c r="AR6" s="79">
        <v>0</v>
      </c>
      <c r="AS6" s="83">
        <f t="shared" si="19"/>
        <v>0</v>
      </c>
      <c r="AT6" s="79">
        <v>0</v>
      </c>
      <c r="AU6" s="83">
        <f t="shared" si="20"/>
        <v>0</v>
      </c>
      <c r="AV6" s="79">
        <v>0</v>
      </c>
      <c r="AW6" s="83">
        <f t="shared" si="21"/>
        <v>0</v>
      </c>
      <c r="AX6" s="79">
        <v>0</v>
      </c>
      <c r="AY6" s="83">
        <f t="shared" si="22"/>
        <v>0</v>
      </c>
      <c r="AZ6" s="79">
        <v>0</v>
      </c>
      <c r="BA6" s="83">
        <f t="shared" si="23"/>
        <v>0</v>
      </c>
      <c r="BB6" s="79">
        <v>0</v>
      </c>
      <c r="BC6" s="83">
        <f t="shared" si="24"/>
        <v>0</v>
      </c>
      <c r="BD6" s="79">
        <v>0</v>
      </c>
      <c r="BE6" s="83">
        <f t="shared" si="25"/>
        <v>0</v>
      </c>
      <c r="BF6" s="79">
        <v>0</v>
      </c>
      <c r="BG6" s="83">
        <f t="shared" si="27"/>
        <v>0</v>
      </c>
      <c r="BH6" s="79">
        <v>0</v>
      </c>
      <c r="BI6" s="83">
        <f t="shared" si="28"/>
        <v>0</v>
      </c>
      <c r="BJ6" s="79">
        <v>0</v>
      </c>
      <c r="BK6" s="287">
        <f t="shared" si="29"/>
        <v>0</v>
      </c>
      <c r="BL6" s="299">
        <v>0</v>
      </c>
      <c r="BM6" s="128">
        <f t="shared" si="30"/>
        <v>0</v>
      </c>
      <c r="BN6" s="128">
        <v>0</v>
      </c>
      <c r="BO6" s="305">
        <f t="shared" si="42"/>
        <v>0</v>
      </c>
      <c r="BP6" s="128"/>
      <c r="BQ6" s="128">
        <f t="shared" si="43"/>
        <v>0</v>
      </c>
      <c r="BR6" s="128"/>
      <c r="BS6" s="128">
        <f t="shared" si="44"/>
        <v>0</v>
      </c>
      <c r="BT6" s="128">
        <v>0</v>
      </c>
      <c r="BU6" s="128">
        <f t="shared" si="31"/>
        <v>0</v>
      </c>
      <c r="BV6" s="128"/>
      <c r="BW6" s="128">
        <f t="shared" si="32"/>
        <v>0</v>
      </c>
      <c r="BX6" s="128"/>
      <c r="BY6" s="128">
        <f t="shared" si="33"/>
        <v>0</v>
      </c>
      <c r="BZ6" s="128"/>
      <c r="CA6" s="128">
        <f t="shared" si="34"/>
        <v>0</v>
      </c>
      <c r="CB6" s="128">
        <v>0</v>
      </c>
      <c r="CC6" s="128">
        <f t="shared" si="35"/>
        <v>0</v>
      </c>
      <c r="CD6" s="128"/>
      <c r="CE6" s="128">
        <f t="shared" si="36"/>
        <v>0</v>
      </c>
      <c r="CF6" s="128"/>
      <c r="CG6" s="128">
        <f t="shared" si="37"/>
        <v>0</v>
      </c>
      <c r="CH6" s="128"/>
      <c r="CI6" s="128">
        <f t="shared" si="38"/>
        <v>0</v>
      </c>
      <c r="CJ6" s="128"/>
      <c r="CK6" s="128">
        <f t="shared" si="39"/>
        <v>0</v>
      </c>
      <c r="CL6" s="128">
        <v>0</v>
      </c>
      <c r="CM6" s="128">
        <f t="shared" si="40"/>
        <v>0</v>
      </c>
      <c r="CN6" s="128">
        <v>0</v>
      </c>
      <c r="CO6" s="128">
        <f t="shared" si="41"/>
        <v>0</v>
      </c>
      <c r="CP6" s="128"/>
      <c r="CQ6" s="128"/>
      <c r="CR6" s="128"/>
      <c r="CS6" s="128"/>
      <c r="CT6" s="128"/>
      <c r="CU6" s="128"/>
      <c r="CV6" s="128"/>
      <c r="CW6" s="128"/>
      <c r="CX6" s="128"/>
    </row>
    <row r="7" spans="1:102" ht="12.75" x14ac:dyDescent="0.2">
      <c r="A7" s="5" t="s">
        <v>82</v>
      </c>
      <c r="B7" s="15">
        <v>2000</v>
      </c>
      <c r="C7" s="15">
        <v>2000</v>
      </c>
      <c r="D7" s="15">
        <v>3000</v>
      </c>
      <c r="E7" s="15">
        <f t="shared" si="26"/>
        <v>1000</v>
      </c>
      <c r="F7" s="10">
        <v>0</v>
      </c>
      <c r="G7" s="15">
        <f t="shared" si="0"/>
        <v>0</v>
      </c>
      <c r="H7" s="10">
        <v>0</v>
      </c>
      <c r="I7" s="15">
        <f t="shared" si="1"/>
        <v>0</v>
      </c>
      <c r="J7" s="10">
        <v>0</v>
      </c>
      <c r="K7" s="15">
        <f t="shared" si="2"/>
        <v>0</v>
      </c>
      <c r="L7" s="10">
        <v>0</v>
      </c>
      <c r="M7" s="15">
        <f t="shared" si="3"/>
        <v>0</v>
      </c>
      <c r="N7" s="10">
        <v>0</v>
      </c>
      <c r="O7" s="15">
        <f t="shared" si="4"/>
        <v>0</v>
      </c>
      <c r="P7" s="10">
        <v>0</v>
      </c>
      <c r="Q7" s="15">
        <f t="shared" si="5"/>
        <v>0</v>
      </c>
      <c r="R7" s="10">
        <v>0</v>
      </c>
      <c r="S7" s="83">
        <f t="shared" si="6"/>
        <v>0</v>
      </c>
      <c r="T7" s="10">
        <v>0</v>
      </c>
      <c r="U7" s="83">
        <f t="shared" si="7"/>
        <v>0</v>
      </c>
      <c r="V7" s="78">
        <v>0</v>
      </c>
      <c r="W7" s="83">
        <f t="shared" si="8"/>
        <v>0</v>
      </c>
      <c r="X7" s="78">
        <v>0</v>
      </c>
      <c r="Y7" s="83">
        <f t="shared" si="9"/>
        <v>0</v>
      </c>
      <c r="Z7" s="78">
        <v>0</v>
      </c>
      <c r="AA7" s="83">
        <f t="shared" si="10"/>
        <v>0</v>
      </c>
      <c r="AB7" s="78">
        <v>0</v>
      </c>
      <c r="AC7" s="83">
        <f t="shared" si="11"/>
        <v>0</v>
      </c>
      <c r="AD7" s="78">
        <v>0</v>
      </c>
      <c r="AE7" s="83">
        <f t="shared" si="12"/>
        <v>0</v>
      </c>
      <c r="AF7" s="78">
        <v>0</v>
      </c>
      <c r="AG7" s="83">
        <f t="shared" si="13"/>
        <v>0</v>
      </c>
      <c r="AH7" s="79">
        <v>0</v>
      </c>
      <c r="AI7" s="83">
        <f t="shared" si="14"/>
        <v>0</v>
      </c>
      <c r="AJ7" s="79">
        <v>0</v>
      </c>
      <c r="AK7" s="83">
        <f t="shared" si="15"/>
        <v>0</v>
      </c>
      <c r="AL7" s="79">
        <v>0</v>
      </c>
      <c r="AM7" s="83">
        <f t="shared" si="16"/>
        <v>0</v>
      </c>
      <c r="AN7" s="79">
        <v>0</v>
      </c>
      <c r="AO7" s="83">
        <f t="shared" si="17"/>
        <v>0</v>
      </c>
      <c r="AP7" s="79">
        <v>0</v>
      </c>
      <c r="AQ7" s="83">
        <f t="shared" si="18"/>
        <v>0</v>
      </c>
      <c r="AR7" s="79">
        <v>0</v>
      </c>
      <c r="AS7" s="83">
        <f t="shared" si="19"/>
        <v>0</v>
      </c>
      <c r="AT7" s="79">
        <v>0</v>
      </c>
      <c r="AU7" s="83">
        <f t="shared" si="20"/>
        <v>0</v>
      </c>
      <c r="AV7" s="79">
        <v>0</v>
      </c>
      <c r="AW7" s="83">
        <f t="shared" si="21"/>
        <v>0</v>
      </c>
      <c r="AX7" s="79">
        <v>0</v>
      </c>
      <c r="AY7" s="83">
        <f t="shared" si="22"/>
        <v>0</v>
      </c>
      <c r="AZ7" s="79">
        <v>0</v>
      </c>
      <c r="BA7" s="83">
        <f t="shared" si="23"/>
        <v>0</v>
      </c>
      <c r="BB7" s="79">
        <v>0</v>
      </c>
      <c r="BC7" s="83">
        <f t="shared" si="24"/>
        <v>0</v>
      </c>
      <c r="BD7" s="79">
        <v>0</v>
      </c>
      <c r="BE7" s="83">
        <f t="shared" si="25"/>
        <v>0</v>
      </c>
      <c r="BF7" s="79">
        <v>0</v>
      </c>
      <c r="BG7" s="83">
        <f t="shared" si="27"/>
        <v>0</v>
      </c>
      <c r="BH7" s="79">
        <v>0</v>
      </c>
      <c r="BI7" s="83">
        <f t="shared" si="28"/>
        <v>0</v>
      </c>
      <c r="BJ7" s="79">
        <v>0</v>
      </c>
      <c r="BK7" s="287">
        <f t="shared" si="29"/>
        <v>0</v>
      </c>
      <c r="BL7" s="299">
        <v>0</v>
      </c>
      <c r="BM7" s="128">
        <f t="shared" si="30"/>
        <v>0</v>
      </c>
      <c r="BN7" s="128">
        <v>0</v>
      </c>
      <c r="BO7" s="305">
        <f t="shared" si="42"/>
        <v>0</v>
      </c>
      <c r="BP7" s="128"/>
      <c r="BQ7" s="128">
        <f t="shared" si="43"/>
        <v>0</v>
      </c>
      <c r="BR7" s="128"/>
      <c r="BS7" s="128">
        <f t="shared" si="44"/>
        <v>0</v>
      </c>
      <c r="BT7" s="128">
        <v>0</v>
      </c>
      <c r="BU7" s="128">
        <f t="shared" si="31"/>
        <v>0</v>
      </c>
      <c r="BV7" s="128"/>
      <c r="BW7" s="128">
        <f t="shared" si="32"/>
        <v>0</v>
      </c>
      <c r="BX7" s="128"/>
      <c r="BY7" s="128">
        <f t="shared" si="33"/>
        <v>0</v>
      </c>
      <c r="BZ7" s="128"/>
      <c r="CA7" s="128">
        <f t="shared" si="34"/>
        <v>0</v>
      </c>
      <c r="CB7" s="128">
        <v>0</v>
      </c>
      <c r="CC7" s="128">
        <f t="shared" si="35"/>
        <v>0</v>
      </c>
      <c r="CD7" s="128"/>
      <c r="CE7" s="128">
        <f t="shared" si="36"/>
        <v>0</v>
      </c>
      <c r="CF7" s="128"/>
      <c r="CG7" s="128">
        <f t="shared" si="37"/>
        <v>0</v>
      </c>
      <c r="CH7" s="128"/>
      <c r="CI7" s="128">
        <f t="shared" si="38"/>
        <v>0</v>
      </c>
      <c r="CJ7" s="128"/>
      <c r="CK7" s="128">
        <f t="shared" si="39"/>
        <v>0</v>
      </c>
      <c r="CL7" s="128">
        <v>0</v>
      </c>
      <c r="CM7" s="128">
        <f t="shared" si="40"/>
        <v>0</v>
      </c>
      <c r="CN7" s="128">
        <v>0</v>
      </c>
      <c r="CO7" s="128">
        <f t="shared" si="41"/>
        <v>0</v>
      </c>
      <c r="CP7" s="128"/>
      <c r="CQ7" s="128"/>
      <c r="CR7" s="128"/>
      <c r="CS7" s="128"/>
      <c r="CT7" s="128"/>
      <c r="CU7" s="128"/>
      <c r="CV7" s="128"/>
      <c r="CW7" s="128"/>
      <c r="CX7" s="128"/>
    </row>
    <row r="8" spans="1:102" ht="12.75" x14ac:dyDescent="0.2">
      <c r="A8" s="5" t="s">
        <v>83</v>
      </c>
      <c r="B8" s="15">
        <v>2000</v>
      </c>
      <c r="C8" s="15">
        <v>2000</v>
      </c>
      <c r="D8" s="15">
        <v>3000</v>
      </c>
      <c r="E8" s="15">
        <f t="shared" si="26"/>
        <v>1000</v>
      </c>
      <c r="F8" s="10">
        <v>0</v>
      </c>
      <c r="G8" s="15">
        <f t="shared" si="0"/>
        <v>0</v>
      </c>
      <c r="H8" s="10">
        <v>0</v>
      </c>
      <c r="I8" s="15">
        <f t="shared" si="1"/>
        <v>0</v>
      </c>
      <c r="J8" s="10">
        <v>0</v>
      </c>
      <c r="K8" s="15">
        <f t="shared" si="2"/>
        <v>0</v>
      </c>
      <c r="L8" s="10">
        <v>0</v>
      </c>
      <c r="M8" s="15">
        <f t="shared" si="3"/>
        <v>0</v>
      </c>
      <c r="N8" s="10">
        <v>0</v>
      </c>
      <c r="O8" s="15">
        <f t="shared" si="4"/>
        <v>0</v>
      </c>
      <c r="P8" s="10">
        <v>0</v>
      </c>
      <c r="Q8" s="15">
        <f t="shared" si="5"/>
        <v>0</v>
      </c>
      <c r="R8" s="10">
        <v>0</v>
      </c>
      <c r="S8" s="83">
        <f t="shared" si="6"/>
        <v>0</v>
      </c>
      <c r="T8" s="10">
        <v>0</v>
      </c>
      <c r="U8" s="83">
        <f t="shared" si="7"/>
        <v>0</v>
      </c>
      <c r="V8" s="78">
        <v>0</v>
      </c>
      <c r="W8" s="83">
        <f t="shared" si="8"/>
        <v>0</v>
      </c>
      <c r="X8" s="78">
        <v>0</v>
      </c>
      <c r="Y8" s="83">
        <f t="shared" si="9"/>
        <v>0</v>
      </c>
      <c r="Z8" s="78">
        <v>0</v>
      </c>
      <c r="AA8" s="83">
        <f t="shared" si="10"/>
        <v>0</v>
      </c>
      <c r="AB8" s="78">
        <v>0</v>
      </c>
      <c r="AC8" s="83">
        <f t="shared" si="11"/>
        <v>0</v>
      </c>
      <c r="AD8" s="78">
        <v>0</v>
      </c>
      <c r="AE8" s="83">
        <f t="shared" si="12"/>
        <v>0</v>
      </c>
      <c r="AF8" s="78">
        <v>0</v>
      </c>
      <c r="AG8" s="83">
        <f t="shared" si="13"/>
        <v>0</v>
      </c>
      <c r="AH8" s="79">
        <v>0</v>
      </c>
      <c r="AI8" s="83">
        <f t="shared" si="14"/>
        <v>0</v>
      </c>
      <c r="AJ8" s="79">
        <v>0</v>
      </c>
      <c r="AK8" s="83">
        <f t="shared" si="15"/>
        <v>0</v>
      </c>
      <c r="AL8" s="79">
        <v>0</v>
      </c>
      <c r="AM8" s="83">
        <f t="shared" si="16"/>
        <v>0</v>
      </c>
      <c r="AN8" s="79">
        <v>0</v>
      </c>
      <c r="AO8" s="83">
        <f t="shared" si="17"/>
        <v>0</v>
      </c>
      <c r="AP8" s="79">
        <v>0</v>
      </c>
      <c r="AQ8" s="83">
        <f t="shared" si="18"/>
        <v>0</v>
      </c>
      <c r="AR8" s="79">
        <v>0</v>
      </c>
      <c r="AS8" s="83">
        <f t="shared" si="19"/>
        <v>0</v>
      </c>
      <c r="AT8" s="79">
        <v>0</v>
      </c>
      <c r="AU8" s="83">
        <f t="shared" si="20"/>
        <v>0</v>
      </c>
      <c r="AV8" s="79">
        <v>0</v>
      </c>
      <c r="AW8" s="83">
        <f t="shared" si="21"/>
        <v>0</v>
      </c>
      <c r="AX8" s="79">
        <v>0</v>
      </c>
      <c r="AY8" s="83">
        <f t="shared" si="22"/>
        <v>0</v>
      </c>
      <c r="AZ8" s="79">
        <v>0</v>
      </c>
      <c r="BA8" s="83">
        <f t="shared" si="23"/>
        <v>0</v>
      </c>
      <c r="BB8" s="79">
        <v>0</v>
      </c>
      <c r="BC8" s="83">
        <f t="shared" si="24"/>
        <v>0</v>
      </c>
      <c r="BD8" s="79">
        <v>0</v>
      </c>
      <c r="BE8" s="83">
        <f t="shared" si="25"/>
        <v>0</v>
      </c>
      <c r="BF8" s="79">
        <v>0</v>
      </c>
      <c r="BG8" s="83">
        <f t="shared" si="27"/>
        <v>0</v>
      </c>
      <c r="BH8" s="79">
        <v>0</v>
      </c>
      <c r="BI8" s="83">
        <f t="shared" si="28"/>
        <v>0</v>
      </c>
      <c r="BJ8" s="79">
        <v>0</v>
      </c>
      <c r="BK8" s="287">
        <f t="shared" si="29"/>
        <v>0</v>
      </c>
      <c r="BL8" s="299">
        <v>0</v>
      </c>
      <c r="BM8" s="128">
        <f t="shared" si="30"/>
        <v>0</v>
      </c>
      <c r="BN8" s="128">
        <v>0</v>
      </c>
      <c r="BO8" s="305">
        <f t="shared" si="42"/>
        <v>0</v>
      </c>
      <c r="BP8" s="128"/>
      <c r="BQ8" s="128">
        <f t="shared" si="43"/>
        <v>0</v>
      </c>
      <c r="BR8" s="128"/>
      <c r="BS8" s="128">
        <f t="shared" si="44"/>
        <v>0</v>
      </c>
      <c r="BT8" s="128">
        <v>0</v>
      </c>
      <c r="BU8" s="128">
        <f t="shared" si="31"/>
        <v>0</v>
      </c>
      <c r="BV8" s="128"/>
      <c r="BW8" s="128">
        <f t="shared" si="32"/>
        <v>0</v>
      </c>
      <c r="BX8" s="128"/>
      <c r="BY8" s="128">
        <f t="shared" si="33"/>
        <v>0</v>
      </c>
      <c r="BZ8" s="128"/>
      <c r="CA8" s="128">
        <f t="shared" si="34"/>
        <v>0</v>
      </c>
      <c r="CB8" s="128">
        <v>0</v>
      </c>
      <c r="CC8" s="128">
        <f t="shared" si="35"/>
        <v>0</v>
      </c>
      <c r="CD8" s="128"/>
      <c r="CE8" s="128">
        <f t="shared" si="36"/>
        <v>0</v>
      </c>
      <c r="CF8" s="128"/>
      <c r="CG8" s="128">
        <f t="shared" si="37"/>
        <v>0</v>
      </c>
      <c r="CH8" s="128">
        <v>1</v>
      </c>
      <c r="CI8" s="128">
        <f t="shared" si="38"/>
        <v>1000</v>
      </c>
      <c r="CJ8" s="128"/>
      <c r="CK8" s="128">
        <f t="shared" si="39"/>
        <v>0</v>
      </c>
      <c r="CL8" s="128">
        <v>0</v>
      </c>
      <c r="CM8" s="128">
        <f t="shared" si="40"/>
        <v>0</v>
      </c>
      <c r="CN8" s="128">
        <v>0</v>
      </c>
      <c r="CO8" s="128">
        <f t="shared" si="41"/>
        <v>0</v>
      </c>
      <c r="CP8" s="128"/>
      <c r="CQ8" s="128"/>
      <c r="CR8" s="128"/>
      <c r="CS8" s="128"/>
      <c r="CT8" s="128"/>
      <c r="CU8" s="128"/>
      <c r="CV8" s="128"/>
      <c r="CW8" s="128"/>
      <c r="CX8" s="128"/>
    </row>
    <row r="9" spans="1:102" ht="12.75" x14ac:dyDescent="0.2">
      <c r="A9" s="5" t="s">
        <v>84</v>
      </c>
      <c r="B9" s="15">
        <v>46800</v>
      </c>
      <c r="C9" s="15">
        <v>1950</v>
      </c>
      <c r="D9" s="15">
        <v>4000</v>
      </c>
      <c r="E9" s="15">
        <f t="shared" si="26"/>
        <v>2050</v>
      </c>
      <c r="F9" s="10">
        <v>0</v>
      </c>
      <c r="G9" s="15">
        <f t="shared" si="0"/>
        <v>0</v>
      </c>
      <c r="H9" s="10">
        <v>0</v>
      </c>
      <c r="I9" s="15">
        <f t="shared" si="1"/>
        <v>0</v>
      </c>
      <c r="J9" s="10">
        <v>0</v>
      </c>
      <c r="K9" s="15">
        <f t="shared" si="2"/>
        <v>0</v>
      </c>
      <c r="L9" s="10">
        <v>0</v>
      </c>
      <c r="M9" s="15">
        <f t="shared" si="3"/>
        <v>0</v>
      </c>
      <c r="N9" s="10">
        <v>0</v>
      </c>
      <c r="O9" s="15">
        <f t="shared" si="4"/>
        <v>0</v>
      </c>
      <c r="P9" s="10">
        <v>0</v>
      </c>
      <c r="Q9" s="15">
        <f t="shared" si="5"/>
        <v>0</v>
      </c>
      <c r="R9" s="10">
        <v>0</v>
      </c>
      <c r="S9" s="83">
        <f t="shared" si="6"/>
        <v>0</v>
      </c>
      <c r="T9" s="10">
        <v>2</v>
      </c>
      <c r="U9" s="83">
        <f t="shared" si="7"/>
        <v>4100</v>
      </c>
      <c r="V9" s="79">
        <v>1</v>
      </c>
      <c r="W9" s="83">
        <f t="shared" si="8"/>
        <v>2050</v>
      </c>
      <c r="X9" s="78">
        <v>0</v>
      </c>
      <c r="Y9" s="83">
        <f t="shared" si="9"/>
        <v>0</v>
      </c>
      <c r="Z9" s="79">
        <v>1</v>
      </c>
      <c r="AA9" s="83">
        <f t="shared" si="10"/>
        <v>2050</v>
      </c>
      <c r="AB9" s="78">
        <v>0</v>
      </c>
      <c r="AC9" s="83">
        <f t="shared" si="11"/>
        <v>0</v>
      </c>
      <c r="AD9" s="78">
        <v>0</v>
      </c>
      <c r="AE9" s="83">
        <f t="shared" si="12"/>
        <v>0</v>
      </c>
      <c r="AF9" s="78">
        <v>0</v>
      </c>
      <c r="AG9" s="83">
        <f t="shared" si="13"/>
        <v>0</v>
      </c>
      <c r="AH9" s="79">
        <v>0</v>
      </c>
      <c r="AI9" s="83">
        <f t="shared" si="14"/>
        <v>0</v>
      </c>
      <c r="AJ9" s="79">
        <v>0</v>
      </c>
      <c r="AK9" s="83">
        <f t="shared" si="15"/>
        <v>0</v>
      </c>
      <c r="AL9" s="79">
        <v>2</v>
      </c>
      <c r="AM9" s="83">
        <f t="shared" si="16"/>
        <v>4100</v>
      </c>
      <c r="AN9" s="79">
        <v>0</v>
      </c>
      <c r="AO9" s="83">
        <f t="shared" si="17"/>
        <v>0</v>
      </c>
      <c r="AP9" s="79">
        <v>0</v>
      </c>
      <c r="AQ9" s="83">
        <f t="shared" si="18"/>
        <v>0</v>
      </c>
      <c r="AR9" s="79">
        <v>0</v>
      </c>
      <c r="AS9" s="83">
        <f t="shared" si="19"/>
        <v>0</v>
      </c>
      <c r="AT9" s="79">
        <v>2</v>
      </c>
      <c r="AU9" s="83">
        <f t="shared" si="20"/>
        <v>4100</v>
      </c>
      <c r="AV9" s="79">
        <v>0</v>
      </c>
      <c r="AW9" s="83">
        <f t="shared" si="21"/>
        <v>0</v>
      </c>
      <c r="AX9" s="79">
        <v>0</v>
      </c>
      <c r="AY9" s="83">
        <f t="shared" si="22"/>
        <v>0</v>
      </c>
      <c r="AZ9" s="79">
        <v>0</v>
      </c>
      <c r="BA9" s="83">
        <f t="shared" si="23"/>
        <v>0</v>
      </c>
      <c r="BB9" s="79">
        <v>0</v>
      </c>
      <c r="BC9" s="83">
        <f t="shared" si="24"/>
        <v>0</v>
      </c>
      <c r="BD9" s="79">
        <v>0</v>
      </c>
      <c r="BE9" s="83">
        <f t="shared" si="25"/>
        <v>0</v>
      </c>
      <c r="BF9" s="79">
        <v>0</v>
      </c>
      <c r="BG9" s="83">
        <f t="shared" si="27"/>
        <v>0</v>
      </c>
      <c r="BH9" s="79">
        <v>0</v>
      </c>
      <c r="BI9" s="83">
        <f t="shared" si="28"/>
        <v>0</v>
      </c>
      <c r="BJ9" s="79">
        <v>0</v>
      </c>
      <c r="BK9" s="287">
        <f t="shared" si="29"/>
        <v>0</v>
      </c>
      <c r="BL9" s="299">
        <v>0</v>
      </c>
      <c r="BM9" s="128">
        <f t="shared" si="30"/>
        <v>0</v>
      </c>
      <c r="BN9" s="128">
        <v>0</v>
      </c>
      <c r="BO9" s="305">
        <f t="shared" si="42"/>
        <v>0</v>
      </c>
      <c r="BP9" s="128"/>
      <c r="BQ9" s="128">
        <f t="shared" si="43"/>
        <v>0</v>
      </c>
      <c r="BR9" s="128"/>
      <c r="BS9" s="128">
        <f t="shared" si="44"/>
        <v>0</v>
      </c>
      <c r="BT9" s="128">
        <v>0</v>
      </c>
      <c r="BU9" s="128">
        <f t="shared" si="31"/>
        <v>0</v>
      </c>
      <c r="BV9" s="128"/>
      <c r="BW9" s="128">
        <f t="shared" si="32"/>
        <v>0</v>
      </c>
      <c r="BX9" s="128"/>
      <c r="BY9" s="128">
        <f t="shared" si="33"/>
        <v>0</v>
      </c>
      <c r="BZ9" s="128"/>
      <c r="CA9" s="128">
        <f t="shared" si="34"/>
        <v>0</v>
      </c>
      <c r="CB9" s="128">
        <v>0</v>
      </c>
      <c r="CC9" s="128">
        <f t="shared" si="35"/>
        <v>0</v>
      </c>
      <c r="CD9" s="128"/>
      <c r="CE9" s="128">
        <f t="shared" si="36"/>
        <v>0</v>
      </c>
      <c r="CF9" s="128"/>
      <c r="CG9" s="128">
        <f t="shared" si="37"/>
        <v>0</v>
      </c>
      <c r="CH9" s="128"/>
      <c r="CI9" s="128">
        <f t="shared" si="38"/>
        <v>0</v>
      </c>
      <c r="CJ9" s="128"/>
      <c r="CK9" s="128">
        <f t="shared" si="39"/>
        <v>0</v>
      </c>
      <c r="CL9" s="128">
        <v>0</v>
      </c>
      <c r="CM9" s="128">
        <f t="shared" si="40"/>
        <v>0</v>
      </c>
      <c r="CN9" s="128">
        <v>0</v>
      </c>
      <c r="CO9" s="128">
        <f t="shared" si="41"/>
        <v>0</v>
      </c>
      <c r="CP9" s="128"/>
      <c r="CQ9" s="128"/>
      <c r="CR9" s="128"/>
      <c r="CS9" s="128"/>
      <c r="CT9" s="128"/>
      <c r="CU9" s="128"/>
      <c r="CV9" s="128"/>
      <c r="CW9" s="128"/>
      <c r="CX9" s="128"/>
    </row>
    <row r="10" spans="1:102" ht="12.75" x14ac:dyDescent="0.2">
      <c r="A10" s="5" t="s">
        <v>85</v>
      </c>
      <c r="B10" s="15">
        <v>2500</v>
      </c>
      <c r="C10" s="15">
        <v>2500</v>
      </c>
      <c r="D10" s="15">
        <v>3500</v>
      </c>
      <c r="E10" s="15">
        <f t="shared" si="26"/>
        <v>1000</v>
      </c>
      <c r="F10" s="10">
        <v>0</v>
      </c>
      <c r="G10" s="15">
        <f t="shared" si="0"/>
        <v>0</v>
      </c>
      <c r="H10" s="10">
        <v>0</v>
      </c>
      <c r="I10" s="15">
        <f t="shared" si="1"/>
        <v>0</v>
      </c>
      <c r="J10" s="10">
        <v>0</v>
      </c>
      <c r="K10" s="15">
        <f t="shared" si="2"/>
        <v>0</v>
      </c>
      <c r="L10" s="10">
        <v>0</v>
      </c>
      <c r="M10" s="15">
        <f t="shared" si="3"/>
        <v>0</v>
      </c>
      <c r="N10" s="10">
        <v>0</v>
      </c>
      <c r="O10" s="15">
        <f t="shared" si="4"/>
        <v>0</v>
      </c>
      <c r="P10" s="10">
        <v>0</v>
      </c>
      <c r="Q10" s="15">
        <f t="shared" si="5"/>
        <v>0</v>
      </c>
      <c r="R10" s="10">
        <v>0</v>
      </c>
      <c r="S10" s="83">
        <f t="shared" si="6"/>
        <v>0</v>
      </c>
      <c r="T10" s="10">
        <v>0</v>
      </c>
      <c r="U10" s="83">
        <f t="shared" si="7"/>
        <v>0</v>
      </c>
      <c r="V10" s="79">
        <v>1</v>
      </c>
      <c r="W10" s="83">
        <f t="shared" si="8"/>
        <v>1000</v>
      </c>
      <c r="X10" s="78">
        <v>0</v>
      </c>
      <c r="Y10" s="83">
        <f t="shared" si="9"/>
        <v>0</v>
      </c>
      <c r="Z10" s="78">
        <v>0</v>
      </c>
      <c r="AA10" s="83">
        <f t="shared" si="10"/>
        <v>0</v>
      </c>
      <c r="AB10" s="78">
        <v>0</v>
      </c>
      <c r="AC10" s="83">
        <f t="shared" si="11"/>
        <v>0</v>
      </c>
      <c r="AD10" s="78">
        <v>0</v>
      </c>
      <c r="AE10" s="83">
        <f t="shared" si="12"/>
        <v>0</v>
      </c>
      <c r="AF10" s="79">
        <v>1</v>
      </c>
      <c r="AG10" s="83">
        <f t="shared" si="13"/>
        <v>1000</v>
      </c>
      <c r="AH10" s="79">
        <v>0</v>
      </c>
      <c r="AI10" s="83">
        <f t="shared" si="14"/>
        <v>0</v>
      </c>
      <c r="AJ10" s="79">
        <v>0</v>
      </c>
      <c r="AK10" s="83">
        <f t="shared" si="15"/>
        <v>0</v>
      </c>
      <c r="AL10" s="79">
        <v>0</v>
      </c>
      <c r="AM10" s="83">
        <f t="shared" si="16"/>
        <v>0</v>
      </c>
      <c r="AN10" s="79">
        <v>0</v>
      </c>
      <c r="AO10" s="83">
        <f t="shared" si="17"/>
        <v>0</v>
      </c>
      <c r="AP10" s="79">
        <v>0</v>
      </c>
      <c r="AQ10" s="83">
        <f t="shared" si="18"/>
        <v>0</v>
      </c>
      <c r="AR10" s="79">
        <v>1</v>
      </c>
      <c r="AS10" s="83">
        <f t="shared" si="19"/>
        <v>1000</v>
      </c>
      <c r="AT10" s="79">
        <v>0</v>
      </c>
      <c r="AU10" s="83">
        <f t="shared" si="20"/>
        <v>0</v>
      </c>
      <c r="AV10" s="79">
        <v>0</v>
      </c>
      <c r="AW10" s="83">
        <f t="shared" si="21"/>
        <v>0</v>
      </c>
      <c r="AX10" s="79">
        <v>0</v>
      </c>
      <c r="AY10" s="83">
        <f t="shared" si="22"/>
        <v>0</v>
      </c>
      <c r="AZ10" s="79">
        <v>0</v>
      </c>
      <c r="BA10" s="83">
        <f t="shared" si="23"/>
        <v>0</v>
      </c>
      <c r="BB10" s="79">
        <v>0</v>
      </c>
      <c r="BC10" s="83">
        <f t="shared" si="24"/>
        <v>0</v>
      </c>
      <c r="BD10" s="79">
        <v>0</v>
      </c>
      <c r="BE10" s="83">
        <f t="shared" si="25"/>
        <v>0</v>
      </c>
      <c r="BF10" s="79">
        <v>0</v>
      </c>
      <c r="BG10" s="83">
        <f t="shared" si="27"/>
        <v>0</v>
      </c>
      <c r="BH10" s="79">
        <v>0</v>
      </c>
      <c r="BI10" s="83">
        <f t="shared" si="28"/>
        <v>0</v>
      </c>
      <c r="BJ10" s="79">
        <v>0</v>
      </c>
      <c r="BK10" s="287">
        <f t="shared" si="29"/>
        <v>0</v>
      </c>
      <c r="BL10" s="299">
        <v>0</v>
      </c>
      <c r="BM10" s="128">
        <f t="shared" si="30"/>
        <v>0</v>
      </c>
      <c r="BN10" s="128">
        <v>0</v>
      </c>
      <c r="BO10" s="305">
        <f t="shared" si="42"/>
        <v>0</v>
      </c>
      <c r="BP10" s="128"/>
      <c r="BQ10" s="128">
        <f t="shared" si="43"/>
        <v>0</v>
      </c>
      <c r="BR10" s="128"/>
      <c r="BS10" s="128">
        <f t="shared" si="44"/>
        <v>0</v>
      </c>
      <c r="BT10" s="128">
        <v>0</v>
      </c>
      <c r="BU10" s="128">
        <f t="shared" si="31"/>
        <v>0</v>
      </c>
      <c r="BV10" s="128"/>
      <c r="BW10" s="128">
        <f t="shared" si="32"/>
        <v>0</v>
      </c>
      <c r="BX10" s="128"/>
      <c r="BY10" s="128">
        <f t="shared" si="33"/>
        <v>0</v>
      </c>
      <c r="BZ10" s="128"/>
      <c r="CA10" s="128">
        <f t="shared" si="34"/>
        <v>0</v>
      </c>
      <c r="CB10" s="128">
        <v>0</v>
      </c>
      <c r="CC10" s="128">
        <f t="shared" si="35"/>
        <v>0</v>
      </c>
      <c r="CD10" s="128"/>
      <c r="CE10" s="128">
        <f t="shared" si="36"/>
        <v>0</v>
      </c>
      <c r="CF10" s="128"/>
      <c r="CG10" s="128">
        <f t="shared" si="37"/>
        <v>0</v>
      </c>
      <c r="CH10" s="128"/>
      <c r="CI10" s="128">
        <f t="shared" si="38"/>
        <v>0</v>
      </c>
      <c r="CJ10" s="128"/>
      <c r="CK10" s="128">
        <f t="shared" si="39"/>
        <v>0</v>
      </c>
      <c r="CL10" s="128">
        <v>0</v>
      </c>
      <c r="CM10" s="128">
        <f t="shared" si="40"/>
        <v>0</v>
      </c>
      <c r="CN10" s="128">
        <v>0</v>
      </c>
      <c r="CO10" s="128">
        <f t="shared" si="41"/>
        <v>0</v>
      </c>
      <c r="CP10" s="128"/>
      <c r="CQ10" s="128"/>
      <c r="CR10" s="128"/>
      <c r="CS10" s="128"/>
      <c r="CT10" s="128"/>
      <c r="CU10" s="128"/>
      <c r="CV10" s="128"/>
      <c r="CW10" s="128"/>
      <c r="CX10" s="128"/>
    </row>
    <row r="11" spans="1:102" ht="12.75" x14ac:dyDescent="0.2">
      <c r="A11" s="5" t="s">
        <v>86</v>
      </c>
      <c r="B11" s="26">
        <v>5000</v>
      </c>
      <c r="C11" s="15">
        <v>6150</v>
      </c>
      <c r="D11" s="15">
        <v>10000</v>
      </c>
      <c r="E11" s="15">
        <f t="shared" si="26"/>
        <v>3850</v>
      </c>
      <c r="F11" s="10">
        <v>0</v>
      </c>
      <c r="G11" s="15">
        <f t="shared" si="0"/>
        <v>0</v>
      </c>
      <c r="H11" s="10">
        <v>0</v>
      </c>
      <c r="I11" s="15">
        <f t="shared" si="1"/>
        <v>0</v>
      </c>
      <c r="J11" s="10">
        <v>0</v>
      </c>
      <c r="K11" s="15">
        <f t="shared" si="2"/>
        <v>0</v>
      </c>
      <c r="L11" s="10">
        <v>0</v>
      </c>
      <c r="M11" s="15">
        <f t="shared" si="3"/>
        <v>0</v>
      </c>
      <c r="N11" s="10">
        <v>0</v>
      </c>
      <c r="O11" s="15">
        <f t="shared" si="4"/>
        <v>0</v>
      </c>
      <c r="P11" s="10">
        <v>0</v>
      </c>
      <c r="Q11" s="15">
        <f t="shared" si="5"/>
        <v>0</v>
      </c>
      <c r="R11" s="10">
        <v>0</v>
      </c>
      <c r="S11" s="83">
        <f t="shared" si="6"/>
        <v>0</v>
      </c>
      <c r="T11" s="10">
        <v>0</v>
      </c>
      <c r="U11" s="83">
        <f t="shared" si="7"/>
        <v>0</v>
      </c>
      <c r="V11" s="78">
        <v>0</v>
      </c>
      <c r="W11" s="83">
        <f t="shared" si="8"/>
        <v>0</v>
      </c>
      <c r="X11" s="78">
        <v>0</v>
      </c>
      <c r="Y11" s="83">
        <f t="shared" si="9"/>
        <v>0</v>
      </c>
      <c r="Z11" s="78">
        <v>0</v>
      </c>
      <c r="AA11" s="83">
        <f t="shared" si="10"/>
        <v>0</v>
      </c>
      <c r="AB11" s="78">
        <v>0</v>
      </c>
      <c r="AC11" s="83">
        <f t="shared" si="11"/>
        <v>0</v>
      </c>
      <c r="AD11" s="78">
        <v>0</v>
      </c>
      <c r="AE11" s="83">
        <f t="shared" si="12"/>
        <v>0</v>
      </c>
      <c r="AF11" s="78">
        <v>0</v>
      </c>
      <c r="AG11" s="83">
        <f t="shared" si="13"/>
        <v>0</v>
      </c>
      <c r="AH11" s="79">
        <v>0</v>
      </c>
      <c r="AI11" s="83">
        <f t="shared" si="14"/>
        <v>0</v>
      </c>
      <c r="AJ11" s="79">
        <v>0</v>
      </c>
      <c r="AK11" s="83">
        <f t="shared" si="15"/>
        <v>0</v>
      </c>
      <c r="AL11" s="79">
        <v>0</v>
      </c>
      <c r="AM11" s="83">
        <f t="shared" si="16"/>
        <v>0</v>
      </c>
      <c r="AN11" s="79">
        <v>0</v>
      </c>
      <c r="AO11" s="83">
        <f t="shared" si="17"/>
        <v>0</v>
      </c>
      <c r="AP11" s="79">
        <v>0</v>
      </c>
      <c r="AQ11" s="83">
        <f t="shared" si="18"/>
        <v>0</v>
      </c>
      <c r="AR11" s="79">
        <v>0</v>
      </c>
      <c r="AS11" s="83">
        <f t="shared" si="19"/>
        <v>0</v>
      </c>
      <c r="AT11" s="79">
        <v>0</v>
      </c>
      <c r="AU11" s="83">
        <f t="shared" si="20"/>
        <v>0</v>
      </c>
      <c r="AV11" s="79">
        <v>0</v>
      </c>
      <c r="AW11" s="83">
        <f t="shared" si="21"/>
        <v>0</v>
      </c>
      <c r="AX11" s="79">
        <v>0</v>
      </c>
      <c r="AY11" s="83">
        <f t="shared" si="22"/>
        <v>0</v>
      </c>
      <c r="AZ11" s="79">
        <v>0</v>
      </c>
      <c r="BA11" s="83">
        <f t="shared" si="23"/>
        <v>0</v>
      </c>
      <c r="BB11" s="79">
        <v>0</v>
      </c>
      <c r="BC11" s="83">
        <f t="shared" si="24"/>
        <v>0</v>
      </c>
      <c r="BD11" s="79">
        <v>0</v>
      </c>
      <c r="BE11" s="83">
        <f t="shared" si="25"/>
        <v>0</v>
      </c>
      <c r="BF11" s="79">
        <v>0</v>
      </c>
      <c r="BG11" s="83">
        <f t="shared" si="27"/>
        <v>0</v>
      </c>
      <c r="BH11" s="79">
        <v>0</v>
      </c>
      <c r="BI11" s="83">
        <f t="shared" si="28"/>
        <v>0</v>
      </c>
      <c r="BJ11" s="79">
        <v>0</v>
      </c>
      <c r="BK11" s="287">
        <f t="shared" si="29"/>
        <v>0</v>
      </c>
      <c r="BL11" s="299">
        <v>0</v>
      </c>
      <c r="BM11" s="128">
        <f t="shared" si="30"/>
        <v>0</v>
      </c>
      <c r="BN11" s="128">
        <v>0</v>
      </c>
      <c r="BO11" s="305">
        <f t="shared" si="42"/>
        <v>0</v>
      </c>
      <c r="BP11" s="128"/>
      <c r="BQ11" s="128">
        <f t="shared" si="43"/>
        <v>0</v>
      </c>
      <c r="BR11" s="128"/>
      <c r="BS11" s="128">
        <f t="shared" si="44"/>
        <v>0</v>
      </c>
      <c r="BT11" s="128">
        <v>0</v>
      </c>
      <c r="BU11" s="128">
        <f t="shared" si="31"/>
        <v>0</v>
      </c>
      <c r="BV11" s="128"/>
      <c r="BW11" s="128">
        <f t="shared" si="32"/>
        <v>0</v>
      </c>
      <c r="BX11" s="128"/>
      <c r="BY11" s="128">
        <f t="shared" si="33"/>
        <v>0</v>
      </c>
      <c r="BZ11" s="128"/>
      <c r="CA11" s="128">
        <f t="shared" si="34"/>
        <v>0</v>
      </c>
      <c r="CB11" s="128">
        <v>0</v>
      </c>
      <c r="CC11" s="128">
        <f t="shared" si="35"/>
        <v>0</v>
      </c>
      <c r="CD11" s="128"/>
      <c r="CE11" s="128">
        <f t="shared" si="36"/>
        <v>0</v>
      </c>
      <c r="CF11" s="128"/>
      <c r="CG11" s="128">
        <f t="shared" si="37"/>
        <v>0</v>
      </c>
      <c r="CH11" s="128"/>
      <c r="CI11" s="128">
        <f t="shared" si="38"/>
        <v>0</v>
      </c>
      <c r="CJ11" s="128"/>
      <c r="CK11" s="128">
        <f t="shared" si="39"/>
        <v>0</v>
      </c>
      <c r="CL11" s="128">
        <v>0</v>
      </c>
      <c r="CM11" s="128">
        <f t="shared" si="40"/>
        <v>0</v>
      </c>
      <c r="CN11" s="128">
        <v>0</v>
      </c>
      <c r="CO11" s="128">
        <f t="shared" si="41"/>
        <v>0</v>
      </c>
      <c r="CP11" s="128"/>
      <c r="CQ11" s="128"/>
      <c r="CR11" s="128"/>
      <c r="CS11" s="128"/>
      <c r="CT11" s="128"/>
      <c r="CU11" s="128"/>
      <c r="CV11" s="128"/>
      <c r="CW11" s="128"/>
      <c r="CX11" s="128"/>
    </row>
    <row r="12" spans="1:102" ht="12.75" x14ac:dyDescent="0.2">
      <c r="A12" s="5" t="s">
        <v>87</v>
      </c>
      <c r="B12" s="15">
        <v>6800</v>
      </c>
      <c r="C12" s="15">
        <v>6800</v>
      </c>
      <c r="D12" s="15">
        <v>10000</v>
      </c>
      <c r="E12" s="15">
        <f t="shared" si="26"/>
        <v>3200</v>
      </c>
      <c r="F12" s="10">
        <v>0</v>
      </c>
      <c r="G12" s="15">
        <f t="shared" si="0"/>
        <v>0</v>
      </c>
      <c r="H12" s="10">
        <v>0</v>
      </c>
      <c r="I12" s="15">
        <f t="shared" si="1"/>
        <v>0</v>
      </c>
      <c r="J12" s="10">
        <v>0</v>
      </c>
      <c r="K12" s="15">
        <f t="shared" si="2"/>
        <v>0</v>
      </c>
      <c r="L12" s="10">
        <v>0</v>
      </c>
      <c r="M12" s="15">
        <f t="shared" si="3"/>
        <v>0</v>
      </c>
      <c r="N12" s="10">
        <v>0</v>
      </c>
      <c r="O12" s="15">
        <f t="shared" si="4"/>
        <v>0</v>
      </c>
      <c r="P12" s="10">
        <v>0</v>
      </c>
      <c r="Q12" s="15">
        <f t="shared" si="5"/>
        <v>0</v>
      </c>
      <c r="R12" s="10">
        <v>0</v>
      </c>
      <c r="S12" s="83">
        <f t="shared" si="6"/>
        <v>0</v>
      </c>
      <c r="T12" s="10">
        <v>0</v>
      </c>
      <c r="U12" s="83">
        <f t="shared" si="7"/>
        <v>0</v>
      </c>
      <c r="V12" s="78">
        <v>0</v>
      </c>
      <c r="W12" s="83">
        <f t="shared" si="8"/>
        <v>0</v>
      </c>
      <c r="X12" s="78">
        <v>0</v>
      </c>
      <c r="Y12" s="83">
        <f t="shared" si="9"/>
        <v>0</v>
      </c>
      <c r="Z12" s="78">
        <v>0</v>
      </c>
      <c r="AA12" s="83">
        <f t="shared" si="10"/>
        <v>0</v>
      </c>
      <c r="AB12" s="78">
        <v>0</v>
      </c>
      <c r="AC12" s="83">
        <f t="shared" si="11"/>
        <v>0</v>
      </c>
      <c r="AD12" s="78">
        <v>0</v>
      </c>
      <c r="AE12" s="83">
        <f t="shared" si="12"/>
        <v>0</v>
      </c>
      <c r="AF12" s="78">
        <v>0</v>
      </c>
      <c r="AG12" s="83">
        <f t="shared" si="13"/>
        <v>0</v>
      </c>
      <c r="AH12" s="79">
        <v>0</v>
      </c>
      <c r="AI12" s="83">
        <f t="shared" si="14"/>
        <v>0</v>
      </c>
      <c r="AJ12" s="79">
        <v>0</v>
      </c>
      <c r="AK12" s="83">
        <f t="shared" si="15"/>
        <v>0</v>
      </c>
      <c r="AL12" s="79">
        <v>0</v>
      </c>
      <c r="AM12" s="83">
        <f t="shared" si="16"/>
        <v>0</v>
      </c>
      <c r="AN12" s="79">
        <v>0</v>
      </c>
      <c r="AO12" s="83">
        <f t="shared" si="17"/>
        <v>0</v>
      </c>
      <c r="AP12" s="79">
        <v>0</v>
      </c>
      <c r="AQ12" s="83">
        <f t="shared" si="18"/>
        <v>0</v>
      </c>
      <c r="AR12" s="79">
        <v>0</v>
      </c>
      <c r="AS12" s="83">
        <f t="shared" si="19"/>
        <v>0</v>
      </c>
      <c r="AT12" s="79">
        <v>0</v>
      </c>
      <c r="AU12" s="83">
        <f t="shared" si="20"/>
        <v>0</v>
      </c>
      <c r="AV12" s="79">
        <v>0</v>
      </c>
      <c r="AW12" s="83">
        <f t="shared" si="21"/>
        <v>0</v>
      </c>
      <c r="AX12" s="79">
        <v>0</v>
      </c>
      <c r="AY12" s="83">
        <f t="shared" si="22"/>
        <v>0</v>
      </c>
      <c r="AZ12" s="79">
        <v>4</v>
      </c>
      <c r="BA12" s="83">
        <f t="shared" si="23"/>
        <v>12800</v>
      </c>
      <c r="BB12" s="79">
        <v>3</v>
      </c>
      <c r="BC12" s="83">
        <f t="shared" si="24"/>
        <v>9600</v>
      </c>
      <c r="BD12" s="79">
        <v>0</v>
      </c>
      <c r="BE12" s="83">
        <f t="shared" si="25"/>
        <v>0</v>
      </c>
      <c r="BF12" s="79">
        <v>0</v>
      </c>
      <c r="BG12" s="83">
        <f t="shared" si="27"/>
        <v>0</v>
      </c>
      <c r="BH12" s="79">
        <v>0</v>
      </c>
      <c r="BI12" s="83">
        <f t="shared" si="28"/>
        <v>0</v>
      </c>
      <c r="BJ12" s="79">
        <v>0</v>
      </c>
      <c r="BK12" s="287">
        <f t="shared" si="29"/>
        <v>0</v>
      </c>
      <c r="BL12" s="299">
        <v>0</v>
      </c>
      <c r="BM12" s="128">
        <f t="shared" si="30"/>
        <v>0</v>
      </c>
      <c r="BN12" s="128">
        <v>0</v>
      </c>
      <c r="BO12" s="305">
        <f t="shared" si="42"/>
        <v>0</v>
      </c>
      <c r="BP12" s="128"/>
      <c r="BQ12" s="128">
        <f t="shared" si="43"/>
        <v>0</v>
      </c>
      <c r="BR12" s="128"/>
      <c r="BS12" s="128">
        <f t="shared" si="44"/>
        <v>0</v>
      </c>
      <c r="BT12" s="128">
        <v>0</v>
      </c>
      <c r="BU12" s="128">
        <f t="shared" si="31"/>
        <v>0</v>
      </c>
      <c r="BV12" s="128"/>
      <c r="BW12" s="128">
        <f t="shared" si="32"/>
        <v>0</v>
      </c>
      <c r="BX12" s="128"/>
      <c r="BY12" s="128">
        <f t="shared" si="33"/>
        <v>0</v>
      </c>
      <c r="BZ12" s="128"/>
      <c r="CA12" s="128">
        <f t="shared" si="34"/>
        <v>0</v>
      </c>
      <c r="CB12" s="128">
        <v>0</v>
      </c>
      <c r="CC12" s="128">
        <f t="shared" si="35"/>
        <v>0</v>
      </c>
      <c r="CD12" s="128"/>
      <c r="CE12" s="128">
        <f t="shared" si="36"/>
        <v>0</v>
      </c>
      <c r="CF12" s="128"/>
      <c r="CG12" s="128">
        <f t="shared" si="37"/>
        <v>0</v>
      </c>
      <c r="CH12" s="128"/>
      <c r="CI12" s="128">
        <f t="shared" si="38"/>
        <v>0</v>
      </c>
      <c r="CJ12" s="128"/>
      <c r="CK12" s="128">
        <f t="shared" si="39"/>
        <v>0</v>
      </c>
      <c r="CL12" s="128">
        <v>0</v>
      </c>
      <c r="CM12" s="128">
        <f t="shared" si="40"/>
        <v>0</v>
      </c>
      <c r="CN12" s="128">
        <v>0</v>
      </c>
      <c r="CO12" s="128">
        <f t="shared" si="41"/>
        <v>0</v>
      </c>
      <c r="CP12" s="128"/>
      <c r="CQ12" s="128"/>
      <c r="CR12" s="128"/>
      <c r="CS12" s="128"/>
      <c r="CT12" s="128"/>
      <c r="CU12" s="128"/>
      <c r="CV12" s="128"/>
      <c r="CW12" s="128"/>
      <c r="CX12" s="128"/>
    </row>
    <row r="13" spans="1:102" ht="12.75" x14ac:dyDescent="0.2">
      <c r="A13" s="5" t="s">
        <v>88</v>
      </c>
      <c r="B13" s="15">
        <v>60000</v>
      </c>
      <c r="C13" s="15">
        <v>2500</v>
      </c>
      <c r="D13" s="15">
        <v>5000</v>
      </c>
      <c r="E13" s="15">
        <f t="shared" si="26"/>
        <v>2500</v>
      </c>
      <c r="F13" s="10">
        <v>0</v>
      </c>
      <c r="G13" s="15">
        <f t="shared" si="0"/>
        <v>0</v>
      </c>
      <c r="H13" s="10">
        <v>0</v>
      </c>
      <c r="I13" s="15">
        <f t="shared" si="1"/>
        <v>0</v>
      </c>
      <c r="J13" s="10">
        <v>0</v>
      </c>
      <c r="K13" s="15">
        <f t="shared" si="2"/>
        <v>0</v>
      </c>
      <c r="L13" s="10">
        <v>0</v>
      </c>
      <c r="M13" s="15">
        <f t="shared" si="3"/>
        <v>0</v>
      </c>
      <c r="N13" s="10">
        <v>0</v>
      </c>
      <c r="O13" s="15">
        <f t="shared" si="4"/>
        <v>0</v>
      </c>
      <c r="P13" s="10">
        <v>0</v>
      </c>
      <c r="Q13" s="15">
        <f t="shared" si="5"/>
        <v>0</v>
      </c>
      <c r="R13" s="10">
        <v>0</v>
      </c>
      <c r="S13" s="83">
        <f t="shared" si="6"/>
        <v>0</v>
      </c>
      <c r="T13" s="10">
        <v>0</v>
      </c>
      <c r="U13" s="83">
        <f t="shared" si="7"/>
        <v>0</v>
      </c>
      <c r="V13" s="78">
        <v>0</v>
      </c>
      <c r="W13" s="83">
        <f t="shared" si="8"/>
        <v>0</v>
      </c>
      <c r="X13" s="78">
        <v>0</v>
      </c>
      <c r="Y13" s="83">
        <f t="shared" si="9"/>
        <v>0</v>
      </c>
      <c r="Z13" s="78">
        <v>0</v>
      </c>
      <c r="AA13" s="83">
        <f t="shared" si="10"/>
        <v>0</v>
      </c>
      <c r="AB13" s="78">
        <v>0</v>
      </c>
      <c r="AC13" s="83">
        <f t="shared" si="11"/>
        <v>0</v>
      </c>
      <c r="AD13" s="78">
        <v>0</v>
      </c>
      <c r="AE13" s="83">
        <f t="shared" si="12"/>
        <v>0</v>
      </c>
      <c r="AF13" s="78">
        <v>0</v>
      </c>
      <c r="AG13" s="83">
        <f t="shared" si="13"/>
        <v>0</v>
      </c>
      <c r="AH13" s="79">
        <v>0</v>
      </c>
      <c r="AI13" s="83">
        <f t="shared" si="14"/>
        <v>0</v>
      </c>
      <c r="AJ13" s="79">
        <v>0</v>
      </c>
      <c r="AK13" s="83">
        <f t="shared" si="15"/>
        <v>0</v>
      </c>
      <c r="AL13" s="79">
        <v>0</v>
      </c>
      <c r="AM13" s="83">
        <f t="shared" si="16"/>
        <v>0</v>
      </c>
      <c r="AN13" s="79">
        <v>0</v>
      </c>
      <c r="AO13" s="83">
        <f t="shared" si="17"/>
        <v>0</v>
      </c>
      <c r="AP13" s="79">
        <v>0</v>
      </c>
      <c r="AQ13" s="83">
        <f t="shared" si="18"/>
        <v>0</v>
      </c>
      <c r="AR13" s="79">
        <v>0</v>
      </c>
      <c r="AS13" s="83">
        <f t="shared" si="19"/>
        <v>0</v>
      </c>
      <c r="AT13" s="79">
        <v>0</v>
      </c>
      <c r="AU13" s="83">
        <f t="shared" si="20"/>
        <v>0</v>
      </c>
      <c r="AV13" s="79">
        <v>0</v>
      </c>
      <c r="AW13" s="83">
        <f t="shared" si="21"/>
        <v>0</v>
      </c>
      <c r="AX13" s="79">
        <v>0</v>
      </c>
      <c r="AY13" s="83">
        <f t="shared" si="22"/>
        <v>0</v>
      </c>
      <c r="AZ13" s="79">
        <v>0</v>
      </c>
      <c r="BA13" s="83">
        <f t="shared" si="23"/>
        <v>0</v>
      </c>
      <c r="BB13" s="79">
        <v>0</v>
      </c>
      <c r="BC13" s="83">
        <f t="shared" si="24"/>
        <v>0</v>
      </c>
      <c r="BD13" s="79">
        <v>0</v>
      </c>
      <c r="BE13" s="83">
        <f t="shared" si="25"/>
        <v>0</v>
      </c>
      <c r="BF13" s="79">
        <v>0</v>
      </c>
      <c r="BG13" s="83">
        <f t="shared" si="27"/>
        <v>0</v>
      </c>
      <c r="BH13" s="79">
        <v>0</v>
      </c>
      <c r="BI13" s="83">
        <f t="shared" si="28"/>
        <v>0</v>
      </c>
      <c r="BJ13" s="79">
        <v>0</v>
      </c>
      <c r="BK13" s="287">
        <f t="shared" si="29"/>
        <v>0</v>
      </c>
      <c r="BL13" s="299">
        <v>0</v>
      </c>
      <c r="BM13" s="128">
        <f t="shared" si="30"/>
        <v>0</v>
      </c>
      <c r="BN13" s="128">
        <v>0</v>
      </c>
      <c r="BO13" s="305">
        <f t="shared" si="42"/>
        <v>0</v>
      </c>
      <c r="BP13" s="128"/>
      <c r="BQ13" s="128">
        <f t="shared" si="43"/>
        <v>0</v>
      </c>
      <c r="BR13" s="128"/>
      <c r="BS13" s="128">
        <f t="shared" si="44"/>
        <v>0</v>
      </c>
      <c r="BT13" s="128">
        <v>0</v>
      </c>
      <c r="BU13" s="128">
        <f t="shared" si="31"/>
        <v>0</v>
      </c>
      <c r="BV13" s="128"/>
      <c r="BW13" s="128">
        <f t="shared" si="32"/>
        <v>0</v>
      </c>
      <c r="BX13" s="128"/>
      <c r="BY13" s="128">
        <f t="shared" si="33"/>
        <v>0</v>
      </c>
      <c r="BZ13" s="128"/>
      <c r="CA13" s="128">
        <f t="shared" si="34"/>
        <v>0</v>
      </c>
      <c r="CB13" s="128">
        <v>0</v>
      </c>
      <c r="CC13" s="128">
        <f t="shared" si="35"/>
        <v>0</v>
      </c>
      <c r="CD13" s="128"/>
      <c r="CE13" s="128">
        <f t="shared" si="36"/>
        <v>0</v>
      </c>
      <c r="CF13" s="128"/>
      <c r="CG13" s="128">
        <f t="shared" si="37"/>
        <v>0</v>
      </c>
      <c r="CH13" s="128"/>
      <c r="CI13" s="128">
        <f t="shared" si="38"/>
        <v>0</v>
      </c>
      <c r="CJ13" s="128"/>
      <c r="CK13" s="128">
        <f t="shared" si="39"/>
        <v>0</v>
      </c>
      <c r="CL13" s="128">
        <v>0</v>
      </c>
      <c r="CM13" s="128">
        <f t="shared" si="40"/>
        <v>0</v>
      </c>
      <c r="CN13" s="128">
        <v>0</v>
      </c>
      <c r="CO13" s="128">
        <f t="shared" si="41"/>
        <v>0</v>
      </c>
      <c r="CP13" s="128"/>
      <c r="CQ13" s="128"/>
      <c r="CR13" s="128"/>
      <c r="CS13" s="128"/>
      <c r="CT13" s="128"/>
      <c r="CU13" s="128"/>
      <c r="CV13" s="128"/>
      <c r="CW13" s="128"/>
      <c r="CX13" s="128"/>
    </row>
    <row r="14" spans="1:102" ht="12.75" x14ac:dyDescent="0.2">
      <c r="A14" s="5" t="s">
        <v>89</v>
      </c>
      <c r="B14" s="15">
        <v>60000</v>
      </c>
      <c r="C14" s="15">
        <v>2500</v>
      </c>
      <c r="D14" s="15">
        <v>5000</v>
      </c>
      <c r="E14" s="15">
        <f t="shared" si="26"/>
        <v>2500</v>
      </c>
      <c r="F14" s="10">
        <v>0</v>
      </c>
      <c r="G14" s="15">
        <f t="shared" si="0"/>
        <v>0</v>
      </c>
      <c r="H14" s="10">
        <v>0</v>
      </c>
      <c r="I14" s="15">
        <f t="shared" si="1"/>
        <v>0</v>
      </c>
      <c r="J14" s="10">
        <v>0</v>
      </c>
      <c r="K14" s="15">
        <f t="shared" si="2"/>
        <v>0</v>
      </c>
      <c r="L14" s="10">
        <v>0</v>
      </c>
      <c r="M14" s="15">
        <f t="shared" si="3"/>
        <v>0</v>
      </c>
      <c r="N14" s="10">
        <v>0</v>
      </c>
      <c r="O14" s="15">
        <f t="shared" si="4"/>
        <v>0</v>
      </c>
      <c r="P14" s="10">
        <v>0</v>
      </c>
      <c r="Q14" s="15">
        <f t="shared" si="5"/>
        <v>0</v>
      </c>
      <c r="R14" s="10">
        <v>0</v>
      </c>
      <c r="S14" s="83">
        <f t="shared" si="6"/>
        <v>0</v>
      </c>
      <c r="T14" s="10">
        <v>0</v>
      </c>
      <c r="U14" s="83">
        <f t="shared" si="7"/>
        <v>0</v>
      </c>
      <c r="V14" s="78">
        <v>0</v>
      </c>
      <c r="W14" s="83">
        <f t="shared" si="8"/>
        <v>0</v>
      </c>
      <c r="X14" s="78">
        <v>0</v>
      </c>
      <c r="Y14" s="83">
        <f t="shared" si="9"/>
        <v>0</v>
      </c>
      <c r="Z14" s="78">
        <v>0</v>
      </c>
      <c r="AA14" s="83">
        <f t="shared" si="10"/>
        <v>0</v>
      </c>
      <c r="AB14" s="78">
        <v>0</v>
      </c>
      <c r="AC14" s="83">
        <f t="shared" si="11"/>
        <v>0</v>
      </c>
      <c r="AD14" s="78">
        <v>0</v>
      </c>
      <c r="AE14" s="83">
        <f t="shared" si="12"/>
        <v>0</v>
      </c>
      <c r="AF14" s="78">
        <v>0</v>
      </c>
      <c r="AG14" s="83">
        <f t="shared" si="13"/>
        <v>0</v>
      </c>
      <c r="AH14" s="79">
        <v>0</v>
      </c>
      <c r="AI14" s="83">
        <f t="shared" si="14"/>
        <v>0</v>
      </c>
      <c r="AJ14" s="79">
        <v>0</v>
      </c>
      <c r="AK14" s="83">
        <f t="shared" si="15"/>
        <v>0</v>
      </c>
      <c r="AL14" s="79">
        <v>0</v>
      </c>
      <c r="AM14" s="83">
        <f t="shared" si="16"/>
        <v>0</v>
      </c>
      <c r="AN14" s="79">
        <v>0</v>
      </c>
      <c r="AO14" s="83">
        <f t="shared" si="17"/>
        <v>0</v>
      </c>
      <c r="AP14" s="79">
        <v>0</v>
      </c>
      <c r="AQ14" s="83">
        <f t="shared" si="18"/>
        <v>0</v>
      </c>
      <c r="AR14" s="79">
        <v>0</v>
      </c>
      <c r="AS14" s="83">
        <f t="shared" si="19"/>
        <v>0</v>
      </c>
      <c r="AT14" s="79">
        <v>0</v>
      </c>
      <c r="AU14" s="83">
        <f t="shared" si="20"/>
        <v>0</v>
      </c>
      <c r="AV14" s="79">
        <v>0</v>
      </c>
      <c r="AW14" s="83">
        <f t="shared" si="21"/>
        <v>0</v>
      </c>
      <c r="AX14" s="79">
        <v>0</v>
      </c>
      <c r="AY14" s="83">
        <f t="shared" si="22"/>
        <v>0</v>
      </c>
      <c r="AZ14" s="79">
        <v>0</v>
      </c>
      <c r="BA14" s="83">
        <f t="shared" si="23"/>
        <v>0</v>
      </c>
      <c r="BB14" s="79">
        <v>0</v>
      </c>
      <c r="BC14" s="83">
        <f t="shared" si="24"/>
        <v>0</v>
      </c>
      <c r="BD14" s="79">
        <v>0</v>
      </c>
      <c r="BE14" s="83">
        <f t="shared" si="25"/>
        <v>0</v>
      </c>
      <c r="BF14" s="79">
        <v>0</v>
      </c>
      <c r="BG14" s="83">
        <f t="shared" si="27"/>
        <v>0</v>
      </c>
      <c r="BH14" s="79">
        <v>0</v>
      </c>
      <c r="BI14" s="83">
        <f t="shared" si="28"/>
        <v>0</v>
      </c>
      <c r="BJ14" s="79">
        <v>0</v>
      </c>
      <c r="BK14" s="287">
        <f>BJ14*E14</f>
        <v>0</v>
      </c>
      <c r="BL14" s="299">
        <v>0</v>
      </c>
      <c r="BM14" s="128">
        <f t="shared" si="30"/>
        <v>0</v>
      </c>
      <c r="BN14" s="128">
        <v>0</v>
      </c>
      <c r="BO14" s="305">
        <f t="shared" si="42"/>
        <v>0</v>
      </c>
      <c r="BP14" s="128"/>
      <c r="BQ14" s="128">
        <f t="shared" si="43"/>
        <v>0</v>
      </c>
      <c r="BR14" s="128"/>
      <c r="BS14" s="128">
        <f t="shared" si="44"/>
        <v>0</v>
      </c>
      <c r="BT14" s="128">
        <v>0</v>
      </c>
      <c r="BU14" s="128">
        <f t="shared" si="31"/>
        <v>0</v>
      </c>
      <c r="BV14" s="128"/>
      <c r="BW14" s="128">
        <f t="shared" si="32"/>
        <v>0</v>
      </c>
      <c r="BX14" s="128"/>
      <c r="BY14" s="128">
        <f t="shared" si="33"/>
        <v>0</v>
      </c>
      <c r="BZ14" s="128"/>
      <c r="CA14" s="128">
        <f t="shared" si="34"/>
        <v>0</v>
      </c>
      <c r="CB14" s="128">
        <v>0</v>
      </c>
      <c r="CC14" s="128">
        <f t="shared" si="35"/>
        <v>0</v>
      </c>
      <c r="CD14" s="128"/>
      <c r="CE14" s="128">
        <f t="shared" si="36"/>
        <v>0</v>
      </c>
      <c r="CF14" s="128"/>
      <c r="CG14" s="128">
        <f t="shared" si="37"/>
        <v>0</v>
      </c>
      <c r="CH14" s="128"/>
      <c r="CI14" s="128">
        <f t="shared" si="38"/>
        <v>0</v>
      </c>
      <c r="CJ14" s="128"/>
      <c r="CK14" s="128">
        <f t="shared" si="39"/>
        <v>0</v>
      </c>
      <c r="CL14" s="128">
        <v>0</v>
      </c>
      <c r="CM14" s="128">
        <f t="shared" si="40"/>
        <v>0</v>
      </c>
      <c r="CN14" s="128">
        <v>0</v>
      </c>
      <c r="CO14" s="128">
        <f t="shared" si="41"/>
        <v>0</v>
      </c>
      <c r="CP14" s="128"/>
      <c r="CQ14" s="128"/>
      <c r="CR14" s="128"/>
      <c r="CS14" s="128"/>
      <c r="CT14" s="128"/>
      <c r="CU14" s="128"/>
      <c r="CV14" s="128"/>
      <c r="CW14" s="128"/>
      <c r="CX14" s="128"/>
    </row>
    <row r="15" spans="1:102" ht="12.75" x14ac:dyDescent="0.2">
      <c r="A15" s="5" t="s">
        <v>90</v>
      </c>
      <c r="B15" s="15">
        <v>56000</v>
      </c>
      <c r="C15" s="15">
        <v>2333</v>
      </c>
      <c r="D15" s="15">
        <v>5000</v>
      </c>
      <c r="E15" s="15">
        <f t="shared" si="26"/>
        <v>2667</v>
      </c>
      <c r="F15" s="10">
        <v>0</v>
      </c>
      <c r="G15" s="15">
        <f t="shared" si="0"/>
        <v>0</v>
      </c>
      <c r="H15" s="10">
        <v>0</v>
      </c>
      <c r="I15" s="15">
        <f t="shared" si="1"/>
        <v>0</v>
      </c>
      <c r="J15" s="10">
        <v>0</v>
      </c>
      <c r="K15" s="15">
        <f t="shared" si="2"/>
        <v>0</v>
      </c>
      <c r="L15" s="10">
        <v>0</v>
      </c>
      <c r="M15" s="15">
        <f t="shared" si="3"/>
        <v>0</v>
      </c>
      <c r="N15" s="10">
        <v>0</v>
      </c>
      <c r="O15" s="15">
        <f t="shared" si="4"/>
        <v>0</v>
      </c>
      <c r="P15" s="10">
        <v>0</v>
      </c>
      <c r="Q15" s="15">
        <f t="shared" si="5"/>
        <v>0</v>
      </c>
      <c r="R15" s="10">
        <v>0</v>
      </c>
      <c r="S15" s="83">
        <f t="shared" si="6"/>
        <v>0</v>
      </c>
      <c r="T15" s="10">
        <v>0</v>
      </c>
      <c r="U15" s="83">
        <f t="shared" si="7"/>
        <v>0</v>
      </c>
      <c r="V15" s="78">
        <v>0</v>
      </c>
      <c r="W15" s="83">
        <f t="shared" si="8"/>
        <v>0</v>
      </c>
      <c r="X15" s="78">
        <v>0</v>
      </c>
      <c r="Y15" s="83">
        <f t="shared" si="9"/>
        <v>0</v>
      </c>
      <c r="Z15" s="78">
        <v>0</v>
      </c>
      <c r="AA15" s="83">
        <f t="shared" si="10"/>
        <v>0</v>
      </c>
      <c r="AB15" s="78">
        <v>0</v>
      </c>
      <c r="AC15" s="83">
        <f t="shared" si="11"/>
        <v>0</v>
      </c>
      <c r="AD15" s="78">
        <v>0</v>
      </c>
      <c r="AE15" s="83">
        <f t="shared" si="12"/>
        <v>0</v>
      </c>
      <c r="AF15" s="78">
        <v>0</v>
      </c>
      <c r="AG15" s="83">
        <f t="shared" si="13"/>
        <v>0</v>
      </c>
      <c r="AH15" s="79">
        <v>0</v>
      </c>
      <c r="AI15" s="83">
        <f t="shared" si="14"/>
        <v>0</v>
      </c>
      <c r="AJ15" s="79">
        <v>0</v>
      </c>
      <c r="AK15" s="83">
        <f t="shared" si="15"/>
        <v>0</v>
      </c>
      <c r="AL15" s="79">
        <v>0</v>
      </c>
      <c r="AM15" s="83">
        <f t="shared" si="16"/>
        <v>0</v>
      </c>
      <c r="AN15" s="79">
        <v>0</v>
      </c>
      <c r="AO15" s="83">
        <f t="shared" si="17"/>
        <v>0</v>
      </c>
      <c r="AP15" s="79">
        <v>0</v>
      </c>
      <c r="AQ15" s="83">
        <f t="shared" si="18"/>
        <v>0</v>
      </c>
      <c r="AR15" s="79">
        <v>0</v>
      </c>
      <c r="AS15" s="83">
        <f t="shared" si="19"/>
        <v>0</v>
      </c>
      <c r="AT15" s="79">
        <v>0</v>
      </c>
      <c r="AU15" s="83">
        <f t="shared" si="20"/>
        <v>0</v>
      </c>
      <c r="AV15" s="79">
        <v>0</v>
      </c>
      <c r="AW15" s="83">
        <f t="shared" si="21"/>
        <v>0</v>
      </c>
      <c r="AX15" s="79">
        <v>0</v>
      </c>
      <c r="AY15" s="83">
        <f t="shared" si="22"/>
        <v>0</v>
      </c>
      <c r="AZ15" s="79">
        <v>0</v>
      </c>
      <c r="BA15" s="83">
        <f t="shared" si="23"/>
        <v>0</v>
      </c>
      <c r="BB15" s="79">
        <v>0</v>
      </c>
      <c r="BC15" s="83">
        <f t="shared" si="24"/>
        <v>0</v>
      </c>
      <c r="BD15" s="79">
        <v>0</v>
      </c>
      <c r="BE15" s="83">
        <f t="shared" si="25"/>
        <v>0</v>
      </c>
      <c r="BF15" s="79">
        <v>0</v>
      </c>
      <c r="BG15" s="83">
        <f t="shared" si="27"/>
        <v>0</v>
      </c>
      <c r="BH15" s="79">
        <v>0</v>
      </c>
      <c r="BI15" s="83">
        <f t="shared" si="28"/>
        <v>0</v>
      </c>
      <c r="BJ15" s="79">
        <v>0</v>
      </c>
      <c r="BK15" s="287">
        <f t="shared" si="29"/>
        <v>0</v>
      </c>
      <c r="BL15" s="299">
        <v>0</v>
      </c>
      <c r="BM15" s="128">
        <f t="shared" si="30"/>
        <v>0</v>
      </c>
      <c r="BN15" s="128">
        <v>0</v>
      </c>
      <c r="BO15" s="305">
        <f t="shared" si="42"/>
        <v>0</v>
      </c>
      <c r="BP15" s="128"/>
      <c r="BQ15" s="128">
        <f t="shared" si="43"/>
        <v>0</v>
      </c>
      <c r="BR15" s="128"/>
      <c r="BS15" s="128">
        <f t="shared" si="44"/>
        <v>0</v>
      </c>
      <c r="BT15" s="128">
        <v>0</v>
      </c>
      <c r="BU15" s="128">
        <f t="shared" si="31"/>
        <v>0</v>
      </c>
      <c r="BV15" s="128"/>
      <c r="BW15" s="128">
        <f t="shared" si="32"/>
        <v>0</v>
      </c>
      <c r="BX15" s="128"/>
      <c r="BY15" s="128">
        <f t="shared" si="33"/>
        <v>0</v>
      </c>
      <c r="BZ15" s="128"/>
      <c r="CA15" s="128">
        <f t="shared" si="34"/>
        <v>0</v>
      </c>
      <c r="CB15" s="128">
        <v>0</v>
      </c>
      <c r="CC15" s="128">
        <f t="shared" si="35"/>
        <v>0</v>
      </c>
      <c r="CD15" s="128"/>
      <c r="CE15" s="128">
        <f t="shared" si="36"/>
        <v>0</v>
      </c>
      <c r="CF15" s="128"/>
      <c r="CG15" s="128">
        <f t="shared" si="37"/>
        <v>0</v>
      </c>
      <c r="CH15" s="128"/>
      <c r="CI15" s="128">
        <f t="shared" si="38"/>
        <v>0</v>
      </c>
      <c r="CJ15" s="128"/>
      <c r="CK15" s="128">
        <f t="shared" si="39"/>
        <v>0</v>
      </c>
      <c r="CL15" s="128">
        <v>0</v>
      </c>
      <c r="CM15" s="128">
        <f t="shared" si="40"/>
        <v>0</v>
      </c>
      <c r="CN15" s="128">
        <v>0</v>
      </c>
      <c r="CO15" s="128">
        <f t="shared" si="41"/>
        <v>0</v>
      </c>
      <c r="CP15" s="128"/>
      <c r="CQ15" s="128"/>
      <c r="CR15" s="128"/>
      <c r="CS15" s="128"/>
      <c r="CT15" s="128"/>
      <c r="CU15" s="128"/>
      <c r="CV15" s="128"/>
      <c r="CW15" s="128"/>
      <c r="CX15" s="128"/>
    </row>
    <row r="16" spans="1:102" ht="12.75" x14ac:dyDescent="0.2">
      <c r="A16" s="5" t="s">
        <v>91</v>
      </c>
      <c r="B16" s="14"/>
      <c r="C16" s="14"/>
      <c r="D16" s="15">
        <v>7000</v>
      </c>
      <c r="E16" s="15">
        <f t="shared" si="26"/>
        <v>7000</v>
      </c>
      <c r="F16" s="10">
        <v>0</v>
      </c>
      <c r="G16" s="15">
        <f t="shared" si="0"/>
        <v>0</v>
      </c>
      <c r="H16" s="10">
        <v>0</v>
      </c>
      <c r="I16" s="15">
        <f t="shared" si="1"/>
        <v>0</v>
      </c>
      <c r="J16" s="10">
        <v>0</v>
      </c>
      <c r="K16" s="15">
        <f t="shared" si="2"/>
        <v>0</v>
      </c>
      <c r="L16" s="10">
        <v>0</v>
      </c>
      <c r="M16" s="15">
        <f t="shared" si="3"/>
        <v>0</v>
      </c>
      <c r="N16" s="10">
        <v>0</v>
      </c>
      <c r="O16" s="15">
        <f t="shared" si="4"/>
        <v>0</v>
      </c>
      <c r="P16" s="10">
        <v>0</v>
      </c>
      <c r="Q16" s="15">
        <f t="shared" si="5"/>
        <v>0</v>
      </c>
      <c r="R16" s="10">
        <v>0</v>
      </c>
      <c r="S16" s="83">
        <f t="shared" si="6"/>
        <v>0</v>
      </c>
      <c r="T16" s="10">
        <v>0</v>
      </c>
      <c r="U16" s="83">
        <f t="shared" si="7"/>
        <v>0</v>
      </c>
      <c r="V16" s="78">
        <v>0</v>
      </c>
      <c r="W16" s="83">
        <f t="shared" si="8"/>
        <v>0</v>
      </c>
      <c r="X16" s="78">
        <v>0</v>
      </c>
      <c r="Y16" s="83">
        <f t="shared" si="9"/>
        <v>0</v>
      </c>
      <c r="Z16" s="78">
        <v>0</v>
      </c>
      <c r="AA16" s="83">
        <f t="shared" si="10"/>
        <v>0</v>
      </c>
      <c r="AB16" s="78">
        <v>0</v>
      </c>
      <c r="AC16" s="83">
        <f t="shared" si="11"/>
        <v>0</v>
      </c>
      <c r="AD16" s="78">
        <v>0</v>
      </c>
      <c r="AE16" s="83">
        <f t="shared" si="12"/>
        <v>0</v>
      </c>
      <c r="AF16" s="78">
        <v>0</v>
      </c>
      <c r="AG16" s="83">
        <f t="shared" si="13"/>
        <v>0</v>
      </c>
      <c r="AH16" s="79">
        <v>0</v>
      </c>
      <c r="AI16" s="83">
        <f t="shared" si="14"/>
        <v>0</v>
      </c>
      <c r="AJ16" s="79">
        <v>0</v>
      </c>
      <c r="AK16" s="83">
        <f t="shared" si="15"/>
        <v>0</v>
      </c>
      <c r="AL16" s="79">
        <v>0</v>
      </c>
      <c r="AM16" s="83">
        <f t="shared" si="16"/>
        <v>0</v>
      </c>
      <c r="AN16" s="79">
        <v>0</v>
      </c>
      <c r="AO16" s="83">
        <f t="shared" si="17"/>
        <v>0</v>
      </c>
      <c r="AP16" s="79">
        <v>0</v>
      </c>
      <c r="AQ16" s="83">
        <f t="shared" si="18"/>
        <v>0</v>
      </c>
      <c r="AR16" s="79">
        <v>0</v>
      </c>
      <c r="AS16" s="83">
        <f t="shared" si="19"/>
        <v>0</v>
      </c>
      <c r="AT16" s="79">
        <v>0</v>
      </c>
      <c r="AU16" s="83">
        <f t="shared" si="20"/>
        <v>0</v>
      </c>
      <c r="AV16" s="79">
        <v>0</v>
      </c>
      <c r="AW16" s="83">
        <f t="shared" si="21"/>
        <v>0</v>
      </c>
      <c r="AX16" s="79">
        <v>0</v>
      </c>
      <c r="AY16" s="83">
        <f t="shared" si="22"/>
        <v>0</v>
      </c>
      <c r="AZ16" s="79">
        <v>0</v>
      </c>
      <c r="BA16" s="83">
        <f t="shared" si="23"/>
        <v>0</v>
      </c>
      <c r="BB16" s="79">
        <v>0</v>
      </c>
      <c r="BC16" s="83">
        <f t="shared" si="24"/>
        <v>0</v>
      </c>
      <c r="BD16" s="79">
        <v>0</v>
      </c>
      <c r="BE16" s="83">
        <f t="shared" si="25"/>
        <v>0</v>
      </c>
      <c r="BF16" s="79">
        <v>0</v>
      </c>
      <c r="BG16" s="83">
        <f t="shared" si="27"/>
        <v>0</v>
      </c>
      <c r="BH16" s="79">
        <v>0</v>
      </c>
      <c r="BI16" s="83">
        <f t="shared" si="28"/>
        <v>0</v>
      </c>
      <c r="BJ16" s="79">
        <v>0</v>
      </c>
      <c r="BK16" s="287">
        <f t="shared" si="29"/>
        <v>0</v>
      </c>
      <c r="BL16" s="299">
        <v>0</v>
      </c>
      <c r="BM16" s="128">
        <f t="shared" si="30"/>
        <v>0</v>
      </c>
      <c r="BN16" s="128">
        <v>0</v>
      </c>
      <c r="BO16" s="305">
        <f t="shared" si="42"/>
        <v>0</v>
      </c>
      <c r="BP16" s="128"/>
      <c r="BQ16" s="128">
        <f t="shared" si="43"/>
        <v>0</v>
      </c>
      <c r="BR16" s="128"/>
      <c r="BS16" s="128">
        <f t="shared" si="44"/>
        <v>0</v>
      </c>
      <c r="BT16" s="128">
        <v>0</v>
      </c>
      <c r="BU16" s="128">
        <f t="shared" si="31"/>
        <v>0</v>
      </c>
      <c r="BV16" s="128"/>
      <c r="BW16" s="128">
        <f t="shared" si="32"/>
        <v>0</v>
      </c>
      <c r="BX16" s="128"/>
      <c r="BY16" s="128">
        <f t="shared" si="33"/>
        <v>0</v>
      </c>
      <c r="BZ16" s="128"/>
      <c r="CA16" s="128">
        <f t="shared" si="34"/>
        <v>0</v>
      </c>
      <c r="CB16" s="128">
        <v>0</v>
      </c>
      <c r="CC16" s="128">
        <f t="shared" si="35"/>
        <v>0</v>
      </c>
      <c r="CD16" s="128"/>
      <c r="CE16" s="128">
        <f t="shared" si="36"/>
        <v>0</v>
      </c>
      <c r="CF16" s="128"/>
      <c r="CG16" s="128">
        <f t="shared" si="37"/>
        <v>0</v>
      </c>
      <c r="CH16" s="128"/>
      <c r="CI16" s="128">
        <f t="shared" si="38"/>
        <v>0</v>
      </c>
      <c r="CJ16" s="128"/>
      <c r="CK16" s="128">
        <f t="shared" si="39"/>
        <v>0</v>
      </c>
      <c r="CL16" s="128">
        <v>0</v>
      </c>
      <c r="CM16" s="128">
        <f t="shared" si="40"/>
        <v>0</v>
      </c>
      <c r="CN16" s="128">
        <v>0</v>
      </c>
      <c r="CO16" s="128">
        <f t="shared" si="41"/>
        <v>0</v>
      </c>
      <c r="CP16" s="128"/>
      <c r="CQ16" s="128"/>
      <c r="CR16" s="128"/>
      <c r="CS16" s="128"/>
      <c r="CT16" s="128"/>
      <c r="CU16" s="128"/>
      <c r="CV16" s="128"/>
      <c r="CW16" s="128"/>
      <c r="CX16" s="128"/>
    </row>
    <row r="17" spans="1:102" ht="12.75" x14ac:dyDescent="0.2">
      <c r="A17" s="5" t="s">
        <v>252</v>
      </c>
      <c r="B17" s="15">
        <v>46000</v>
      </c>
      <c r="C17" s="15">
        <v>1916</v>
      </c>
      <c r="D17" s="15">
        <v>6000</v>
      </c>
      <c r="E17" s="15">
        <f t="shared" si="26"/>
        <v>4084</v>
      </c>
      <c r="F17" s="10">
        <v>0</v>
      </c>
      <c r="G17" s="15">
        <f t="shared" si="0"/>
        <v>0</v>
      </c>
      <c r="H17" s="10">
        <v>0</v>
      </c>
      <c r="I17" s="15">
        <f t="shared" si="1"/>
        <v>0</v>
      </c>
      <c r="J17" s="10">
        <v>0</v>
      </c>
      <c r="K17" s="15">
        <f t="shared" si="2"/>
        <v>0</v>
      </c>
      <c r="L17" s="10">
        <v>0</v>
      </c>
      <c r="M17" s="15">
        <f t="shared" si="3"/>
        <v>0</v>
      </c>
      <c r="N17" s="10">
        <v>0</v>
      </c>
      <c r="O17" s="15">
        <f t="shared" si="4"/>
        <v>0</v>
      </c>
      <c r="P17" s="10">
        <v>0</v>
      </c>
      <c r="Q17" s="15">
        <f t="shared" si="5"/>
        <v>0</v>
      </c>
      <c r="R17" s="10">
        <v>0</v>
      </c>
      <c r="S17" s="83">
        <f t="shared" si="6"/>
        <v>0</v>
      </c>
      <c r="T17" s="10">
        <v>0</v>
      </c>
      <c r="U17" s="83">
        <f t="shared" si="7"/>
        <v>0</v>
      </c>
      <c r="V17" s="78">
        <v>0</v>
      </c>
      <c r="W17" s="83">
        <f t="shared" si="8"/>
        <v>0</v>
      </c>
      <c r="X17" s="78">
        <v>0</v>
      </c>
      <c r="Y17" s="83">
        <f t="shared" si="9"/>
        <v>0</v>
      </c>
      <c r="Z17" s="78">
        <v>0</v>
      </c>
      <c r="AA17" s="83">
        <f t="shared" si="10"/>
        <v>0</v>
      </c>
      <c r="AB17" s="78">
        <v>0</v>
      </c>
      <c r="AC17" s="83">
        <f t="shared" si="11"/>
        <v>0</v>
      </c>
      <c r="AD17" s="78">
        <v>0</v>
      </c>
      <c r="AE17" s="83">
        <f t="shared" si="12"/>
        <v>0</v>
      </c>
      <c r="AF17" s="78">
        <v>0</v>
      </c>
      <c r="AG17" s="83">
        <f t="shared" si="13"/>
        <v>0</v>
      </c>
      <c r="AH17" s="79">
        <v>0</v>
      </c>
      <c r="AI17" s="83">
        <f t="shared" si="14"/>
        <v>0</v>
      </c>
      <c r="AJ17" s="79">
        <v>0</v>
      </c>
      <c r="AK17" s="83">
        <f t="shared" si="15"/>
        <v>0</v>
      </c>
      <c r="AL17" s="79">
        <v>0</v>
      </c>
      <c r="AM17" s="83">
        <f t="shared" si="16"/>
        <v>0</v>
      </c>
      <c r="AN17" s="79">
        <v>0</v>
      </c>
      <c r="AO17" s="83">
        <f t="shared" si="17"/>
        <v>0</v>
      </c>
      <c r="AP17" s="79">
        <v>0</v>
      </c>
      <c r="AQ17" s="83">
        <f t="shared" si="18"/>
        <v>0</v>
      </c>
      <c r="AR17" s="79">
        <v>0</v>
      </c>
      <c r="AS17" s="83">
        <f t="shared" si="19"/>
        <v>0</v>
      </c>
      <c r="AT17" s="79">
        <v>0</v>
      </c>
      <c r="AU17" s="83">
        <f t="shared" si="20"/>
        <v>0</v>
      </c>
      <c r="AV17" s="79">
        <v>0</v>
      </c>
      <c r="AW17" s="83">
        <f t="shared" si="21"/>
        <v>0</v>
      </c>
      <c r="AX17" s="79">
        <v>0</v>
      </c>
      <c r="AY17" s="83">
        <f t="shared" si="22"/>
        <v>0</v>
      </c>
      <c r="AZ17" s="79">
        <v>0</v>
      </c>
      <c r="BA17" s="83">
        <f t="shared" si="23"/>
        <v>0</v>
      </c>
      <c r="BB17" s="79">
        <v>0</v>
      </c>
      <c r="BC17" s="83">
        <f t="shared" si="24"/>
        <v>0</v>
      </c>
      <c r="BD17" s="79">
        <v>0</v>
      </c>
      <c r="BE17" s="83">
        <f t="shared" si="25"/>
        <v>0</v>
      </c>
      <c r="BF17" s="79">
        <v>0</v>
      </c>
      <c r="BG17" s="83">
        <f t="shared" si="27"/>
        <v>0</v>
      </c>
      <c r="BH17" s="79">
        <v>0</v>
      </c>
      <c r="BI17" s="83">
        <f t="shared" si="28"/>
        <v>0</v>
      </c>
      <c r="BJ17" s="79">
        <v>0</v>
      </c>
      <c r="BK17" s="287">
        <f t="shared" si="29"/>
        <v>0</v>
      </c>
      <c r="BL17" s="299">
        <v>0</v>
      </c>
      <c r="BM17" s="128">
        <f t="shared" si="30"/>
        <v>0</v>
      </c>
      <c r="BN17" s="128">
        <v>0</v>
      </c>
      <c r="BO17" s="305">
        <f t="shared" si="42"/>
        <v>0</v>
      </c>
      <c r="BP17" s="128"/>
      <c r="BQ17" s="128">
        <f t="shared" si="43"/>
        <v>0</v>
      </c>
      <c r="BR17" s="128"/>
      <c r="BS17" s="128">
        <f t="shared" si="44"/>
        <v>0</v>
      </c>
      <c r="BT17" s="128">
        <v>0</v>
      </c>
      <c r="BU17" s="128">
        <f t="shared" si="31"/>
        <v>0</v>
      </c>
      <c r="BV17" s="128"/>
      <c r="BW17" s="128">
        <f t="shared" si="32"/>
        <v>0</v>
      </c>
      <c r="BX17" s="128"/>
      <c r="BY17" s="128">
        <f t="shared" si="33"/>
        <v>0</v>
      </c>
      <c r="BZ17" s="128"/>
      <c r="CA17" s="128">
        <f t="shared" si="34"/>
        <v>0</v>
      </c>
      <c r="CB17" s="128">
        <v>0</v>
      </c>
      <c r="CC17" s="128">
        <f t="shared" si="35"/>
        <v>0</v>
      </c>
      <c r="CD17" s="128"/>
      <c r="CE17" s="128">
        <f t="shared" si="36"/>
        <v>0</v>
      </c>
      <c r="CF17" s="128"/>
      <c r="CG17" s="128">
        <f t="shared" si="37"/>
        <v>0</v>
      </c>
      <c r="CH17" s="128"/>
      <c r="CI17" s="128">
        <f t="shared" si="38"/>
        <v>0</v>
      </c>
      <c r="CJ17" s="128"/>
      <c r="CK17" s="128">
        <f t="shared" si="39"/>
        <v>0</v>
      </c>
      <c r="CL17" s="128">
        <v>0</v>
      </c>
      <c r="CM17" s="128">
        <f t="shared" si="40"/>
        <v>0</v>
      </c>
      <c r="CN17" s="128">
        <v>0</v>
      </c>
      <c r="CO17" s="128">
        <f t="shared" si="41"/>
        <v>0</v>
      </c>
      <c r="CP17" s="128"/>
      <c r="CQ17" s="128"/>
      <c r="CR17" s="128"/>
      <c r="CS17" s="128"/>
      <c r="CT17" s="128"/>
      <c r="CU17" s="128"/>
      <c r="CV17" s="128"/>
      <c r="CW17" s="128"/>
      <c r="CX17" s="128"/>
    </row>
    <row r="18" spans="1:102" ht="12.75" x14ac:dyDescent="0.2">
      <c r="A18" s="5" t="s">
        <v>253</v>
      </c>
      <c r="B18" s="15">
        <v>55000</v>
      </c>
      <c r="C18" s="15">
        <v>2291</v>
      </c>
      <c r="D18" s="15">
        <v>4000</v>
      </c>
      <c r="E18" s="15">
        <f t="shared" si="26"/>
        <v>1709</v>
      </c>
      <c r="F18" s="10">
        <v>0</v>
      </c>
      <c r="G18" s="15">
        <f t="shared" si="0"/>
        <v>0</v>
      </c>
      <c r="H18" s="10">
        <v>0</v>
      </c>
      <c r="I18" s="15">
        <f t="shared" si="1"/>
        <v>0</v>
      </c>
      <c r="J18" s="10">
        <v>0</v>
      </c>
      <c r="K18" s="15">
        <f t="shared" si="2"/>
        <v>0</v>
      </c>
      <c r="L18" s="10">
        <v>0</v>
      </c>
      <c r="M18" s="15">
        <f t="shared" si="3"/>
        <v>0</v>
      </c>
      <c r="N18" s="10">
        <v>0</v>
      </c>
      <c r="O18" s="15">
        <f t="shared" si="4"/>
        <v>0</v>
      </c>
      <c r="P18" s="10">
        <v>0</v>
      </c>
      <c r="Q18" s="15">
        <f t="shared" si="5"/>
        <v>0</v>
      </c>
      <c r="R18" s="10">
        <v>0</v>
      </c>
      <c r="S18" s="83">
        <f t="shared" si="6"/>
        <v>0</v>
      </c>
      <c r="T18" s="10">
        <v>0</v>
      </c>
      <c r="U18" s="83">
        <f t="shared" si="7"/>
        <v>0</v>
      </c>
      <c r="V18" s="78">
        <v>0</v>
      </c>
      <c r="W18" s="83">
        <f t="shared" si="8"/>
        <v>0</v>
      </c>
      <c r="X18" s="78">
        <v>0</v>
      </c>
      <c r="Y18" s="83">
        <f t="shared" si="9"/>
        <v>0</v>
      </c>
      <c r="Z18" s="78">
        <v>0</v>
      </c>
      <c r="AA18" s="83">
        <f t="shared" si="10"/>
        <v>0</v>
      </c>
      <c r="AB18" s="78">
        <v>0</v>
      </c>
      <c r="AC18" s="83">
        <f t="shared" si="11"/>
        <v>0</v>
      </c>
      <c r="AD18" s="78">
        <v>0</v>
      </c>
      <c r="AE18" s="83">
        <f t="shared" si="12"/>
        <v>0</v>
      </c>
      <c r="AF18" s="78">
        <v>0</v>
      </c>
      <c r="AG18" s="83">
        <f t="shared" si="13"/>
        <v>0</v>
      </c>
      <c r="AH18" s="79">
        <v>0</v>
      </c>
      <c r="AI18" s="83">
        <f t="shared" si="14"/>
        <v>0</v>
      </c>
      <c r="AJ18" s="79">
        <v>0</v>
      </c>
      <c r="AK18" s="83">
        <f t="shared" si="15"/>
        <v>0</v>
      </c>
      <c r="AL18" s="79">
        <v>0</v>
      </c>
      <c r="AM18" s="83">
        <f t="shared" si="16"/>
        <v>0</v>
      </c>
      <c r="AN18" s="79">
        <v>0</v>
      </c>
      <c r="AO18" s="83">
        <f t="shared" si="17"/>
        <v>0</v>
      </c>
      <c r="AP18" s="79">
        <v>0</v>
      </c>
      <c r="AQ18" s="83">
        <f t="shared" si="18"/>
        <v>0</v>
      </c>
      <c r="AR18" s="79">
        <v>0</v>
      </c>
      <c r="AS18" s="83">
        <f t="shared" si="19"/>
        <v>0</v>
      </c>
      <c r="AT18" s="79">
        <v>0</v>
      </c>
      <c r="AU18" s="83">
        <f t="shared" si="20"/>
        <v>0</v>
      </c>
      <c r="AV18" s="79">
        <v>0</v>
      </c>
      <c r="AW18" s="83">
        <f t="shared" si="21"/>
        <v>0</v>
      </c>
      <c r="AX18" s="79">
        <v>0</v>
      </c>
      <c r="AY18" s="83">
        <f t="shared" si="22"/>
        <v>0</v>
      </c>
      <c r="AZ18" s="79">
        <v>0</v>
      </c>
      <c r="BA18" s="83">
        <f t="shared" si="23"/>
        <v>0</v>
      </c>
      <c r="BB18" s="79">
        <v>0</v>
      </c>
      <c r="BC18" s="83">
        <f t="shared" si="24"/>
        <v>0</v>
      </c>
      <c r="BD18" s="79">
        <v>0</v>
      </c>
      <c r="BE18" s="83">
        <f t="shared" si="25"/>
        <v>0</v>
      </c>
      <c r="BF18" s="79">
        <v>0</v>
      </c>
      <c r="BG18" s="83">
        <f t="shared" si="27"/>
        <v>0</v>
      </c>
      <c r="BH18" s="79">
        <v>0</v>
      </c>
      <c r="BI18" s="83">
        <f t="shared" si="28"/>
        <v>0</v>
      </c>
      <c r="BJ18" s="79">
        <v>0</v>
      </c>
      <c r="BK18" s="287">
        <f t="shared" si="29"/>
        <v>0</v>
      </c>
      <c r="BL18" s="299">
        <v>0</v>
      </c>
      <c r="BM18" s="128">
        <f t="shared" si="30"/>
        <v>0</v>
      </c>
      <c r="BN18" s="128">
        <v>0</v>
      </c>
      <c r="BO18" s="305">
        <f t="shared" si="42"/>
        <v>0</v>
      </c>
      <c r="BP18" s="128"/>
      <c r="BQ18" s="128">
        <f t="shared" si="43"/>
        <v>0</v>
      </c>
      <c r="BR18" s="128"/>
      <c r="BS18" s="128">
        <f t="shared" si="44"/>
        <v>0</v>
      </c>
      <c r="BT18" s="128">
        <v>0</v>
      </c>
      <c r="BU18" s="128">
        <f t="shared" si="31"/>
        <v>0</v>
      </c>
      <c r="BV18" s="128"/>
      <c r="BW18" s="128">
        <f t="shared" si="32"/>
        <v>0</v>
      </c>
      <c r="BX18" s="128"/>
      <c r="BY18" s="128">
        <f t="shared" si="33"/>
        <v>0</v>
      </c>
      <c r="BZ18" s="128"/>
      <c r="CA18" s="128">
        <f t="shared" si="34"/>
        <v>0</v>
      </c>
      <c r="CB18" s="128">
        <v>0</v>
      </c>
      <c r="CC18" s="128">
        <f t="shared" si="35"/>
        <v>0</v>
      </c>
      <c r="CD18" s="128"/>
      <c r="CE18" s="128">
        <f t="shared" si="36"/>
        <v>0</v>
      </c>
      <c r="CF18" s="128"/>
      <c r="CG18" s="128">
        <f t="shared" si="37"/>
        <v>0</v>
      </c>
      <c r="CH18" s="128"/>
      <c r="CI18" s="128">
        <f t="shared" si="38"/>
        <v>0</v>
      </c>
      <c r="CJ18" s="128"/>
      <c r="CK18" s="128">
        <f t="shared" si="39"/>
        <v>0</v>
      </c>
      <c r="CL18" s="128">
        <v>0</v>
      </c>
      <c r="CM18" s="128">
        <f t="shared" si="40"/>
        <v>0</v>
      </c>
      <c r="CN18" s="128">
        <v>0</v>
      </c>
      <c r="CO18" s="128">
        <f t="shared" si="41"/>
        <v>0</v>
      </c>
      <c r="CP18" s="128"/>
      <c r="CQ18" s="128"/>
      <c r="CR18" s="128"/>
      <c r="CS18" s="128"/>
      <c r="CT18" s="128"/>
      <c r="CU18" s="128"/>
      <c r="CV18" s="128"/>
      <c r="CW18" s="128"/>
      <c r="CX18" s="128"/>
    </row>
    <row r="19" spans="1:102" ht="12.75" x14ac:dyDescent="0.2">
      <c r="A19" s="5" t="s">
        <v>254</v>
      </c>
      <c r="B19" s="15">
        <v>72000</v>
      </c>
      <c r="C19" s="15">
        <v>3000</v>
      </c>
      <c r="D19" s="15">
        <v>6000</v>
      </c>
      <c r="E19" s="15">
        <f t="shared" si="26"/>
        <v>3000</v>
      </c>
      <c r="F19" s="10">
        <v>0</v>
      </c>
      <c r="G19" s="15">
        <f t="shared" si="0"/>
        <v>0</v>
      </c>
      <c r="H19" s="10">
        <v>0</v>
      </c>
      <c r="I19" s="15">
        <f t="shared" si="1"/>
        <v>0</v>
      </c>
      <c r="J19" s="10">
        <v>0</v>
      </c>
      <c r="K19" s="15">
        <f t="shared" si="2"/>
        <v>0</v>
      </c>
      <c r="L19" s="10">
        <v>0</v>
      </c>
      <c r="M19" s="15">
        <f t="shared" si="3"/>
        <v>0</v>
      </c>
      <c r="N19" s="10">
        <v>0</v>
      </c>
      <c r="O19" s="15">
        <f t="shared" si="4"/>
        <v>0</v>
      </c>
      <c r="P19" s="10">
        <v>0</v>
      </c>
      <c r="Q19" s="15">
        <f t="shared" si="5"/>
        <v>0</v>
      </c>
      <c r="R19" s="10">
        <v>0</v>
      </c>
      <c r="S19" s="83">
        <f t="shared" si="6"/>
        <v>0</v>
      </c>
      <c r="T19" s="10">
        <v>0</v>
      </c>
      <c r="U19" s="83">
        <f t="shared" si="7"/>
        <v>0</v>
      </c>
      <c r="V19" s="78">
        <v>0</v>
      </c>
      <c r="W19" s="83">
        <f t="shared" si="8"/>
        <v>0</v>
      </c>
      <c r="X19" s="78">
        <v>0</v>
      </c>
      <c r="Y19" s="83">
        <f t="shared" si="9"/>
        <v>0</v>
      </c>
      <c r="Z19" s="78">
        <v>0</v>
      </c>
      <c r="AA19" s="83">
        <f t="shared" si="10"/>
        <v>0</v>
      </c>
      <c r="AB19" s="78">
        <v>0</v>
      </c>
      <c r="AC19" s="83">
        <f t="shared" si="11"/>
        <v>0</v>
      </c>
      <c r="AD19" s="78">
        <v>0</v>
      </c>
      <c r="AE19" s="83">
        <f t="shared" si="12"/>
        <v>0</v>
      </c>
      <c r="AF19" s="78">
        <v>0</v>
      </c>
      <c r="AG19" s="83">
        <f t="shared" si="13"/>
        <v>0</v>
      </c>
      <c r="AH19" s="79">
        <v>0</v>
      </c>
      <c r="AI19" s="83">
        <f t="shared" si="14"/>
        <v>0</v>
      </c>
      <c r="AJ19" s="79">
        <v>0</v>
      </c>
      <c r="AK19" s="83">
        <f t="shared" si="15"/>
        <v>0</v>
      </c>
      <c r="AL19" s="79">
        <v>10</v>
      </c>
      <c r="AM19" s="83">
        <f t="shared" si="16"/>
        <v>30000</v>
      </c>
      <c r="AN19" s="79">
        <v>0</v>
      </c>
      <c r="AO19" s="83">
        <f t="shared" si="17"/>
        <v>0</v>
      </c>
      <c r="AP19" s="79">
        <v>0</v>
      </c>
      <c r="AQ19" s="83">
        <f t="shared" si="18"/>
        <v>0</v>
      </c>
      <c r="AR19" s="79">
        <v>0</v>
      </c>
      <c r="AS19" s="83">
        <f t="shared" si="19"/>
        <v>0</v>
      </c>
      <c r="AT19" s="79">
        <v>0</v>
      </c>
      <c r="AU19" s="83">
        <f t="shared" si="20"/>
        <v>0</v>
      </c>
      <c r="AV19" s="79">
        <v>0</v>
      </c>
      <c r="AW19" s="83">
        <f t="shared" si="21"/>
        <v>0</v>
      </c>
      <c r="AX19" s="79">
        <v>0</v>
      </c>
      <c r="AY19" s="83">
        <f t="shared" si="22"/>
        <v>0</v>
      </c>
      <c r="AZ19" s="79">
        <v>0</v>
      </c>
      <c r="BA19" s="83">
        <f t="shared" si="23"/>
        <v>0</v>
      </c>
      <c r="BB19" s="79">
        <v>0</v>
      </c>
      <c r="BC19" s="83">
        <f t="shared" si="24"/>
        <v>0</v>
      </c>
      <c r="BD19" s="79">
        <v>0</v>
      </c>
      <c r="BE19" s="83">
        <f t="shared" si="25"/>
        <v>0</v>
      </c>
      <c r="BF19" s="79">
        <v>0</v>
      </c>
      <c r="BG19" s="83">
        <f t="shared" si="27"/>
        <v>0</v>
      </c>
      <c r="BH19" s="79">
        <v>0</v>
      </c>
      <c r="BI19" s="83">
        <f t="shared" si="28"/>
        <v>0</v>
      </c>
      <c r="BJ19" s="79">
        <v>0</v>
      </c>
      <c r="BK19" s="287">
        <f t="shared" si="29"/>
        <v>0</v>
      </c>
      <c r="BL19" s="299">
        <v>0</v>
      </c>
      <c r="BM19" s="128">
        <f t="shared" si="30"/>
        <v>0</v>
      </c>
      <c r="BN19" s="128">
        <v>0</v>
      </c>
      <c r="BO19" s="305">
        <f t="shared" si="42"/>
        <v>0</v>
      </c>
      <c r="BP19" s="128"/>
      <c r="BQ19" s="128">
        <f t="shared" si="43"/>
        <v>0</v>
      </c>
      <c r="BR19" s="128"/>
      <c r="BS19" s="128">
        <f t="shared" si="44"/>
        <v>0</v>
      </c>
      <c r="BT19" s="128">
        <v>0</v>
      </c>
      <c r="BU19" s="128">
        <f t="shared" si="31"/>
        <v>0</v>
      </c>
      <c r="BV19" s="128"/>
      <c r="BW19" s="128">
        <f t="shared" si="32"/>
        <v>0</v>
      </c>
      <c r="BX19" s="128"/>
      <c r="BY19" s="128">
        <f t="shared" si="33"/>
        <v>0</v>
      </c>
      <c r="BZ19" s="128"/>
      <c r="CA19" s="128">
        <f t="shared" si="34"/>
        <v>0</v>
      </c>
      <c r="CB19" s="128">
        <v>0</v>
      </c>
      <c r="CC19" s="128">
        <f t="shared" si="35"/>
        <v>0</v>
      </c>
      <c r="CD19" s="128"/>
      <c r="CE19" s="128">
        <f t="shared" si="36"/>
        <v>0</v>
      </c>
      <c r="CF19" s="128"/>
      <c r="CG19" s="128">
        <f t="shared" si="37"/>
        <v>0</v>
      </c>
      <c r="CH19" s="128"/>
      <c r="CI19" s="128">
        <f t="shared" si="38"/>
        <v>0</v>
      </c>
      <c r="CJ19" s="128"/>
      <c r="CK19" s="128">
        <f t="shared" si="39"/>
        <v>0</v>
      </c>
      <c r="CL19" s="128">
        <v>0</v>
      </c>
      <c r="CM19" s="128">
        <f t="shared" si="40"/>
        <v>0</v>
      </c>
      <c r="CN19" s="128">
        <v>0</v>
      </c>
      <c r="CO19" s="128">
        <f t="shared" si="41"/>
        <v>0</v>
      </c>
      <c r="CP19" s="128"/>
      <c r="CQ19" s="128"/>
      <c r="CR19" s="128"/>
      <c r="CS19" s="128"/>
      <c r="CT19" s="128"/>
      <c r="CU19" s="128"/>
      <c r="CV19" s="128"/>
      <c r="CW19" s="128"/>
      <c r="CX19" s="128"/>
    </row>
    <row r="20" spans="1:102" ht="12.75" x14ac:dyDescent="0.2">
      <c r="A20" s="5" t="s">
        <v>255</v>
      </c>
      <c r="B20" s="15">
        <v>7560</v>
      </c>
      <c r="C20" s="15">
        <v>1260</v>
      </c>
      <c r="D20" s="15">
        <v>3000</v>
      </c>
      <c r="E20" s="15">
        <f t="shared" si="26"/>
        <v>1740</v>
      </c>
      <c r="F20" s="10">
        <v>0</v>
      </c>
      <c r="G20" s="15">
        <f t="shared" si="0"/>
        <v>0</v>
      </c>
      <c r="H20" s="10">
        <v>0</v>
      </c>
      <c r="I20" s="15">
        <f t="shared" si="1"/>
        <v>0</v>
      </c>
      <c r="J20" s="10">
        <v>0</v>
      </c>
      <c r="K20" s="15">
        <f t="shared" si="2"/>
        <v>0</v>
      </c>
      <c r="L20" s="10">
        <v>0</v>
      </c>
      <c r="M20" s="15">
        <f t="shared" si="3"/>
        <v>0</v>
      </c>
      <c r="N20" s="10">
        <v>0</v>
      </c>
      <c r="O20" s="15">
        <f t="shared" si="4"/>
        <v>0</v>
      </c>
      <c r="P20" s="10">
        <v>0</v>
      </c>
      <c r="Q20" s="15">
        <f t="shared" si="5"/>
        <v>0</v>
      </c>
      <c r="R20" s="10">
        <v>0</v>
      </c>
      <c r="S20" s="83">
        <f t="shared" si="6"/>
        <v>0</v>
      </c>
      <c r="T20" s="10">
        <v>0</v>
      </c>
      <c r="U20" s="83">
        <f t="shared" si="7"/>
        <v>0</v>
      </c>
      <c r="V20" s="78">
        <v>0</v>
      </c>
      <c r="W20" s="83">
        <f t="shared" si="8"/>
        <v>0</v>
      </c>
      <c r="X20" s="78">
        <v>0</v>
      </c>
      <c r="Y20" s="83">
        <f t="shared" si="9"/>
        <v>0</v>
      </c>
      <c r="Z20" s="78">
        <v>0</v>
      </c>
      <c r="AA20" s="83">
        <f t="shared" si="10"/>
        <v>0</v>
      </c>
      <c r="AB20" s="78">
        <v>0</v>
      </c>
      <c r="AC20" s="83">
        <f t="shared" si="11"/>
        <v>0</v>
      </c>
      <c r="AD20" s="78">
        <v>0</v>
      </c>
      <c r="AE20" s="83">
        <f t="shared" si="12"/>
        <v>0</v>
      </c>
      <c r="AF20" s="78">
        <v>0</v>
      </c>
      <c r="AG20" s="83">
        <f t="shared" si="13"/>
        <v>0</v>
      </c>
      <c r="AH20" s="79">
        <v>0</v>
      </c>
      <c r="AI20" s="83">
        <f t="shared" si="14"/>
        <v>0</v>
      </c>
      <c r="AJ20" s="79">
        <v>0</v>
      </c>
      <c r="AK20" s="83">
        <f t="shared" si="15"/>
        <v>0</v>
      </c>
      <c r="AL20" s="79">
        <v>0</v>
      </c>
      <c r="AM20" s="83">
        <f t="shared" si="16"/>
        <v>0</v>
      </c>
      <c r="AN20" s="79">
        <v>0</v>
      </c>
      <c r="AO20" s="83">
        <f t="shared" si="17"/>
        <v>0</v>
      </c>
      <c r="AP20" s="79">
        <v>0</v>
      </c>
      <c r="AQ20" s="83">
        <f t="shared" si="18"/>
        <v>0</v>
      </c>
      <c r="AR20" s="79">
        <v>0</v>
      </c>
      <c r="AS20" s="83">
        <f t="shared" si="19"/>
        <v>0</v>
      </c>
      <c r="AT20" s="79">
        <v>0</v>
      </c>
      <c r="AU20" s="83">
        <f t="shared" si="20"/>
        <v>0</v>
      </c>
      <c r="AV20" s="79">
        <v>0</v>
      </c>
      <c r="AW20" s="83">
        <f t="shared" si="21"/>
        <v>0</v>
      </c>
      <c r="AX20" s="79">
        <v>0</v>
      </c>
      <c r="AY20" s="83">
        <f t="shared" si="22"/>
        <v>0</v>
      </c>
      <c r="AZ20" s="79">
        <v>0</v>
      </c>
      <c r="BA20" s="83">
        <f t="shared" si="23"/>
        <v>0</v>
      </c>
      <c r="BB20" s="79">
        <v>0</v>
      </c>
      <c r="BC20" s="83">
        <f t="shared" si="24"/>
        <v>0</v>
      </c>
      <c r="BD20" s="79">
        <v>0</v>
      </c>
      <c r="BE20" s="83">
        <f t="shared" si="25"/>
        <v>0</v>
      </c>
      <c r="BF20" s="79">
        <v>0</v>
      </c>
      <c r="BG20" s="83">
        <f t="shared" si="27"/>
        <v>0</v>
      </c>
      <c r="BH20" s="79">
        <v>0</v>
      </c>
      <c r="BI20" s="83">
        <f t="shared" si="28"/>
        <v>0</v>
      </c>
      <c r="BJ20" s="79">
        <v>0</v>
      </c>
      <c r="BK20" s="287">
        <f t="shared" si="29"/>
        <v>0</v>
      </c>
      <c r="BL20" s="299">
        <v>0</v>
      </c>
      <c r="BM20" s="128">
        <f t="shared" si="30"/>
        <v>0</v>
      </c>
      <c r="BN20" s="128">
        <v>0</v>
      </c>
      <c r="BO20" s="305">
        <f t="shared" si="42"/>
        <v>0</v>
      </c>
      <c r="BP20" s="128"/>
      <c r="BQ20" s="128">
        <f t="shared" si="43"/>
        <v>0</v>
      </c>
      <c r="BR20" s="128"/>
      <c r="BS20" s="128">
        <f t="shared" si="44"/>
        <v>0</v>
      </c>
      <c r="BT20" s="128">
        <v>0</v>
      </c>
      <c r="BU20" s="128">
        <f t="shared" si="31"/>
        <v>0</v>
      </c>
      <c r="BV20" s="128"/>
      <c r="BW20" s="128">
        <f t="shared" si="32"/>
        <v>0</v>
      </c>
      <c r="BX20" s="128"/>
      <c r="BY20" s="128">
        <f t="shared" si="33"/>
        <v>0</v>
      </c>
      <c r="BZ20" s="128"/>
      <c r="CA20" s="128">
        <f t="shared" si="34"/>
        <v>0</v>
      </c>
      <c r="CB20" s="128">
        <v>0</v>
      </c>
      <c r="CC20" s="128">
        <f t="shared" si="35"/>
        <v>0</v>
      </c>
      <c r="CD20" s="128"/>
      <c r="CE20" s="128">
        <f t="shared" si="36"/>
        <v>0</v>
      </c>
      <c r="CF20" s="128"/>
      <c r="CG20" s="128">
        <f t="shared" si="37"/>
        <v>0</v>
      </c>
      <c r="CH20" s="128"/>
      <c r="CI20" s="128">
        <f t="shared" si="38"/>
        <v>0</v>
      </c>
      <c r="CJ20" s="128"/>
      <c r="CK20" s="128">
        <f t="shared" si="39"/>
        <v>0</v>
      </c>
      <c r="CL20" s="128">
        <v>0</v>
      </c>
      <c r="CM20" s="128">
        <f t="shared" si="40"/>
        <v>0</v>
      </c>
      <c r="CN20" s="128">
        <v>0</v>
      </c>
      <c r="CO20" s="128">
        <f t="shared" si="41"/>
        <v>0</v>
      </c>
      <c r="CP20" s="128"/>
      <c r="CQ20" s="128"/>
      <c r="CR20" s="128"/>
      <c r="CS20" s="128"/>
      <c r="CT20" s="128"/>
      <c r="CU20" s="128"/>
      <c r="CV20" s="128"/>
      <c r="CW20" s="128"/>
      <c r="CX20" s="128"/>
    </row>
    <row r="21" spans="1:102" ht="12.75" x14ac:dyDescent="0.2">
      <c r="A21" s="5" t="s">
        <v>256</v>
      </c>
      <c r="B21" s="15">
        <v>54700</v>
      </c>
      <c r="C21" s="15">
        <v>1823</v>
      </c>
      <c r="D21" s="15">
        <v>4000</v>
      </c>
      <c r="E21" s="15">
        <f t="shared" si="26"/>
        <v>2177</v>
      </c>
      <c r="F21" s="10">
        <v>0</v>
      </c>
      <c r="G21" s="15">
        <f t="shared" si="0"/>
        <v>0</v>
      </c>
      <c r="H21" s="10">
        <v>0</v>
      </c>
      <c r="I21" s="15">
        <f t="shared" si="1"/>
        <v>0</v>
      </c>
      <c r="J21" s="10">
        <v>0</v>
      </c>
      <c r="K21" s="15">
        <f t="shared" si="2"/>
        <v>0</v>
      </c>
      <c r="L21" s="10">
        <v>0</v>
      </c>
      <c r="M21" s="15">
        <f t="shared" si="3"/>
        <v>0</v>
      </c>
      <c r="N21" s="10">
        <v>0</v>
      </c>
      <c r="O21" s="15">
        <f t="shared" si="4"/>
        <v>0</v>
      </c>
      <c r="P21" s="10">
        <v>0</v>
      </c>
      <c r="Q21" s="15">
        <f t="shared" si="5"/>
        <v>0</v>
      </c>
      <c r="R21" s="10">
        <v>0</v>
      </c>
      <c r="S21" s="83">
        <f t="shared" si="6"/>
        <v>0</v>
      </c>
      <c r="T21" s="10">
        <v>0</v>
      </c>
      <c r="U21" s="83">
        <f t="shared" si="7"/>
        <v>0</v>
      </c>
      <c r="V21" s="78">
        <v>0</v>
      </c>
      <c r="W21" s="83">
        <f t="shared" si="8"/>
        <v>0</v>
      </c>
      <c r="X21" s="78">
        <v>0</v>
      </c>
      <c r="Y21" s="83">
        <f t="shared" si="9"/>
        <v>0</v>
      </c>
      <c r="Z21" s="78">
        <v>0</v>
      </c>
      <c r="AA21" s="83">
        <f t="shared" si="10"/>
        <v>0</v>
      </c>
      <c r="AB21" s="78">
        <v>0</v>
      </c>
      <c r="AC21" s="83">
        <f t="shared" si="11"/>
        <v>0</v>
      </c>
      <c r="AD21" s="78">
        <v>0</v>
      </c>
      <c r="AE21" s="83">
        <f t="shared" si="12"/>
        <v>0</v>
      </c>
      <c r="AF21" s="78">
        <v>0</v>
      </c>
      <c r="AG21" s="83">
        <f t="shared" si="13"/>
        <v>0</v>
      </c>
      <c r="AH21" s="79">
        <v>0</v>
      </c>
      <c r="AI21" s="83">
        <f t="shared" si="14"/>
        <v>0</v>
      </c>
      <c r="AJ21" s="79">
        <v>0</v>
      </c>
      <c r="AK21" s="83">
        <f t="shared" si="15"/>
        <v>0</v>
      </c>
      <c r="AL21" s="79">
        <v>0</v>
      </c>
      <c r="AM21" s="83">
        <f t="shared" si="16"/>
        <v>0</v>
      </c>
      <c r="AN21" s="79">
        <v>0</v>
      </c>
      <c r="AO21" s="83">
        <f t="shared" si="17"/>
        <v>0</v>
      </c>
      <c r="AP21" s="79">
        <v>0</v>
      </c>
      <c r="AQ21" s="83">
        <f t="shared" si="18"/>
        <v>0</v>
      </c>
      <c r="AR21" s="79">
        <v>0</v>
      </c>
      <c r="AS21" s="83">
        <f t="shared" si="19"/>
        <v>0</v>
      </c>
      <c r="AT21" s="79">
        <v>0</v>
      </c>
      <c r="AU21" s="83">
        <f t="shared" si="20"/>
        <v>0</v>
      </c>
      <c r="AV21" s="79">
        <v>0</v>
      </c>
      <c r="AW21" s="83">
        <f t="shared" si="21"/>
        <v>0</v>
      </c>
      <c r="AX21" s="79">
        <v>0</v>
      </c>
      <c r="AY21" s="83">
        <f t="shared" si="22"/>
        <v>0</v>
      </c>
      <c r="AZ21" s="79">
        <v>0</v>
      </c>
      <c r="BA21" s="83">
        <f t="shared" si="23"/>
        <v>0</v>
      </c>
      <c r="BB21" s="79">
        <v>0</v>
      </c>
      <c r="BC21" s="83">
        <f t="shared" si="24"/>
        <v>0</v>
      </c>
      <c r="BD21" s="79">
        <v>0</v>
      </c>
      <c r="BE21" s="83">
        <f t="shared" si="25"/>
        <v>0</v>
      </c>
      <c r="BF21" s="79">
        <v>0</v>
      </c>
      <c r="BG21" s="83">
        <f t="shared" si="27"/>
        <v>0</v>
      </c>
      <c r="BH21" s="79">
        <v>0</v>
      </c>
      <c r="BI21" s="83">
        <f t="shared" si="28"/>
        <v>0</v>
      </c>
      <c r="BJ21" s="79">
        <v>0</v>
      </c>
      <c r="BK21" s="287">
        <f t="shared" si="29"/>
        <v>0</v>
      </c>
      <c r="BL21" s="299">
        <v>0</v>
      </c>
      <c r="BM21" s="128">
        <f t="shared" si="30"/>
        <v>0</v>
      </c>
      <c r="BN21" s="128">
        <v>0</v>
      </c>
      <c r="BO21" s="305">
        <f t="shared" si="42"/>
        <v>0</v>
      </c>
      <c r="BP21" s="128"/>
      <c r="BQ21" s="128">
        <f t="shared" si="43"/>
        <v>0</v>
      </c>
      <c r="BR21" s="128"/>
      <c r="BS21" s="128">
        <f t="shared" si="44"/>
        <v>0</v>
      </c>
      <c r="BT21" s="128">
        <v>0</v>
      </c>
      <c r="BU21" s="128">
        <f t="shared" si="31"/>
        <v>0</v>
      </c>
      <c r="BV21" s="128"/>
      <c r="BW21" s="128">
        <f t="shared" si="32"/>
        <v>0</v>
      </c>
      <c r="BX21" s="128"/>
      <c r="BY21" s="128">
        <f t="shared" si="33"/>
        <v>0</v>
      </c>
      <c r="BZ21" s="128"/>
      <c r="CA21" s="128">
        <f t="shared" si="34"/>
        <v>0</v>
      </c>
      <c r="CB21" s="128">
        <v>0</v>
      </c>
      <c r="CC21" s="128">
        <f t="shared" si="35"/>
        <v>0</v>
      </c>
      <c r="CD21" s="128"/>
      <c r="CE21" s="128">
        <f t="shared" si="36"/>
        <v>0</v>
      </c>
      <c r="CF21" s="128"/>
      <c r="CG21" s="128">
        <f t="shared" si="37"/>
        <v>0</v>
      </c>
      <c r="CH21" s="128"/>
      <c r="CI21" s="128">
        <f t="shared" si="38"/>
        <v>0</v>
      </c>
      <c r="CJ21" s="128"/>
      <c r="CK21" s="128">
        <f t="shared" si="39"/>
        <v>0</v>
      </c>
      <c r="CL21" s="128">
        <v>0</v>
      </c>
      <c r="CM21" s="128">
        <f t="shared" si="40"/>
        <v>0</v>
      </c>
      <c r="CN21" s="128">
        <v>0</v>
      </c>
      <c r="CO21" s="128">
        <f t="shared" si="41"/>
        <v>0</v>
      </c>
      <c r="CP21" s="128"/>
      <c r="CQ21" s="128"/>
      <c r="CR21" s="128"/>
      <c r="CS21" s="128"/>
      <c r="CT21" s="128"/>
      <c r="CU21" s="128"/>
      <c r="CV21" s="128"/>
      <c r="CW21" s="128"/>
      <c r="CX21" s="128"/>
    </row>
    <row r="22" spans="1:102" ht="12.75" x14ac:dyDescent="0.2">
      <c r="A22" s="5" t="s">
        <v>257</v>
      </c>
      <c r="B22" s="15">
        <v>56000</v>
      </c>
      <c r="C22" s="15">
        <v>1866</v>
      </c>
      <c r="D22" s="15">
        <v>4000</v>
      </c>
      <c r="E22" s="15">
        <f t="shared" si="26"/>
        <v>2134</v>
      </c>
      <c r="F22" s="10">
        <v>0</v>
      </c>
      <c r="G22" s="15">
        <f t="shared" si="0"/>
        <v>0</v>
      </c>
      <c r="H22" s="10">
        <v>0</v>
      </c>
      <c r="I22" s="15">
        <f t="shared" si="1"/>
        <v>0</v>
      </c>
      <c r="J22" s="10">
        <v>0</v>
      </c>
      <c r="K22" s="15">
        <f t="shared" si="2"/>
        <v>0</v>
      </c>
      <c r="L22" s="10">
        <v>0</v>
      </c>
      <c r="M22" s="15">
        <f t="shared" si="3"/>
        <v>0</v>
      </c>
      <c r="N22" s="10">
        <v>0</v>
      </c>
      <c r="O22" s="15">
        <f t="shared" si="4"/>
        <v>0</v>
      </c>
      <c r="P22" s="10">
        <v>0</v>
      </c>
      <c r="Q22" s="15">
        <f t="shared" si="5"/>
        <v>0</v>
      </c>
      <c r="R22" s="10">
        <v>0</v>
      </c>
      <c r="S22" s="83">
        <f t="shared" si="6"/>
        <v>0</v>
      </c>
      <c r="T22" s="10">
        <v>0</v>
      </c>
      <c r="U22" s="83">
        <f t="shared" si="7"/>
        <v>0</v>
      </c>
      <c r="V22" s="78">
        <v>0</v>
      </c>
      <c r="W22" s="83">
        <f t="shared" si="8"/>
        <v>0</v>
      </c>
      <c r="X22" s="78">
        <v>0</v>
      </c>
      <c r="Y22" s="83">
        <f t="shared" si="9"/>
        <v>0</v>
      </c>
      <c r="Z22" s="78">
        <v>0</v>
      </c>
      <c r="AA22" s="83">
        <f t="shared" si="10"/>
        <v>0</v>
      </c>
      <c r="AB22" s="78">
        <v>0</v>
      </c>
      <c r="AC22" s="83">
        <f t="shared" si="11"/>
        <v>0</v>
      </c>
      <c r="AD22" s="78">
        <v>0</v>
      </c>
      <c r="AE22" s="83">
        <f t="shared" si="12"/>
        <v>0</v>
      </c>
      <c r="AF22" s="78">
        <v>0</v>
      </c>
      <c r="AG22" s="83">
        <f t="shared" si="13"/>
        <v>0</v>
      </c>
      <c r="AH22" s="79">
        <v>0</v>
      </c>
      <c r="AI22" s="83">
        <f t="shared" si="14"/>
        <v>0</v>
      </c>
      <c r="AJ22" s="79">
        <v>0</v>
      </c>
      <c r="AK22" s="83">
        <f t="shared" si="15"/>
        <v>0</v>
      </c>
      <c r="AL22" s="79">
        <v>0</v>
      </c>
      <c r="AM22" s="83">
        <f t="shared" si="16"/>
        <v>0</v>
      </c>
      <c r="AN22" s="79">
        <v>0</v>
      </c>
      <c r="AO22" s="83">
        <f t="shared" si="17"/>
        <v>0</v>
      </c>
      <c r="AP22" s="79">
        <v>0</v>
      </c>
      <c r="AQ22" s="83">
        <f t="shared" si="18"/>
        <v>0</v>
      </c>
      <c r="AR22" s="79">
        <v>0</v>
      </c>
      <c r="AS22" s="83">
        <f t="shared" si="19"/>
        <v>0</v>
      </c>
      <c r="AT22" s="79">
        <v>0</v>
      </c>
      <c r="AU22" s="83">
        <f t="shared" si="20"/>
        <v>0</v>
      </c>
      <c r="AV22" s="79">
        <v>0</v>
      </c>
      <c r="AW22" s="83">
        <f t="shared" si="21"/>
        <v>0</v>
      </c>
      <c r="AX22" s="79">
        <v>0</v>
      </c>
      <c r="AY22" s="83">
        <f t="shared" si="22"/>
        <v>0</v>
      </c>
      <c r="AZ22" s="79">
        <v>0</v>
      </c>
      <c r="BA22" s="83">
        <f t="shared" si="23"/>
        <v>0</v>
      </c>
      <c r="BB22" s="79">
        <v>0</v>
      </c>
      <c r="BC22" s="83">
        <f t="shared" si="24"/>
        <v>0</v>
      </c>
      <c r="BD22" s="79">
        <v>0</v>
      </c>
      <c r="BE22" s="83">
        <f t="shared" si="25"/>
        <v>0</v>
      </c>
      <c r="BF22" s="79">
        <v>0</v>
      </c>
      <c r="BG22" s="83">
        <f t="shared" si="27"/>
        <v>0</v>
      </c>
      <c r="BH22" s="79">
        <v>0</v>
      </c>
      <c r="BI22" s="83">
        <f t="shared" si="28"/>
        <v>0</v>
      </c>
      <c r="BJ22" s="79">
        <v>0</v>
      </c>
      <c r="BK22" s="287">
        <f t="shared" si="29"/>
        <v>0</v>
      </c>
      <c r="BL22" s="299">
        <v>0</v>
      </c>
      <c r="BM22" s="128">
        <f t="shared" si="30"/>
        <v>0</v>
      </c>
      <c r="BN22" s="128">
        <v>0</v>
      </c>
      <c r="BO22" s="305">
        <f t="shared" si="42"/>
        <v>0</v>
      </c>
      <c r="BP22" s="128"/>
      <c r="BQ22" s="128">
        <f t="shared" si="43"/>
        <v>0</v>
      </c>
      <c r="BR22" s="128"/>
      <c r="BS22" s="128">
        <f t="shared" si="44"/>
        <v>0</v>
      </c>
      <c r="BT22" s="128">
        <v>0</v>
      </c>
      <c r="BU22" s="128">
        <f t="shared" si="31"/>
        <v>0</v>
      </c>
      <c r="BV22" s="128"/>
      <c r="BW22" s="128">
        <f t="shared" si="32"/>
        <v>0</v>
      </c>
      <c r="BX22" s="128"/>
      <c r="BY22" s="128">
        <f t="shared" si="33"/>
        <v>0</v>
      </c>
      <c r="BZ22" s="128"/>
      <c r="CA22" s="128">
        <f t="shared" si="34"/>
        <v>0</v>
      </c>
      <c r="CB22" s="128">
        <v>0</v>
      </c>
      <c r="CC22" s="128">
        <f t="shared" si="35"/>
        <v>0</v>
      </c>
      <c r="CD22" s="128"/>
      <c r="CE22" s="128">
        <f t="shared" si="36"/>
        <v>0</v>
      </c>
      <c r="CF22" s="128"/>
      <c r="CG22" s="128">
        <f t="shared" si="37"/>
        <v>0</v>
      </c>
      <c r="CH22" s="128"/>
      <c r="CI22" s="128">
        <f t="shared" si="38"/>
        <v>0</v>
      </c>
      <c r="CJ22" s="128"/>
      <c r="CK22" s="128">
        <f t="shared" si="39"/>
        <v>0</v>
      </c>
      <c r="CL22" s="128">
        <v>0</v>
      </c>
      <c r="CM22" s="128">
        <f t="shared" si="40"/>
        <v>0</v>
      </c>
      <c r="CN22" s="128">
        <v>0</v>
      </c>
      <c r="CO22" s="128">
        <f t="shared" si="41"/>
        <v>0</v>
      </c>
      <c r="CP22" s="128"/>
      <c r="CQ22" s="128"/>
      <c r="CR22" s="128"/>
      <c r="CS22" s="128"/>
      <c r="CT22" s="128"/>
      <c r="CU22" s="128"/>
      <c r="CV22" s="128"/>
      <c r="CW22" s="128"/>
      <c r="CX22" s="128"/>
    </row>
    <row r="23" spans="1:102" ht="12.75" x14ac:dyDescent="0.2">
      <c r="A23" s="5" t="s">
        <v>258</v>
      </c>
      <c r="B23" s="15">
        <v>55000</v>
      </c>
      <c r="C23" s="15">
        <v>2291</v>
      </c>
      <c r="D23" s="15">
        <v>5000</v>
      </c>
      <c r="E23" s="15">
        <f t="shared" si="26"/>
        <v>2709</v>
      </c>
      <c r="F23" s="10">
        <v>0</v>
      </c>
      <c r="G23" s="15">
        <f t="shared" si="0"/>
        <v>0</v>
      </c>
      <c r="H23" s="10">
        <v>0</v>
      </c>
      <c r="I23" s="15">
        <f t="shared" si="1"/>
        <v>0</v>
      </c>
      <c r="J23" s="10">
        <v>0</v>
      </c>
      <c r="K23" s="15">
        <f t="shared" si="2"/>
        <v>0</v>
      </c>
      <c r="L23" s="10">
        <v>0</v>
      </c>
      <c r="M23" s="15">
        <f t="shared" si="3"/>
        <v>0</v>
      </c>
      <c r="N23" s="10">
        <v>0</v>
      </c>
      <c r="O23" s="15">
        <f t="shared" si="4"/>
        <v>0</v>
      </c>
      <c r="P23" s="10">
        <v>0</v>
      </c>
      <c r="Q23" s="15">
        <f t="shared" si="5"/>
        <v>0</v>
      </c>
      <c r="R23" s="10">
        <v>0</v>
      </c>
      <c r="S23" s="83">
        <f t="shared" si="6"/>
        <v>0</v>
      </c>
      <c r="T23" s="10">
        <v>0</v>
      </c>
      <c r="U23" s="83">
        <f t="shared" si="7"/>
        <v>0</v>
      </c>
      <c r="V23" s="78">
        <v>0</v>
      </c>
      <c r="W23" s="83">
        <f t="shared" si="8"/>
        <v>0</v>
      </c>
      <c r="X23" s="78">
        <v>0</v>
      </c>
      <c r="Y23" s="83">
        <f t="shared" si="9"/>
        <v>0</v>
      </c>
      <c r="Z23" s="78">
        <v>0</v>
      </c>
      <c r="AA23" s="83">
        <f t="shared" si="10"/>
        <v>0</v>
      </c>
      <c r="AB23" s="78">
        <v>0</v>
      </c>
      <c r="AC23" s="83">
        <f t="shared" si="11"/>
        <v>0</v>
      </c>
      <c r="AD23" s="78">
        <v>0</v>
      </c>
      <c r="AE23" s="83">
        <f t="shared" si="12"/>
        <v>0</v>
      </c>
      <c r="AF23" s="79">
        <v>7</v>
      </c>
      <c r="AG23" s="83">
        <f t="shared" si="13"/>
        <v>18963</v>
      </c>
      <c r="AH23" s="79">
        <v>0</v>
      </c>
      <c r="AI23" s="83">
        <f t="shared" si="14"/>
        <v>0</v>
      </c>
      <c r="AJ23" s="79">
        <v>0</v>
      </c>
      <c r="AK23" s="83">
        <f t="shared" si="15"/>
        <v>0</v>
      </c>
      <c r="AL23" s="79">
        <v>0</v>
      </c>
      <c r="AM23" s="83">
        <f t="shared" si="16"/>
        <v>0</v>
      </c>
      <c r="AN23" s="79">
        <v>0</v>
      </c>
      <c r="AO23" s="83">
        <f t="shared" si="17"/>
        <v>0</v>
      </c>
      <c r="AP23" s="79">
        <v>0</v>
      </c>
      <c r="AQ23" s="83">
        <f t="shared" si="18"/>
        <v>0</v>
      </c>
      <c r="AR23" s="79">
        <v>0</v>
      </c>
      <c r="AS23" s="83">
        <f t="shared" si="19"/>
        <v>0</v>
      </c>
      <c r="AT23" s="79">
        <v>0</v>
      </c>
      <c r="AU23" s="83">
        <f t="shared" si="20"/>
        <v>0</v>
      </c>
      <c r="AV23" s="79">
        <v>0</v>
      </c>
      <c r="AW23" s="83">
        <f t="shared" si="21"/>
        <v>0</v>
      </c>
      <c r="AX23" s="79">
        <v>0</v>
      </c>
      <c r="AY23" s="83">
        <f t="shared" si="22"/>
        <v>0</v>
      </c>
      <c r="AZ23" s="79">
        <v>0</v>
      </c>
      <c r="BA23" s="83">
        <f t="shared" si="23"/>
        <v>0</v>
      </c>
      <c r="BB23" s="79">
        <v>0</v>
      </c>
      <c r="BC23" s="83">
        <f t="shared" si="24"/>
        <v>0</v>
      </c>
      <c r="BD23" s="79">
        <v>0</v>
      </c>
      <c r="BE23" s="83">
        <f t="shared" si="25"/>
        <v>0</v>
      </c>
      <c r="BF23" s="79">
        <v>0</v>
      </c>
      <c r="BG23" s="83">
        <f t="shared" si="27"/>
        <v>0</v>
      </c>
      <c r="BH23" s="79">
        <v>0</v>
      </c>
      <c r="BI23" s="83">
        <f t="shared" si="28"/>
        <v>0</v>
      </c>
      <c r="BJ23" s="79">
        <v>0</v>
      </c>
      <c r="BK23" s="287">
        <f t="shared" si="29"/>
        <v>0</v>
      </c>
      <c r="BL23" s="299">
        <v>0</v>
      </c>
      <c r="BM23" s="128">
        <f t="shared" si="30"/>
        <v>0</v>
      </c>
      <c r="BN23" s="128">
        <v>0</v>
      </c>
      <c r="BO23" s="305">
        <f t="shared" si="42"/>
        <v>0</v>
      </c>
      <c r="BP23" s="128"/>
      <c r="BQ23" s="128">
        <f t="shared" si="43"/>
        <v>0</v>
      </c>
      <c r="BR23" s="128"/>
      <c r="BS23" s="128">
        <f t="shared" si="44"/>
        <v>0</v>
      </c>
      <c r="BT23" s="128">
        <v>0</v>
      </c>
      <c r="BU23" s="128">
        <f t="shared" si="31"/>
        <v>0</v>
      </c>
      <c r="BV23" s="128"/>
      <c r="BW23" s="128">
        <f t="shared" si="32"/>
        <v>0</v>
      </c>
      <c r="BX23" s="128"/>
      <c r="BY23" s="128">
        <f t="shared" si="33"/>
        <v>0</v>
      </c>
      <c r="BZ23" s="128"/>
      <c r="CA23" s="128">
        <f t="shared" si="34"/>
        <v>0</v>
      </c>
      <c r="CB23" s="128">
        <v>0</v>
      </c>
      <c r="CC23" s="128">
        <f t="shared" si="35"/>
        <v>0</v>
      </c>
      <c r="CD23" s="128"/>
      <c r="CE23" s="128">
        <f t="shared" si="36"/>
        <v>0</v>
      </c>
      <c r="CF23" s="128"/>
      <c r="CG23" s="128">
        <f t="shared" si="37"/>
        <v>0</v>
      </c>
      <c r="CH23" s="128"/>
      <c r="CI23" s="128">
        <f t="shared" si="38"/>
        <v>0</v>
      </c>
      <c r="CJ23" s="128"/>
      <c r="CK23" s="128">
        <f t="shared" si="39"/>
        <v>0</v>
      </c>
      <c r="CL23" s="128">
        <v>0</v>
      </c>
      <c r="CM23" s="128">
        <f t="shared" si="40"/>
        <v>0</v>
      </c>
      <c r="CN23" s="128">
        <v>0</v>
      </c>
      <c r="CO23" s="128">
        <f t="shared" si="41"/>
        <v>0</v>
      </c>
      <c r="CP23" s="128"/>
      <c r="CQ23" s="128"/>
      <c r="CR23" s="128"/>
      <c r="CS23" s="128"/>
      <c r="CT23" s="128"/>
      <c r="CU23" s="128"/>
      <c r="CV23" s="128"/>
      <c r="CW23" s="128"/>
      <c r="CX23" s="128"/>
    </row>
    <row r="24" spans="1:102" ht="12.75" x14ac:dyDescent="0.2">
      <c r="A24" s="5" t="s">
        <v>99</v>
      </c>
      <c r="B24" s="26">
        <v>6000</v>
      </c>
      <c r="C24" s="15">
        <v>2500</v>
      </c>
      <c r="D24" s="15">
        <v>5000</v>
      </c>
      <c r="E24" s="15">
        <f t="shared" si="26"/>
        <v>2500</v>
      </c>
      <c r="F24" s="10">
        <v>0</v>
      </c>
      <c r="G24" s="15">
        <f t="shared" si="0"/>
        <v>0</v>
      </c>
      <c r="H24" s="10">
        <v>6</v>
      </c>
      <c r="I24" s="15">
        <f t="shared" si="1"/>
        <v>15000</v>
      </c>
      <c r="J24" s="10">
        <v>0</v>
      </c>
      <c r="K24" s="15">
        <f t="shared" si="2"/>
        <v>0</v>
      </c>
      <c r="L24" s="10">
        <v>0</v>
      </c>
      <c r="M24" s="15">
        <f t="shared" si="3"/>
        <v>0</v>
      </c>
      <c r="N24" s="10">
        <v>2</v>
      </c>
      <c r="O24" s="15">
        <f t="shared" si="4"/>
        <v>5000</v>
      </c>
      <c r="P24" s="10">
        <v>0</v>
      </c>
      <c r="Q24" s="15">
        <f t="shared" si="5"/>
        <v>0</v>
      </c>
      <c r="R24" s="10">
        <v>3</v>
      </c>
      <c r="S24" s="83">
        <f t="shared" si="6"/>
        <v>7500</v>
      </c>
      <c r="T24" s="10">
        <v>1</v>
      </c>
      <c r="U24" s="83">
        <f t="shared" si="7"/>
        <v>2500</v>
      </c>
      <c r="V24" s="79">
        <v>26</v>
      </c>
      <c r="W24" s="83">
        <f t="shared" si="8"/>
        <v>65000</v>
      </c>
      <c r="X24" s="78">
        <v>0</v>
      </c>
      <c r="Y24" s="83">
        <f t="shared" si="9"/>
        <v>0</v>
      </c>
      <c r="Z24" s="79">
        <v>22</v>
      </c>
      <c r="AA24" s="83">
        <f t="shared" si="10"/>
        <v>55000</v>
      </c>
      <c r="AB24" s="79">
        <v>12</v>
      </c>
      <c r="AC24" s="83">
        <f t="shared" si="11"/>
        <v>30000</v>
      </c>
      <c r="AD24" s="78">
        <v>0</v>
      </c>
      <c r="AE24" s="83">
        <f t="shared" si="12"/>
        <v>0</v>
      </c>
      <c r="AF24" s="79">
        <v>5</v>
      </c>
      <c r="AG24" s="83">
        <f t="shared" si="13"/>
        <v>12500</v>
      </c>
      <c r="AH24" s="79">
        <v>0</v>
      </c>
      <c r="AI24" s="83">
        <f t="shared" si="14"/>
        <v>0</v>
      </c>
      <c r="AJ24" s="81">
        <v>0</v>
      </c>
      <c r="AK24" s="83">
        <f t="shared" si="15"/>
        <v>0</v>
      </c>
      <c r="AL24" s="81">
        <v>14</v>
      </c>
      <c r="AM24" s="83">
        <f t="shared" si="16"/>
        <v>35000</v>
      </c>
      <c r="AN24" s="79">
        <v>0</v>
      </c>
      <c r="AO24" s="83">
        <f t="shared" si="17"/>
        <v>0</v>
      </c>
      <c r="AP24" s="79">
        <v>4</v>
      </c>
      <c r="AQ24" s="83">
        <f t="shared" si="18"/>
        <v>10000</v>
      </c>
      <c r="AR24" s="79">
        <v>7</v>
      </c>
      <c r="AS24" s="83">
        <f t="shared" si="19"/>
        <v>17500</v>
      </c>
      <c r="AT24" s="79">
        <v>1</v>
      </c>
      <c r="AU24" s="83">
        <f t="shared" si="20"/>
        <v>2500</v>
      </c>
      <c r="AV24" s="79">
        <v>41</v>
      </c>
      <c r="AW24" s="83">
        <f t="shared" si="21"/>
        <v>102500</v>
      </c>
      <c r="AX24" s="79">
        <v>1</v>
      </c>
      <c r="AY24" s="83">
        <f t="shared" si="22"/>
        <v>2500</v>
      </c>
      <c r="AZ24" s="79">
        <v>0</v>
      </c>
      <c r="BA24" s="83">
        <f t="shared" si="23"/>
        <v>0</v>
      </c>
      <c r="BB24" s="79">
        <v>38</v>
      </c>
      <c r="BC24" s="83">
        <f t="shared" si="24"/>
        <v>95000</v>
      </c>
      <c r="BD24" s="79">
        <v>3</v>
      </c>
      <c r="BE24" s="83">
        <f t="shared" si="25"/>
        <v>7500</v>
      </c>
      <c r="BF24" s="79">
        <v>0</v>
      </c>
      <c r="BG24" s="83">
        <f t="shared" si="27"/>
        <v>0</v>
      </c>
      <c r="BH24" s="79">
        <v>38</v>
      </c>
      <c r="BI24" s="83">
        <f t="shared" si="28"/>
        <v>95000</v>
      </c>
      <c r="BJ24" s="79">
        <v>8</v>
      </c>
      <c r="BK24" s="287">
        <f>BJ24*E24</f>
        <v>20000</v>
      </c>
      <c r="BL24" s="142">
        <v>5</v>
      </c>
      <c r="BM24" s="128">
        <f>E24*BL24</f>
        <v>12500</v>
      </c>
      <c r="BN24" s="128">
        <v>0</v>
      </c>
      <c r="BO24" s="305">
        <f t="shared" si="42"/>
        <v>0</v>
      </c>
      <c r="BP24" s="142">
        <v>33</v>
      </c>
      <c r="BQ24" s="128">
        <f t="shared" si="43"/>
        <v>82500</v>
      </c>
      <c r="BR24" s="142">
        <v>13</v>
      </c>
      <c r="BS24" s="128">
        <f t="shared" si="44"/>
        <v>32500</v>
      </c>
      <c r="BT24" s="128">
        <v>0</v>
      </c>
      <c r="BU24" s="128">
        <f t="shared" si="31"/>
        <v>0</v>
      </c>
      <c r="BV24" s="142">
        <v>13</v>
      </c>
      <c r="BW24" s="128">
        <f t="shared" si="32"/>
        <v>32500</v>
      </c>
      <c r="BX24" s="142"/>
      <c r="BY24" s="128">
        <f t="shared" si="33"/>
        <v>0</v>
      </c>
      <c r="BZ24" s="142">
        <v>13</v>
      </c>
      <c r="CA24" s="128">
        <f t="shared" si="34"/>
        <v>32500</v>
      </c>
      <c r="CB24" s="128">
        <v>0</v>
      </c>
      <c r="CC24" s="128">
        <f t="shared" si="35"/>
        <v>0</v>
      </c>
      <c r="CD24" s="142">
        <v>4</v>
      </c>
      <c r="CE24" s="128">
        <f t="shared" si="36"/>
        <v>10000</v>
      </c>
      <c r="CF24" s="142">
        <v>3</v>
      </c>
      <c r="CG24" s="128">
        <f t="shared" si="37"/>
        <v>7500</v>
      </c>
      <c r="CH24" s="142">
        <v>4</v>
      </c>
      <c r="CI24" s="128">
        <f t="shared" si="38"/>
        <v>10000</v>
      </c>
      <c r="CJ24" s="142">
        <v>11</v>
      </c>
      <c r="CK24" s="128">
        <f t="shared" si="39"/>
        <v>27500</v>
      </c>
      <c r="CL24" s="142">
        <v>1</v>
      </c>
      <c r="CM24" s="128">
        <f t="shared" si="40"/>
        <v>2500</v>
      </c>
      <c r="CN24" s="128">
        <v>0</v>
      </c>
      <c r="CO24" s="128">
        <f t="shared" si="41"/>
        <v>0</v>
      </c>
      <c r="CP24" s="128"/>
      <c r="CQ24" s="128"/>
      <c r="CR24" s="128"/>
      <c r="CS24" s="128"/>
      <c r="CT24" s="128"/>
      <c r="CU24" s="128"/>
      <c r="CV24" s="128"/>
      <c r="CW24" s="128"/>
      <c r="CX24" s="128"/>
    </row>
    <row r="25" spans="1:102" ht="12.75" x14ac:dyDescent="0.2">
      <c r="A25" s="5" t="s">
        <v>100</v>
      </c>
      <c r="B25" s="26">
        <v>64000</v>
      </c>
      <c r="C25" s="26">
        <v>2133</v>
      </c>
      <c r="D25" s="15">
        <v>3400</v>
      </c>
      <c r="E25" s="15">
        <f t="shared" si="26"/>
        <v>1267</v>
      </c>
      <c r="F25" s="10">
        <v>30</v>
      </c>
      <c r="G25" s="15">
        <f t="shared" si="0"/>
        <v>38010</v>
      </c>
      <c r="H25" s="10">
        <v>10</v>
      </c>
      <c r="I25" s="15">
        <f t="shared" si="1"/>
        <v>12670</v>
      </c>
      <c r="J25" s="10">
        <v>2</v>
      </c>
      <c r="K25" s="15">
        <f t="shared" si="2"/>
        <v>2534</v>
      </c>
      <c r="L25" s="10">
        <v>9</v>
      </c>
      <c r="M25" s="15">
        <f t="shared" si="3"/>
        <v>11403</v>
      </c>
      <c r="N25" s="10">
        <v>40</v>
      </c>
      <c r="O25" s="15">
        <f t="shared" si="4"/>
        <v>50680</v>
      </c>
      <c r="P25" s="10">
        <v>17</v>
      </c>
      <c r="Q25" s="15">
        <f t="shared" si="5"/>
        <v>21539</v>
      </c>
      <c r="R25" s="10">
        <v>28</v>
      </c>
      <c r="S25" s="83">
        <f t="shared" si="6"/>
        <v>35476</v>
      </c>
      <c r="T25" s="10">
        <v>19</v>
      </c>
      <c r="U25" s="83">
        <f t="shared" si="7"/>
        <v>24073</v>
      </c>
      <c r="V25" s="79">
        <v>48</v>
      </c>
      <c r="W25" s="83">
        <f t="shared" si="8"/>
        <v>60816</v>
      </c>
      <c r="X25" s="79">
        <v>35</v>
      </c>
      <c r="Y25" s="83">
        <f t="shared" si="9"/>
        <v>44345</v>
      </c>
      <c r="Z25" s="79">
        <v>21</v>
      </c>
      <c r="AA25" s="83">
        <f t="shared" si="10"/>
        <v>26607</v>
      </c>
      <c r="AB25" s="79">
        <v>2</v>
      </c>
      <c r="AC25" s="83">
        <f t="shared" si="11"/>
        <v>2534</v>
      </c>
      <c r="AD25" s="79">
        <v>5</v>
      </c>
      <c r="AE25" s="83">
        <f t="shared" si="12"/>
        <v>6335</v>
      </c>
      <c r="AF25" s="79">
        <v>32</v>
      </c>
      <c r="AG25" s="83">
        <f t="shared" si="13"/>
        <v>40544</v>
      </c>
      <c r="AH25" s="80">
        <v>38</v>
      </c>
      <c r="AI25" s="83">
        <f t="shared" si="14"/>
        <v>48146</v>
      </c>
      <c r="AJ25" s="81">
        <v>45</v>
      </c>
      <c r="AK25" s="83">
        <f t="shared" si="15"/>
        <v>57015</v>
      </c>
      <c r="AL25" s="81">
        <v>15</v>
      </c>
      <c r="AM25" s="83">
        <f t="shared" si="16"/>
        <v>19005</v>
      </c>
      <c r="AN25" s="79">
        <v>6</v>
      </c>
      <c r="AO25" s="83">
        <f t="shared" si="17"/>
        <v>7602</v>
      </c>
      <c r="AP25" s="79">
        <v>13</v>
      </c>
      <c r="AQ25" s="83">
        <f t="shared" si="18"/>
        <v>16471</v>
      </c>
      <c r="AR25" s="79">
        <v>73</v>
      </c>
      <c r="AS25" s="83">
        <f t="shared" si="19"/>
        <v>92491</v>
      </c>
      <c r="AT25" s="79">
        <v>16</v>
      </c>
      <c r="AU25" s="83">
        <f t="shared" si="20"/>
        <v>20272</v>
      </c>
      <c r="AV25" s="79">
        <v>53</v>
      </c>
      <c r="AW25" s="83">
        <f t="shared" si="21"/>
        <v>67151</v>
      </c>
      <c r="AX25" s="79">
        <v>98</v>
      </c>
      <c r="AY25" s="83">
        <f t="shared" si="22"/>
        <v>124166</v>
      </c>
      <c r="AZ25" s="79">
        <v>16</v>
      </c>
      <c r="BA25" s="83">
        <f t="shared" si="23"/>
        <v>20272</v>
      </c>
      <c r="BB25" s="79">
        <v>44</v>
      </c>
      <c r="BC25" s="83">
        <f t="shared" si="24"/>
        <v>55748</v>
      </c>
      <c r="BD25" s="79">
        <v>12</v>
      </c>
      <c r="BE25" s="83">
        <f t="shared" si="25"/>
        <v>15204</v>
      </c>
      <c r="BF25" s="79">
        <v>27</v>
      </c>
      <c r="BG25" s="83">
        <f t="shared" si="27"/>
        <v>34209</v>
      </c>
      <c r="BH25" s="79">
        <v>7</v>
      </c>
      <c r="BI25" s="83">
        <f t="shared" si="28"/>
        <v>8869</v>
      </c>
      <c r="BJ25" s="79">
        <v>66</v>
      </c>
      <c r="BK25" s="287">
        <f t="shared" si="29"/>
        <v>83622</v>
      </c>
      <c r="BL25" s="130">
        <v>27</v>
      </c>
      <c r="BM25" s="128">
        <f>E25*BL25</f>
        <v>34209</v>
      </c>
      <c r="BN25" s="142">
        <v>25</v>
      </c>
      <c r="BO25" s="305">
        <f t="shared" si="42"/>
        <v>31675</v>
      </c>
      <c r="BP25" s="130">
        <v>48</v>
      </c>
      <c r="BQ25" s="128">
        <f t="shared" si="43"/>
        <v>60816</v>
      </c>
      <c r="BR25" s="130">
        <v>8</v>
      </c>
      <c r="BS25" s="128">
        <f t="shared" si="44"/>
        <v>10136</v>
      </c>
      <c r="BT25" s="130">
        <v>49</v>
      </c>
      <c r="BU25" s="128">
        <f t="shared" si="31"/>
        <v>62083</v>
      </c>
      <c r="BV25" s="130">
        <v>68</v>
      </c>
      <c r="BW25" s="128">
        <f t="shared" si="32"/>
        <v>86156</v>
      </c>
      <c r="BX25" s="130">
        <v>35</v>
      </c>
      <c r="BY25" s="128">
        <f t="shared" si="33"/>
        <v>44345</v>
      </c>
      <c r="BZ25" s="130">
        <v>47</v>
      </c>
      <c r="CA25" s="128">
        <f t="shared" si="34"/>
        <v>59549</v>
      </c>
      <c r="CB25" s="130">
        <v>59</v>
      </c>
      <c r="CC25" s="128">
        <f t="shared" si="35"/>
        <v>74753</v>
      </c>
      <c r="CD25" s="130">
        <v>71</v>
      </c>
      <c r="CE25" s="128">
        <f t="shared" si="36"/>
        <v>89957</v>
      </c>
      <c r="CF25" s="130">
        <v>70</v>
      </c>
      <c r="CG25" s="128">
        <f t="shared" si="37"/>
        <v>88690</v>
      </c>
      <c r="CH25" s="130">
        <v>9</v>
      </c>
      <c r="CI25" s="128">
        <f t="shared" si="38"/>
        <v>11403</v>
      </c>
      <c r="CJ25" s="130">
        <v>50</v>
      </c>
      <c r="CK25" s="128">
        <f t="shared" si="39"/>
        <v>63350</v>
      </c>
      <c r="CL25" s="130">
        <v>26</v>
      </c>
      <c r="CM25" s="128">
        <f t="shared" si="40"/>
        <v>32942</v>
      </c>
      <c r="CN25" s="130">
        <v>2</v>
      </c>
      <c r="CO25" s="128">
        <f t="shared" si="41"/>
        <v>2534</v>
      </c>
      <c r="CP25" s="128"/>
      <c r="CQ25" s="128"/>
      <c r="CR25" s="128"/>
      <c r="CS25" s="128"/>
      <c r="CT25" s="128"/>
      <c r="CU25" s="128"/>
      <c r="CV25" s="128"/>
      <c r="CW25" s="128"/>
      <c r="CX25" s="128"/>
    </row>
    <row r="26" spans="1:102" ht="12.75" x14ac:dyDescent="0.2">
      <c r="A26" s="5" t="s">
        <v>101</v>
      </c>
      <c r="B26" s="15">
        <v>63500</v>
      </c>
      <c r="C26" s="15">
        <v>2116</v>
      </c>
      <c r="D26" s="15">
        <v>3400</v>
      </c>
      <c r="E26" s="15">
        <f t="shared" si="26"/>
        <v>1284</v>
      </c>
      <c r="F26" s="10">
        <v>33</v>
      </c>
      <c r="G26" s="15">
        <f t="shared" si="0"/>
        <v>42372</v>
      </c>
      <c r="H26" s="10">
        <v>23</v>
      </c>
      <c r="I26" s="15">
        <f t="shared" si="1"/>
        <v>29532</v>
      </c>
      <c r="J26" s="10">
        <v>0</v>
      </c>
      <c r="K26" s="15">
        <f t="shared" si="2"/>
        <v>0</v>
      </c>
      <c r="L26" s="10">
        <v>2</v>
      </c>
      <c r="M26" s="15">
        <f t="shared" si="3"/>
        <v>2568</v>
      </c>
      <c r="N26" s="10">
        <v>13</v>
      </c>
      <c r="O26" s="15">
        <f t="shared" si="4"/>
        <v>16692</v>
      </c>
      <c r="P26" s="10">
        <v>23</v>
      </c>
      <c r="Q26" s="15">
        <f t="shared" si="5"/>
        <v>29532</v>
      </c>
      <c r="R26" s="10">
        <v>35</v>
      </c>
      <c r="S26" s="83">
        <f t="shared" si="6"/>
        <v>44940</v>
      </c>
      <c r="T26" s="10">
        <v>13</v>
      </c>
      <c r="U26" s="83">
        <f t="shared" si="7"/>
        <v>16692</v>
      </c>
      <c r="V26" s="79">
        <v>18</v>
      </c>
      <c r="W26" s="83">
        <f t="shared" si="8"/>
        <v>23112</v>
      </c>
      <c r="X26" s="79">
        <v>15</v>
      </c>
      <c r="Y26" s="83">
        <f t="shared" si="9"/>
        <v>19260</v>
      </c>
      <c r="Z26" s="79">
        <v>15</v>
      </c>
      <c r="AA26" s="83">
        <f t="shared" si="10"/>
        <v>19260</v>
      </c>
      <c r="AB26" s="79">
        <v>17</v>
      </c>
      <c r="AC26" s="83">
        <f t="shared" si="11"/>
        <v>21828</v>
      </c>
      <c r="AD26" s="78">
        <v>0</v>
      </c>
      <c r="AE26" s="83">
        <f t="shared" si="12"/>
        <v>0</v>
      </c>
      <c r="AF26" s="79">
        <v>31</v>
      </c>
      <c r="AG26" s="83">
        <f t="shared" si="13"/>
        <v>39804</v>
      </c>
      <c r="AH26" s="80">
        <v>20</v>
      </c>
      <c r="AI26" s="83">
        <f t="shared" si="14"/>
        <v>25680</v>
      </c>
      <c r="AJ26" s="81">
        <v>15</v>
      </c>
      <c r="AK26" s="83">
        <f t="shared" si="15"/>
        <v>19260</v>
      </c>
      <c r="AL26" s="81">
        <v>0</v>
      </c>
      <c r="AM26" s="83">
        <f t="shared" si="16"/>
        <v>0</v>
      </c>
      <c r="AN26" s="79">
        <v>8</v>
      </c>
      <c r="AO26" s="83">
        <f t="shared" si="17"/>
        <v>10272</v>
      </c>
      <c r="AP26" s="79">
        <v>2</v>
      </c>
      <c r="AQ26" s="83">
        <f t="shared" si="18"/>
        <v>2568</v>
      </c>
      <c r="AR26" s="79">
        <v>130</v>
      </c>
      <c r="AS26" s="83">
        <f t="shared" si="19"/>
        <v>166920</v>
      </c>
      <c r="AT26" s="79">
        <v>17</v>
      </c>
      <c r="AU26" s="83">
        <f t="shared" si="20"/>
        <v>21828</v>
      </c>
      <c r="AV26" s="79">
        <v>15</v>
      </c>
      <c r="AW26" s="83">
        <f t="shared" si="21"/>
        <v>19260</v>
      </c>
      <c r="AX26" s="79">
        <v>38</v>
      </c>
      <c r="AY26" s="83">
        <f t="shared" si="22"/>
        <v>48792</v>
      </c>
      <c r="AZ26" s="79">
        <v>81</v>
      </c>
      <c r="BA26" s="83">
        <f t="shared" si="23"/>
        <v>104004</v>
      </c>
      <c r="BB26" s="79">
        <v>61</v>
      </c>
      <c r="BC26" s="83">
        <f t="shared" si="24"/>
        <v>78324</v>
      </c>
      <c r="BD26" s="79">
        <v>0</v>
      </c>
      <c r="BE26" s="83">
        <f t="shared" si="25"/>
        <v>0</v>
      </c>
      <c r="BF26" s="79">
        <v>35</v>
      </c>
      <c r="BG26" s="83">
        <f t="shared" si="27"/>
        <v>44940</v>
      </c>
      <c r="BH26" s="79">
        <v>2</v>
      </c>
      <c r="BI26" s="83">
        <f t="shared" si="28"/>
        <v>2568</v>
      </c>
      <c r="BJ26" s="79">
        <v>71</v>
      </c>
      <c r="BK26" s="287">
        <f t="shared" si="29"/>
        <v>91164</v>
      </c>
      <c r="BL26" s="245">
        <v>24</v>
      </c>
      <c r="BM26" s="128">
        <f t="shared" ref="BM26:BM61" si="45">E26*BL26</f>
        <v>30816</v>
      </c>
      <c r="BN26" s="245">
        <v>24</v>
      </c>
      <c r="BO26" s="305">
        <f t="shared" si="42"/>
        <v>30816</v>
      </c>
      <c r="BP26" s="245">
        <v>25</v>
      </c>
      <c r="BQ26" s="128">
        <f t="shared" si="43"/>
        <v>32100</v>
      </c>
      <c r="BR26" s="245">
        <v>31</v>
      </c>
      <c r="BS26" s="128">
        <f t="shared" si="44"/>
        <v>39804</v>
      </c>
      <c r="BT26" s="245">
        <v>12</v>
      </c>
      <c r="BU26" s="128">
        <f t="shared" si="31"/>
        <v>15408</v>
      </c>
      <c r="BV26" s="245">
        <v>44</v>
      </c>
      <c r="BW26" s="128">
        <f t="shared" si="32"/>
        <v>56496</v>
      </c>
      <c r="BX26" s="245">
        <v>6</v>
      </c>
      <c r="BY26" s="128">
        <f t="shared" si="33"/>
        <v>7704</v>
      </c>
      <c r="BZ26" s="245">
        <v>44</v>
      </c>
      <c r="CA26" s="128">
        <f t="shared" si="34"/>
        <v>56496</v>
      </c>
      <c r="CB26" s="245">
        <v>31</v>
      </c>
      <c r="CC26" s="128">
        <f t="shared" si="35"/>
        <v>39804</v>
      </c>
      <c r="CD26" s="245">
        <v>42</v>
      </c>
      <c r="CE26" s="128">
        <f t="shared" si="36"/>
        <v>53928</v>
      </c>
      <c r="CF26" s="245">
        <v>38</v>
      </c>
      <c r="CG26" s="128">
        <f t="shared" si="37"/>
        <v>48792</v>
      </c>
      <c r="CH26" s="245">
        <v>2</v>
      </c>
      <c r="CI26" s="128">
        <f t="shared" si="38"/>
        <v>2568</v>
      </c>
      <c r="CJ26" s="245">
        <v>6</v>
      </c>
      <c r="CK26" s="128">
        <f t="shared" si="39"/>
        <v>7704</v>
      </c>
      <c r="CL26" s="245">
        <v>11</v>
      </c>
      <c r="CM26" s="128">
        <f t="shared" si="40"/>
        <v>14124</v>
      </c>
      <c r="CN26" s="245">
        <v>5</v>
      </c>
      <c r="CO26" s="128">
        <f t="shared" si="41"/>
        <v>6420</v>
      </c>
      <c r="CP26" s="128"/>
      <c r="CQ26" s="128"/>
      <c r="CR26" s="128"/>
      <c r="CS26" s="128"/>
      <c r="CT26" s="128"/>
      <c r="CU26" s="128"/>
      <c r="CV26" s="128"/>
      <c r="CW26" s="128"/>
      <c r="CX26" s="128"/>
    </row>
    <row r="27" spans="1:102" ht="12.75" x14ac:dyDescent="0.2">
      <c r="A27" s="5" t="s">
        <v>102</v>
      </c>
      <c r="B27" s="15">
        <v>63500</v>
      </c>
      <c r="C27" s="15">
        <v>2116</v>
      </c>
      <c r="D27" s="15">
        <v>3400</v>
      </c>
      <c r="E27" s="15">
        <f t="shared" si="26"/>
        <v>1284</v>
      </c>
      <c r="F27" s="10">
        <v>7</v>
      </c>
      <c r="G27" s="15">
        <f t="shared" si="0"/>
        <v>8988</v>
      </c>
      <c r="H27" s="10">
        <v>0</v>
      </c>
      <c r="I27" s="15">
        <f t="shared" si="1"/>
        <v>0</v>
      </c>
      <c r="J27" s="10">
        <v>2</v>
      </c>
      <c r="K27" s="15">
        <f t="shared" si="2"/>
        <v>2568</v>
      </c>
      <c r="L27" s="10">
        <v>0</v>
      </c>
      <c r="M27" s="15">
        <f t="shared" si="3"/>
        <v>0</v>
      </c>
      <c r="N27" s="10">
        <v>6</v>
      </c>
      <c r="O27" s="15">
        <f t="shared" si="4"/>
        <v>7704</v>
      </c>
      <c r="P27" s="10">
        <v>10</v>
      </c>
      <c r="Q27" s="15">
        <f t="shared" si="5"/>
        <v>12840</v>
      </c>
      <c r="R27" s="10">
        <v>5</v>
      </c>
      <c r="S27" s="83">
        <f t="shared" si="6"/>
        <v>6420</v>
      </c>
      <c r="T27" s="10">
        <v>8</v>
      </c>
      <c r="U27" s="83">
        <f t="shared" si="7"/>
        <v>10272</v>
      </c>
      <c r="V27" s="78">
        <v>0</v>
      </c>
      <c r="W27" s="83">
        <f t="shared" si="8"/>
        <v>0</v>
      </c>
      <c r="X27" s="78">
        <v>0</v>
      </c>
      <c r="Y27" s="83">
        <f t="shared" si="9"/>
        <v>0</v>
      </c>
      <c r="Z27" s="78">
        <v>0</v>
      </c>
      <c r="AA27" s="83">
        <f t="shared" si="10"/>
        <v>0</v>
      </c>
      <c r="AB27" s="78">
        <v>0</v>
      </c>
      <c r="AC27" s="83">
        <f t="shared" si="11"/>
        <v>0</v>
      </c>
      <c r="AD27" s="78">
        <v>0</v>
      </c>
      <c r="AE27" s="83">
        <f t="shared" si="12"/>
        <v>0</v>
      </c>
      <c r="AF27" s="79">
        <v>7</v>
      </c>
      <c r="AG27" s="83">
        <f t="shared" si="13"/>
        <v>8988</v>
      </c>
      <c r="AH27" s="80">
        <v>5</v>
      </c>
      <c r="AI27" s="83">
        <f t="shared" si="14"/>
        <v>6420</v>
      </c>
      <c r="AJ27" s="81">
        <v>19</v>
      </c>
      <c r="AK27" s="83">
        <f t="shared" si="15"/>
        <v>24396</v>
      </c>
      <c r="AL27" s="81">
        <v>0</v>
      </c>
      <c r="AM27" s="83">
        <f t="shared" si="16"/>
        <v>0</v>
      </c>
      <c r="AN27" s="79">
        <v>0</v>
      </c>
      <c r="AO27" s="83">
        <f t="shared" si="17"/>
        <v>0</v>
      </c>
      <c r="AP27" s="79">
        <v>0</v>
      </c>
      <c r="AQ27" s="83">
        <f t="shared" si="18"/>
        <v>0</v>
      </c>
      <c r="AR27" s="79">
        <v>12</v>
      </c>
      <c r="AS27" s="83">
        <f t="shared" si="19"/>
        <v>15408</v>
      </c>
      <c r="AT27" s="79">
        <v>14</v>
      </c>
      <c r="AU27" s="83">
        <f t="shared" si="20"/>
        <v>17976</v>
      </c>
      <c r="AV27" s="79">
        <v>0</v>
      </c>
      <c r="AW27" s="83">
        <f t="shared" si="21"/>
        <v>0</v>
      </c>
      <c r="AX27" s="79">
        <v>12</v>
      </c>
      <c r="AY27" s="83">
        <f t="shared" si="22"/>
        <v>15408</v>
      </c>
      <c r="AZ27" s="79">
        <v>0</v>
      </c>
      <c r="BA27" s="83">
        <f t="shared" si="23"/>
        <v>0</v>
      </c>
      <c r="BB27" s="79">
        <v>8</v>
      </c>
      <c r="BC27" s="83">
        <f t="shared" si="24"/>
        <v>10272</v>
      </c>
      <c r="BD27" s="79">
        <v>0</v>
      </c>
      <c r="BE27" s="83">
        <f t="shared" si="25"/>
        <v>0</v>
      </c>
      <c r="BF27" s="79">
        <v>6</v>
      </c>
      <c r="BG27" s="83">
        <f t="shared" si="27"/>
        <v>7704</v>
      </c>
      <c r="BH27" s="79">
        <v>18</v>
      </c>
      <c r="BI27" s="83">
        <f t="shared" si="28"/>
        <v>23112</v>
      </c>
      <c r="BJ27" s="79">
        <v>35</v>
      </c>
      <c r="BK27" s="287">
        <f t="shared" si="29"/>
        <v>44940</v>
      </c>
      <c r="BL27" s="132">
        <v>0</v>
      </c>
      <c r="BM27" s="128">
        <f t="shared" si="45"/>
        <v>0</v>
      </c>
      <c r="BN27" s="132">
        <v>0</v>
      </c>
      <c r="BO27" s="305">
        <f t="shared" si="42"/>
        <v>0</v>
      </c>
      <c r="BP27" s="132">
        <v>12</v>
      </c>
      <c r="BQ27" s="128">
        <f t="shared" si="43"/>
        <v>15408</v>
      </c>
      <c r="BR27" s="132">
        <v>0</v>
      </c>
      <c r="BS27" s="128">
        <f t="shared" si="44"/>
        <v>0</v>
      </c>
      <c r="BT27" s="132">
        <v>0</v>
      </c>
      <c r="BU27" s="128">
        <f t="shared" si="31"/>
        <v>0</v>
      </c>
      <c r="BV27" s="132">
        <v>2</v>
      </c>
      <c r="BW27" s="128">
        <f t="shared" si="32"/>
        <v>2568</v>
      </c>
      <c r="BX27" s="132">
        <v>4</v>
      </c>
      <c r="BY27" s="128">
        <f t="shared" si="33"/>
        <v>5136</v>
      </c>
      <c r="BZ27" s="132">
        <v>0</v>
      </c>
      <c r="CA27" s="128">
        <f t="shared" si="34"/>
        <v>0</v>
      </c>
      <c r="CB27" s="132">
        <v>7</v>
      </c>
      <c r="CC27" s="128">
        <f t="shared" si="35"/>
        <v>8988</v>
      </c>
      <c r="CD27" s="132">
        <v>11</v>
      </c>
      <c r="CE27" s="128">
        <f t="shared" si="36"/>
        <v>14124</v>
      </c>
      <c r="CF27" s="132">
        <v>14</v>
      </c>
      <c r="CG27" s="128">
        <f t="shared" si="37"/>
        <v>17976</v>
      </c>
      <c r="CH27" s="132">
        <v>2</v>
      </c>
      <c r="CI27" s="128">
        <f t="shared" si="38"/>
        <v>2568</v>
      </c>
      <c r="CJ27" s="132">
        <v>7</v>
      </c>
      <c r="CK27" s="128">
        <f t="shared" si="39"/>
        <v>8988</v>
      </c>
      <c r="CL27" s="132">
        <v>0</v>
      </c>
      <c r="CM27" s="128">
        <f t="shared" si="40"/>
        <v>0</v>
      </c>
      <c r="CN27" s="132">
        <v>0</v>
      </c>
      <c r="CO27" s="128">
        <f t="shared" si="41"/>
        <v>0</v>
      </c>
      <c r="CP27" s="128"/>
      <c r="CQ27" s="128"/>
      <c r="CR27" s="128"/>
      <c r="CS27" s="128"/>
      <c r="CT27" s="128"/>
      <c r="CU27" s="128"/>
      <c r="CV27" s="128"/>
      <c r="CW27" s="128"/>
      <c r="CX27" s="128"/>
    </row>
    <row r="28" spans="1:102" ht="12.75" x14ac:dyDescent="0.2">
      <c r="A28" s="5" t="s">
        <v>103</v>
      </c>
      <c r="B28" s="26">
        <v>52500</v>
      </c>
      <c r="C28" s="15">
        <v>1733</v>
      </c>
      <c r="D28" s="15">
        <v>3400</v>
      </c>
      <c r="E28" s="15">
        <f t="shared" si="26"/>
        <v>1667</v>
      </c>
      <c r="F28" s="10">
        <v>10</v>
      </c>
      <c r="G28" s="15">
        <f t="shared" si="0"/>
        <v>16670</v>
      </c>
      <c r="H28" s="10">
        <v>16</v>
      </c>
      <c r="I28" s="15">
        <f t="shared" si="1"/>
        <v>26672</v>
      </c>
      <c r="J28" s="10">
        <v>0</v>
      </c>
      <c r="K28" s="15">
        <f t="shared" si="2"/>
        <v>0</v>
      </c>
      <c r="L28" s="10">
        <v>7</v>
      </c>
      <c r="M28" s="15">
        <f t="shared" si="3"/>
        <v>11669</v>
      </c>
      <c r="N28" s="10">
        <v>4</v>
      </c>
      <c r="O28" s="15">
        <f t="shared" si="4"/>
        <v>6668</v>
      </c>
      <c r="P28" s="10">
        <v>6</v>
      </c>
      <c r="Q28" s="15">
        <f t="shared" si="5"/>
        <v>10002</v>
      </c>
      <c r="R28" s="10">
        <v>0</v>
      </c>
      <c r="S28" s="83">
        <f t="shared" si="6"/>
        <v>0</v>
      </c>
      <c r="T28" s="10">
        <v>10</v>
      </c>
      <c r="U28" s="83">
        <f t="shared" si="7"/>
        <v>16670</v>
      </c>
      <c r="V28" s="79">
        <v>9</v>
      </c>
      <c r="W28" s="83">
        <f t="shared" si="8"/>
        <v>15003</v>
      </c>
      <c r="X28" s="79">
        <v>16</v>
      </c>
      <c r="Y28" s="83">
        <f t="shared" si="9"/>
        <v>26672</v>
      </c>
      <c r="Z28" s="79">
        <v>3</v>
      </c>
      <c r="AA28" s="83">
        <f t="shared" si="10"/>
        <v>5001</v>
      </c>
      <c r="AB28" s="79">
        <v>9</v>
      </c>
      <c r="AC28" s="83">
        <f t="shared" si="11"/>
        <v>15003</v>
      </c>
      <c r="AD28" s="78">
        <v>0</v>
      </c>
      <c r="AE28" s="83">
        <f t="shared" si="12"/>
        <v>0</v>
      </c>
      <c r="AF28" s="78">
        <v>0</v>
      </c>
      <c r="AG28" s="83">
        <f t="shared" si="13"/>
        <v>0</v>
      </c>
      <c r="AH28" s="80">
        <v>10</v>
      </c>
      <c r="AI28" s="83">
        <f t="shared" si="14"/>
        <v>16670</v>
      </c>
      <c r="AJ28" s="79">
        <v>10</v>
      </c>
      <c r="AK28" s="83">
        <f t="shared" si="15"/>
        <v>16670</v>
      </c>
      <c r="AL28" s="79">
        <v>24</v>
      </c>
      <c r="AM28" s="83">
        <f t="shared" si="16"/>
        <v>40008</v>
      </c>
      <c r="AN28" s="79">
        <v>0</v>
      </c>
      <c r="AO28" s="83">
        <f t="shared" si="17"/>
        <v>0</v>
      </c>
      <c r="AP28" s="79">
        <v>14</v>
      </c>
      <c r="AQ28" s="83">
        <f t="shared" si="18"/>
        <v>23338</v>
      </c>
      <c r="AR28" s="79">
        <v>2</v>
      </c>
      <c r="AS28" s="83">
        <f t="shared" si="19"/>
        <v>3334</v>
      </c>
      <c r="AT28" s="79">
        <v>0</v>
      </c>
      <c r="AU28" s="83">
        <f t="shared" si="20"/>
        <v>0</v>
      </c>
      <c r="AV28" s="79">
        <v>4</v>
      </c>
      <c r="AW28" s="83">
        <f t="shared" si="21"/>
        <v>6668</v>
      </c>
      <c r="AX28" s="79">
        <v>8</v>
      </c>
      <c r="AY28" s="83">
        <f t="shared" si="22"/>
        <v>13336</v>
      </c>
      <c r="AZ28" s="79">
        <v>24</v>
      </c>
      <c r="BA28" s="83">
        <f t="shared" si="23"/>
        <v>40008</v>
      </c>
      <c r="BB28" s="79">
        <v>13</v>
      </c>
      <c r="BC28" s="83">
        <f t="shared" si="24"/>
        <v>21671</v>
      </c>
      <c r="BD28" s="79">
        <v>3</v>
      </c>
      <c r="BE28" s="83">
        <f t="shared" si="25"/>
        <v>5001</v>
      </c>
      <c r="BF28" s="79">
        <v>0</v>
      </c>
      <c r="BG28" s="83">
        <f t="shared" si="27"/>
        <v>0</v>
      </c>
      <c r="BH28" s="79">
        <v>21</v>
      </c>
      <c r="BI28" s="83">
        <f t="shared" si="28"/>
        <v>35007</v>
      </c>
      <c r="BJ28" s="79">
        <v>20</v>
      </c>
      <c r="BK28" s="287">
        <f t="shared" si="29"/>
        <v>33340</v>
      </c>
      <c r="BL28" s="144">
        <v>7</v>
      </c>
      <c r="BM28" s="128">
        <f t="shared" si="45"/>
        <v>11669</v>
      </c>
      <c r="BN28" s="144">
        <v>0</v>
      </c>
      <c r="BO28" s="305">
        <f t="shared" si="42"/>
        <v>0</v>
      </c>
      <c r="BP28" s="144">
        <v>11</v>
      </c>
      <c r="BQ28" s="128">
        <f t="shared" si="43"/>
        <v>18337</v>
      </c>
      <c r="BR28" s="144">
        <v>39</v>
      </c>
      <c r="BS28" s="128">
        <f t="shared" si="44"/>
        <v>65013</v>
      </c>
      <c r="BT28" s="144">
        <v>0</v>
      </c>
      <c r="BU28" s="128">
        <f t="shared" si="31"/>
        <v>0</v>
      </c>
      <c r="BV28" s="144">
        <v>18</v>
      </c>
      <c r="BW28" s="128">
        <f t="shared" si="32"/>
        <v>30006</v>
      </c>
      <c r="BX28" s="128"/>
      <c r="BY28" s="128">
        <f t="shared" si="33"/>
        <v>0</v>
      </c>
      <c r="BZ28" s="144">
        <v>8</v>
      </c>
      <c r="CA28" s="128">
        <f t="shared" si="34"/>
        <v>13336</v>
      </c>
      <c r="CB28" s="144">
        <v>25</v>
      </c>
      <c r="CC28" s="128">
        <f t="shared" si="35"/>
        <v>41675</v>
      </c>
      <c r="CD28" s="144">
        <v>30</v>
      </c>
      <c r="CE28" s="128">
        <f t="shared" si="36"/>
        <v>50010</v>
      </c>
      <c r="CF28" s="144">
        <v>0</v>
      </c>
      <c r="CG28" s="128">
        <f t="shared" si="37"/>
        <v>0</v>
      </c>
      <c r="CH28" s="144">
        <v>5</v>
      </c>
      <c r="CI28" s="128">
        <f t="shared" si="38"/>
        <v>8335</v>
      </c>
      <c r="CJ28" s="144">
        <v>4</v>
      </c>
      <c r="CK28" s="128">
        <f t="shared" si="39"/>
        <v>6668</v>
      </c>
      <c r="CL28" s="144">
        <v>13</v>
      </c>
      <c r="CM28" s="128">
        <f t="shared" si="40"/>
        <v>21671</v>
      </c>
      <c r="CN28" s="144">
        <v>1</v>
      </c>
      <c r="CO28" s="128">
        <f t="shared" si="41"/>
        <v>1667</v>
      </c>
      <c r="CP28" s="128"/>
      <c r="CQ28" s="128"/>
      <c r="CR28" s="128"/>
      <c r="CS28" s="128"/>
      <c r="CT28" s="128"/>
      <c r="CU28" s="128"/>
      <c r="CV28" s="128"/>
      <c r="CW28" s="128"/>
      <c r="CX28" s="128"/>
    </row>
    <row r="29" spans="1:102" ht="12.75" x14ac:dyDescent="0.2">
      <c r="A29" s="5" t="s">
        <v>104</v>
      </c>
      <c r="B29" s="26">
        <v>79000</v>
      </c>
      <c r="C29" s="26">
        <v>2633</v>
      </c>
      <c r="D29" s="15">
        <v>4000</v>
      </c>
      <c r="E29" s="15">
        <f t="shared" si="26"/>
        <v>1367</v>
      </c>
      <c r="F29" s="10">
        <v>2</v>
      </c>
      <c r="G29" s="15">
        <f t="shared" si="0"/>
        <v>2734</v>
      </c>
      <c r="H29" s="10">
        <v>0</v>
      </c>
      <c r="I29" s="15">
        <f t="shared" si="1"/>
        <v>0</v>
      </c>
      <c r="J29" s="10">
        <v>0</v>
      </c>
      <c r="K29" s="15">
        <f t="shared" si="2"/>
        <v>0</v>
      </c>
      <c r="L29" s="10">
        <v>0</v>
      </c>
      <c r="M29" s="15">
        <f t="shared" si="3"/>
        <v>0</v>
      </c>
      <c r="N29" s="10">
        <v>0</v>
      </c>
      <c r="O29" s="15">
        <f t="shared" si="4"/>
        <v>0</v>
      </c>
      <c r="P29" s="10">
        <v>0</v>
      </c>
      <c r="Q29" s="15">
        <f t="shared" si="5"/>
        <v>0</v>
      </c>
      <c r="R29" s="10">
        <v>0</v>
      </c>
      <c r="S29" s="83">
        <f t="shared" si="6"/>
        <v>0</v>
      </c>
      <c r="T29" s="10">
        <v>0</v>
      </c>
      <c r="U29" s="83">
        <f t="shared" si="7"/>
        <v>0</v>
      </c>
      <c r="V29" s="78">
        <v>0</v>
      </c>
      <c r="W29" s="83">
        <f t="shared" si="8"/>
        <v>0</v>
      </c>
      <c r="X29" s="78">
        <v>0</v>
      </c>
      <c r="Y29" s="83">
        <f t="shared" si="9"/>
        <v>0</v>
      </c>
      <c r="Z29" s="78">
        <v>0</v>
      </c>
      <c r="AA29" s="83">
        <f t="shared" si="10"/>
        <v>0</v>
      </c>
      <c r="AB29" s="78">
        <v>0</v>
      </c>
      <c r="AC29" s="83">
        <f t="shared" si="11"/>
        <v>0</v>
      </c>
      <c r="AD29" s="79">
        <v>9</v>
      </c>
      <c r="AE29" s="83">
        <f t="shared" si="12"/>
        <v>12303</v>
      </c>
      <c r="AF29" s="78">
        <v>0</v>
      </c>
      <c r="AG29" s="83">
        <f t="shared" si="13"/>
        <v>0</v>
      </c>
      <c r="AH29" s="80">
        <v>10</v>
      </c>
      <c r="AI29" s="83">
        <f t="shared" si="14"/>
        <v>13670</v>
      </c>
      <c r="AJ29" s="79">
        <v>0</v>
      </c>
      <c r="AK29" s="83">
        <f t="shared" si="15"/>
        <v>0</v>
      </c>
      <c r="AL29" s="79">
        <v>0</v>
      </c>
      <c r="AM29" s="83">
        <f t="shared" si="16"/>
        <v>0</v>
      </c>
      <c r="AN29" s="79">
        <v>0</v>
      </c>
      <c r="AO29" s="83">
        <f t="shared" si="17"/>
        <v>0</v>
      </c>
      <c r="AP29" s="79">
        <v>0</v>
      </c>
      <c r="AQ29" s="83">
        <f t="shared" si="18"/>
        <v>0</v>
      </c>
      <c r="AR29" s="79">
        <v>0</v>
      </c>
      <c r="AS29" s="83">
        <f t="shared" si="19"/>
        <v>0</v>
      </c>
      <c r="AT29" s="79">
        <v>0</v>
      </c>
      <c r="AU29" s="83">
        <f t="shared" si="20"/>
        <v>0</v>
      </c>
      <c r="AV29" s="79">
        <v>4</v>
      </c>
      <c r="AW29" s="83">
        <f t="shared" si="21"/>
        <v>5468</v>
      </c>
      <c r="AX29" s="79">
        <v>5</v>
      </c>
      <c r="AY29" s="83">
        <f t="shared" si="22"/>
        <v>6835</v>
      </c>
      <c r="AZ29" s="79">
        <v>0</v>
      </c>
      <c r="BA29" s="83">
        <f t="shared" si="23"/>
        <v>0</v>
      </c>
      <c r="BB29" s="79">
        <v>0</v>
      </c>
      <c r="BC29" s="83">
        <f t="shared" si="24"/>
        <v>0</v>
      </c>
      <c r="BD29" s="79">
        <v>0</v>
      </c>
      <c r="BE29" s="83">
        <f t="shared" si="25"/>
        <v>0</v>
      </c>
      <c r="BF29" s="79">
        <v>0</v>
      </c>
      <c r="BG29" s="83">
        <f t="shared" si="27"/>
        <v>0</v>
      </c>
      <c r="BH29" s="79">
        <v>5</v>
      </c>
      <c r="BI29" s="83">
        <f t="shared" si="28"/>
        <v>6835</v>
      </c>
      <c r="BJ29" s="79">
        <v>0</v>
      </c>
      <c r="BK29" s="287">
        <f t="shared" si="29"/>
        <v>0</v>
      </c>
      <c r="BL29" s="248">
        <v>2</v>
      </c>
      <c r="BM29" s="128">
        <f t="shared" si="45"/>
        <v>2734</v>
      </c>
      <c r="BN29" s="128"/>
      <c r="BO29" s="305">
        <f t="shared" si="42"/>
        <v>0</v>
      </c>
      <c r="BP29" s="248">
        <v>17</v>
      </c>
      <c r="BQ29" s="128">
        <f t="shared" si="43"/>
        <v>23239</v>
      </c>
      <c r="BR29" s="248">
        <v>0</v>
      </c>
      <c r="BS29" s="128">
        <f t="shared" si="44"/>
        <v>0</v>
      </c>
      <c r="BT29" s="248">
        <v>0</v>
      </c>
      <c r="BU29" s="128">
        <f t="shared" si="31"/>
        <v>0</v>
      </c>
      <c r="BV29" s="128"/>
      <c r="BW29" s="128">
        <f t="shared" si="32"/>
        <v>0</v>
      </c>
      <c r="BX29" s="128"/>
      <c r="BY29" s="128">
        <f t="shared" si="33"/>
        <v>0</v>
      </c>
      <c r="BZ29" s="248">
        <v>7</v>
      </c>
      <c r="CA29" s="128">
        <f t="shared" si="34"/>
        <v>9569</v>
      </c>
      <c r="CB29" s="248">
        <v>0</v>
      </c>
      <c r="CC29" s="128">
        <f t="shared" si="35"/>
        <v>0</v>
      </c>
      <c r="CD29" s="248"/>
      <c r="CE29" s="128">
        <f t="shared" si="36"/>
        <v>0</v>
      </c>
      <c r="CF29" s="248">
        <v>0</v>
      </c>
      <c r="CG29" s="128">
        <f t="shared" si="37"/>
        <v>0</v>
      </c>
      <c r="CH29" s="128"/>
      <c r="CI29" s="128">
        <f t="shared" si="38"/>
        <v>0</v>
      </c>
      <c r="CJ29" s="128"/>
      <c r="CK29" s="128">
        <f t="shared" si="39"/>
        <v>0</v>
      </c>
      <c r="CL29" s="128">
        <v>0</v>
      </c>
      <c r="CM29" s="128">
        <f t="shared" si="40"/>
        <v>0</v>
      </c>
      <c r="CN29" s="248">
        <v>0</v>
      </c>
      <c r="CO29" s="128">
        <f t="shared" si="41"/>
        <v>0</v>
      </c>
      <c r="CP29" s="128"/>
      <c r="CQ29" s="128"/>
      <c r="CR29" s="128"/>
      <c r="CS29" s="128"/>
      <c r="CT29" s="128"/>
      <c r="CU29" s="128"/>
      <c r="CV29" s="128"/>
      <c r="CW29" s="128"/>
      <c r="CX29" s="128"/>
    </row>
    <row r="30" spans="1:102" ht="12.75" x14ac:dyDescent="0.2">
      <c r="A30" s="16" t="s">
        <v>739</v>
      </c>
      <c r="B30" s="26">
        <v>16300</v>
      </c>
      <c r="C30" s="26">
        <v>16300</v>
      </c>
      <c r="D30" s="26">
        <v>25000</v>
      </c>
      <c r="E30" s="26">
        <f t="shared" si="26"/>
        <v>8700</v>
      </c>
      <c r="F30" s="10"/>
      <c r="G30" s="26"/>
      <c r="H30" s="10"/>
      <c r="I30" s="26"/>
      <c r="J30" s="10"/>
      <c r="K30" s="26"/>
      <c r="L30" s="10"/>
      <c r="M30" s="26"/>
      <c r="N30" s="10"/>
      <c r="O30" s="26"/>
      <c r="P30" s="10"/>
      <c r="Q30" s="26"/>
      <c r="R30" s="10"/>
      <c r="S30" s="83"/>
      <c r="T30" s="10"/>
      <c r="U30" s="83"/>
      <c r="V30" s="79"/>
      <c r="W30" s="83"/>
      <c r="X30" s="79"/>
      <c r="Y30" s="83"/>
      <c r="Z30" s="79"/>
      <c r="AA30" s="83"/>
      <c r="AB30" s="79"/>
      <c r="AC30" s="83"/>
      <c r="AD30" s="79"/>
      <c r="AE30" s="83"/>
      <c r="AF30" s="79"/>
      <c r="AG30" s="83"/>
      <c r="AH30" s="80"/>
      <c r="AI30" s="83"/>
      <c r="AJ30" s="79"/>
      <c r="AK30" s="83"/>
      <c r="AL30" s="79"/>
      <c r="AM30" s="83"/>
      <c r="AN30" s="79"/>
      <c r="AO30" s="83"/>
      <c r="AP30" s="79"/>
      <c r="AQ30" s="83"/>
      <c r="AR30" s="79"/>
      <c r="AS30" s="83"/>
      <c r="AT30" s="79"/>
      <c r="AU30" s="83"/>
      <c r="AV30" s="79"/>
      <c r="AW30" s="83"/>
      <c r="AX30" s="79"/>
      <c r="AY30" s="83"/>
      <c r="AZ30" s="79"/>
      <c r="BA30" s="83"/>
      <c r="BB30" s="79"/>
      <c r="BC30" s="83"/>
      <c r="BD30" s="79"/>
      <c r="BE30" s="83"/>
      <c r="BF30" s="79"/>
      <c r="BG30" s="83"/>
      <c r="BH30" s="79"/>
      <c r="BI30" s="83"/>
      <c r="BJ30" s="79"/>
      <c r="BK30" s="287"/>
      <c r="BL30" s="248"/>
      <c r="BM30" s="128"/>
      <c r="BN30" s="128"/>
      <c r="BO30" s="305">
        <f t="shared" si="42"/>
        <v>0</v>
      </c>
      <c r="BP30" s="248"/>
      <c r="BQ30" s="128"/>
      <c r="BR30" s="248"/>
      <c r="BS30" s="128"/>
      <c r="BT30" s="248"/>
      <c r="BU30" s="128"/>
      <c r="BV30" s="128"/>
      <c r="BW30" s="128">
        <f t="shared" si="32"/>
        <v>0</v>
      </c>
      <c r="BX30" s="128"/>
      <c r="BY30" s="128">
        <f t="shared" si="33"/>
        <v>0</v>
      </c>
      <c r="BZ30" s="248"/>
      <c r="CA30" s="128"/>
      <c r="CB30" s="248"/>
      <c r="CC30" s="128"/>
      <c r="CD30" s="248">
        <v>1</v>
      </c>
      <c r="CE30" s="128">
        <f t="shared" si="36"/>
        <v>8700</v>
      </c>
      <c r="CF30" s="128"/>
      <c r="CG30" s="128">
        <f t="shared" si="37"/>
        <v>0</v>
      </c>
      <c r="CH30" s="128"/>
      <c r="CI30" s="128">
        <f t="shared" si="38"/>
        <v>0</v>
      </c>
      <c r="CJ30" s="128"/>
      <c r="CK30" s="128">
        <f t="shared" si="39"/>
        <v>0</v>
      </c>
      <c r="CL30" s="128">
        <v>0</v>
      </c>
      <c r="CM30" s="128">
        <f t="shared" si="40"/>
        <v>0</v>
      </c>
      <c r="CN30" s="128">
        <v>0</v>
      </c>
      <c r="CO30" s="128">
        <f t="shared" si="41"/>
        <v>0</v>
      </c>
      <c r="CP30" s="128"/>
      <c r="CQ30" s="128"/>
      <c r="CR30" s="128"/>
      <c r="CS30" s="128"/>
      <c r="CT30" s="128"/>
      <c r="CU30" s="128"/>
      <c r="CV30" s="128"/>
      <c r="CW30" s="128"/>
      <c r="CX30" s="128"/>
    </row>
    <row r="31" spans="1:102" ht="12.75" x14ac:dyDescent="0.2">
      <c r="A31" s="5" t="s">
        <v>105</v>
      </c>
      <c r="B31" s="26">
        <v>21550</v>
      </c>
      <c r="C31" s="26">
        <v>21550</v>
      </c>
      <c r="D31" s="15">
        <v>40000</v>
      </c>
      <c r="E31" s="15">
        <f t="shared" si="26"/>
        <v>18450</v>
      </c>
      <c r="F31" s="10">
        <v>0</v>
      </c>
      <c r="G31" s="15">
        <f t="shared" si="0"/>
        <v>0</v>
      </c>
      <c r="H31" s="10">
        <v>0</v>
      </c>
      <c r="I31" s="15">
        <f t="shared" si="1"/>
        <v>0</v>
      </c>
      <c r="J31" s="10">
        <v>0</v>
      </c>
      <c r="K31" s="15">
        <f t="shared" si="2"/>
        <v>0</v>
      </c>
      <c r="L31" s="10">
        <v>0</v>
      </c>
      <c r="M31" s="15">
        <f t="shared" si="3"/>
        <v>0</v>
      </c>
      <c r="N31" s="10">
        <v>0</v>
      </c>
      <c r="O31" s="15">
        <f t="shared" si="4"/>
        <v>0</v>
      </c>
      <c r="P31" s="10">
        <v>1</v>
      </c>
      <c r="Q31" s="15">
        <f t="shared" si="5"/>
        <v>18450</v>
      </c>
      <c r="R31" s="10">
        <v>0</v>
      </c>
      <c r="S31" s="83">
        <f t="shared" si="6"/>
        <v>0</v>
      </c>
      <c r="T31" s="10">
        <v>0</v>
      </c>
      <c r="U31" s="83">
        <f t="shared" si="7"/>
        <v>0</v>
      </c>
      <c r="V31" s="78">
        <v>0</v>
      </c>
      <c r="W31" s="83">
        <f t="shared" si="8"/>
        <v>0</v>
      </c>
      <c r="X31" s="78">
        <v>0</v>
      </c>
      <c r="Y31" s="83">
        <f t="shared" si="9"/>
        <v>0</v>
      </c>
      <c r="Z31" s="78">
        <v>0</v>
      </c>
      <c r="AA31" s="83">
        <f t="shared" si="10"/>
        <v>0</v>
      </c>
      <c r="AB31" s="78">
        <v>0</v>
      </c>
      <c r="AC31" s="83">
        <f t="shared" si="11"/>
        <v>0</v>
      </c>
      <c r="AD31" s="78">
        <v>0</v>
      </c>
      <c r="AE31" s="83">
        <f t="shared" si="12"/>
        <v>0</v>
      </c>
      <c r="AF31" s="78">
        <v>0</v>
      </c>
      <c r="AG31" s="83">
        <f t="shared" si="13"/>
        <v>0</v>
      </c>
      <c r="AH31" s="80">
        <v>4</v>
      </c>
      <c r="AI31" s="83">
        <f t="shared" si="14"/>
        <v>73800</v>
      </c>
      <c r="AJ31" s="79">
        <v>0</v>
      </c>
      <c r="AK31" s="83">
        <f t="shared" si="15"/>
        <v>0</v>
      </c>
      <c r="AL31" s="79">
        <v>5</v>
      </c>
      <c r="AM31" s="83">
        <f t="shared" si="16"/>
        <v>92250</v>
      </c>
      <c r="AN31" s="79">
        <v>0</v>
      </c>
      <c r="AO31" s="83">
        <f t="shared" si="17"/>
        <v>0</v>
      </c>
      <c r="AP31" s="79">
        <v>1</v>
      </c>
      <c r="AQ31" s="83">
        <f t="shared" si="18"/>
        <v>18450</v>
      </c>
      <c r="AR31" s="79">
        <v>0</v>
      </c>
      <c r="AS31" s="83">
        <f t="shared" si="19"/>
        <v>0</v>
      </c>
      <c r="AT31" s="79">
        <v>0</v>
      </c>
      <c r="AU31" s="83">
        <f t="shared" si="20"/>
        <v>0</v>
      </c>
      <c r="AV31" s="79">
        <v>0</v>
      </c>
      <c r="AW31" s="83">
        <f t="shared" si="21"/>
        <v>0</v>
      </c>
      <c r="AX31" s="79">
        <v>0</v>
      </c>
      <c r="AY31" s="83">
        <f t="shared" si="22"/>
        <v>0</v>
      </c>
      <c r="AZ31" s="79">
        <v>0</v>
      </c>
      <c r="BA31" s="83">
        <f t="shared" si="23"/>
        <v>0</v>
      </c>
      <c r="BB31" s="79">
        <v>1</v>
      </c>
      <c r="BC31" s="83">
        <f t="shared" si="24"/>
        <v>18450</v>
      </c>
      <c r="BD31" s="79">
        <v>0</v>
      </c>
      <c r="BE31" s="83">
        <f t="shared" si="25"/>
        <v>0</v>
      </c>
      <c r="BF31" s="79">
        <v>0</v>
      </c>
      <c r="BG31" s="83">
        <f t="shared" si="27"/>
        <v>0</v>
      </c>
      <c r="BH31" s="79">
        <v>0</v>
      </c>
      <c r="BI31" s="83">
        <f t="shared" si="28"/>
        <v>0</v>
      </c>
      <c r="BJ31" s="79">
        <v>0</v>
      </c>
      <c r="BK31" s="287">
        <f t="shared" si="29"/>
        <v>0</v>
      </c>
      <c r="BL31" s="299">
        <v>0</v>
      </c>
      <c r="BM31" s="128">
        <f t="shared" si="45"/>
        <v>0</v>
      </c>
      <c r="BN31" s="128"/>
      <c r="BO31" s="305">
        <f t="shared" si="42"/>
        <v>0</v>
      </c>
      <c r="BP31" s="128">
        <v>1</v>
      </c>
      <c r="BQ31" s="128">
        <f t="shared" si="43"/>
        <v>18450</v>
      </c>
      <c r="BR31" s="128">
        <v>1</v>
      </c>
      <c r="BS31" s="128">
        <f t="shared" si="44"/>
        <v>18450</v>
      </c>
      <c r="BT31" s="128"/>
      <c r="BU31" s="128">
        <f t="shared" si="31"/>
        <v>0</v>
      </c>
      <c r="BV31" s="128"/>
      <c r="BW31" s="128">
        <f t="shared" si="32"/>
        <v>0</v>
      </c>
      <c r="BX31" s="128"/>
      <c r="BY31" s="128">
        <f t="shared" si="33"/>
        <v>0</v>
      </c>
      <c r="BZ31" s="128"/>
      <c r="CA31" s="128">
        <f t="shared" si="34"/>
        <v>0</v>
      </c>
      <c r="CB31" s="128"/>
      <c r="CC31" s="128">
        <f t="shared" si="35"/>
        <v>0</v>
      </c>
      <c r="CD31" s="128"/>
      <c r="CE31" s="128">
        <f t="shared" si="36"/>
        <v>0</v>
      </c>
      <c r="CF31" s="128"/>
      <c r="CG31" s="128">
        <f t="shared" si="37"/>
        <v>0</v>
      </c>
      <c r="CH31" s="128"/>
      <c r="CI31" s="128">
        <f t="shared" si="38"/>
        <v>0</v>
      </c>
      <c r="CJ31" s="128"/>
      <c r="CK31" s="128">
        <f t="shared" si="39"/>
        <v>0</v>
      </c>
      <c r="CL31" s="128">
        <v>0</v>
      </c>
      <c r="CM31" s="128">
        <f t="shared" si="40"/>
        <v>0</v>
      </c>
      <c r="CN31" s="128">
        <v>0</v>
      </c>
      <c r="CO31" s="128">
        <f t="shared" si="41"/>
        <v>0</v>
      </c>
      <c r="CP31" s="128"/>
      <c r="CQ31" s="128"/>
      <c r="CR31" s="128"/>
      <c r="CS31" s="128"/>
      <c r="CT31" s="128"/>
      <c r="CU31" s="128"/>
      <c r="CV31" s="128"/>
      <c r="CW31" s="128"/>
      <c r="CX31" s="128"/>
    </row>
    <row r="32" spans="1:102" ht="12.75" x14ac:dyDescent="0.2">
      <c r="A32" s="5" t="s">
        <v>106</v>
      </c>
      <c r="B32" s="15">
        <v>38400</v>
      </c>
      <c r="C32" s="15">
        <v>38400</v>
      </c>
      <c r="D32" s="15">
        <v>80000</v>
      </c>
      <c r="E32" s="15">
        <f t="shared" si="26"/>
        <v>41600</v>
      </c>
      <c r="F32" s="10">
        <v>0</v>
      </c>
      <c r="G32" s="15">
        <f t="shared" si="0"/>
        <v>0</v>
      </c>
      <c r="H32" s="10">
        <v>0</v>
      </c>
      <c r="I32" s="15">
        <f t="shared" si="1"/>
        <v>0</v>
      </c>
      <c r="J32" s="10">
        <v>0</v>
      </c>
      <c r="K32" s="15">
        <f t="shared" si="2"/>
        <v>0</v>
      </c>
      <c r="L32" s="10">
        <v>0</v>
      </c>
      <c r="M32" s="15">
        <f t="shared" si="3"/>
        <v>0</v>
      </c>
      <c r="N32" s="10">
        <v>0</v>
      </c>
      <c r="O32" s="15">
        <f t="shared" si="4"/>
        <v>0</v>
      </c>
      <c r="P32" s="10">
        <v>0</v>
      </c>
      <c r="Q32" s="15">
        <f t="shared" si="5"/>
        <v>0</v>
      </c>
      <c r="R32" s="10">
        <v>0</v>
      </c>
      <c r="S32" s="83">
        <f t="shared" si="6"/>
        <v>0</v>
      </c>
      <c r="T32" s="10">
        <v>0</v>
      </c>
      <c r="U32" s="83">
        <f t="shared" si="7"/>
        <v>0</v>
      </c>
      <c r="V32" s="78">
        <v>0</v>
      </c>
      <c r="W32" s="83">
        <f t="shared" si="8"/>
        <v>0</v>
      </c>
      <c r="X32" s="78">
        <v>0</v>
      </c>
      <c r="Y32" s="83">
        <f t="shared" si="9"/>
        <v>0</v>
      </c>
      <c r="Z32" s="78">
        <v>0</v>
      </c>
      <c r="AA32" s="83">
        <f t="shared" si="10"/>
        <v>0</v>
      </c>
      <c r="AB32" s="78">
        <v>0</v>
      </c>
      <c r="AC32" s="83">
        <f t="shared" si="11"/>
        <v>0</v>
      </c>
      <c r="AD32" s="78">
        <v>0</v>
      </c>
      <c r="AE32" s="83">
        <f t="shared" si="12"/>
        <v>0</v>
      </c>
      <c r="AF32" s="78">
        <v>0</v>
      </c>
      <c r="AG32" s="83">
        <f t="shared" si="13"/>
        <v>0</v>
      </c>
      <c r="AH32" s="79">
        <v>0</v>
      </c>
      <c r="AI32" s="83">
        <f t="shared" si="14"/>
        <v>0</v>
      </c>
      <c r="AJ32" s="79">
        <v>0</v>
      </c>
      <c r="AK32" s="83">
        <f t="shared" si="15"/>
        <v>0</v>
      </c>
      <c r="AL32" s="79">
        <v>0</v>
      </c>
      <c r="AM32" s="83">
        <f t="shared" si="16"/>
        <v>0</v>
      </c>
      <c r="AN32" s="79">
        <v>0</v>
      </c>
      <c r="AO32" s="83">
        <f t="shared" si="17"/>
        <v>0</v>
      </c>
      <c r="AP32" s="79">
        <v>0</v>
      </c>
      <c r="AQ32" s="83">
        <f t="shared" si="18"/>
        <v>0</v>
      </c>
      <c r="AR32" s="79">
        <v>0</v>
      </c>
      <c r="AS32" s="83">
        <f t="shared" si="19"/>
        <v>0</v>
      </c>
      <c r="AT32" s="79">
        <v>0</v>
      </c>
      <c r="AU32" s="83">
        <f t="shared" si="20"/>
        <v>0</v>
      </c>
      <c r="AV32" s="79">
        <v>0</v>
      </c>
      <c r="AW32" s="83">
        <f t="shared" si="21"/>
        <v>0</v>
      </c>
      <c r="AX32" s="79">
        <v>0</v>
      </c>
      <c r="AY32" s="83">
        <f t="shared" si="22"/>
        <v>0</v>
      </c>
      <c r="AZ32" s="79">
        <v>0</v>
      </c>
      <c r="BA32" s="83">
        <f t="shared" si="23"/>
        <v>0</v>
      </c>
      <c r="BB32" s="79">
        <v>2</v>
      </c>
      <c r="BC32" s="83">
        <f t="shared" si="24"/>
        <v>83200</v>
      </c>
      <c r="BD32" s="79">
        <v>0</v>
      </c>
      <c r="BE32" s="83">
        <f t="shared" si="25"/>
        <v>0</v>
      </c>
      <c r="BF32" s="79">
        <v>0</v>
      </c>
      <c r="BG32" s="83">
        <f t="shared" si="27"/>
        <v>0</v>
      </c>
      <c r="BH32" s="79">
        <v>0</v>
      </c>
      <c r="BI32" s="83">
        <f t="shared" si="28"/>
        <v>0</v>
      </c>
      <c r="BJ32" s="79">
        <v>0</v>
      </c>
      <c r="BK32" s="287">
        <f t="shared" si="29"/>
        <v>0</v>
      </c>
      <c r="BL32" s="299">
        <v>0</v>
      </c>
      <c r="BM32" s="128">
        <f t="shared" si="45"/>
        <v>0</v>
      </c>
      <c r="BN32" s="128"/>
      <c r="BO32" s="305">
        <f t="shared" si="42"/>
        <v>0</v>
      </c>
      <c r="BP32" s="128"/>
      <c r="BQ32" s="128">
        <f t="shared" si="43"/>
        <v>0</v>
      </c>
      <c r="BR32" s="128"/>
      <c r="BS32" s="128">
        <f t="shared" si="44"/>
        <v>0</v>
      </c>
      <c r="BT32" s="128"/>
      <c r="BU32" s="128">
        <f t="shared" si="31"/>
        <v>0</v>
      </c>
      <c r="BV32" s="128"/>
      <c r="BW32" s="128">
        <f t="shared" si="32"/>
        <v>0</v>
      </c>
      <c r="BX32" s="128"/>
      <c r="BY32" s="128">
        <f t="shared" si="33"/>
        <v>0</v>
      </c>
      <c r="BZ32" s="128"/>
      <c r="CA32" s="128">
        <f t="shared" si="34"/>
        <v>0</v>
      </c>
      <c r="CB32" s="128"/>
      <c r="CC32" s="128">
        <f t="shared" si="35"/>
        <v>0</v>
      </c>
      <c r="CD32" s="128"/>
      <c r="CE32" s="128">
        <f t="shared" si="36"/>
        <v>0</v>
      </c>
      <c r="CF32" s="128"/>
      <c r="CG32" s="128">
        <f t="shared" si="37"/>
        <v>0</v>
      </c>
      <c r="CH32" s="128"/>
      <c r="CI32" s="128">
        <f t="shared" si="38"/>
        <v>0</v>
      </c>
      <c r="CJ32" s="128"/>
      <c r="CK32" s="128">
        <f t="shared" si="39"/>
        <v>0</v>
      </c>
      <c r="CL32" s="128">
        <v>0</v>
      </c>
      <c r="CM32" s="128">
        <f t="shared" si="40"/>
        <v>0</v>
      </c>
      <c r="CN32" s="128">
        <v>0</v>
      </c>
      <c r="CO32" s="128">
        <f t="shared" si="41"/>
        <v>0</v>
      </c>
      <c r="CP32" s="128"/>
      <c r="CQ32" s="128"/>
      <c r="CR32" s="128"/>
      <c r="CS32" s="128"/>
      <c r="CT32" s="128"/>
      <c r="CU32" s="128"/>
      <c r="CV32" s="128"/>
      <c r="CW32" s="128"/>
      <c r="CX32" s="128"/>
    </row>
    <row r="33" spans="1:102" ht="12.75" x14ac:dyDescent="0.2">
      <c r="A33" s="5" t="s">
        <v>107</v>
      </c>
      <c r="B33" s="26">
        <v>25000</v>
      </c>
      <c r="C33" s="26">
        <v>25000</v>
      </c>
      <c r="D33" s="15">
        <v>40000</v>
      </c>
      <c r="E33" s="15">
        <f t="shared" si="26"/>
        <v>15000</v>
      </c>
      <c r="F33" s="10">
        <v>0</v>
      </c>
      <c r="G33" s="15">
        <f t="shared" si="0"/>
        <v>0</v>
      </c>
      <c r="H33" s="10">
        <v>0</v>
      </c>
      <c r="I33" s="15">
        <f t="shared" si="1"/>
        <v>0</v>
      </c>
      <c r="J33" s="10">
        <v>0</v>
      </c>
      <c r="K33" s="15">
        <f t="shared" si="2"/>
        <v>0</v>
      </c>
      <c r="L33" s="10">
        <v>0</v>
      </c>
      <c r="M33" s="15">
        <f t="shared" si="3"/>
        <v>0</v>
      </c>
      <c r="N33" s="10">
        <v>0</v>
      </c>
      <c r="O33" s="15">
        <f t="shared" si="4"/>
        <v>0</v>
      </c>
      <c r="P33" s="10">
        <v>0</v>
      </c>
      <c r="Q33" s="15">
        <f t="shared" si="5"/>
        <v>0</v>
      </c>
      <c r="R33" s="10">
        <v>0</v>
      </c>
      <c r="S33" s="83">
        <f t="shared" si="6"/>
        <v>0</v>
      </c>
      <c r="T33" s="10">
        <v>0</v>
      </c>
      <c r="U33" s="83">
        <f t="shared" si="7"/>
        <v>0</v>
      </c>
      <c r="V33" s="78">
        <v>0</v>
      </c>
      <c r="W33" s="83">
        <f t="shared" si="8"/>
        <v>0</v>
      </c>
      <c r="X33" s="78">
        <v>0</v>
      </c>
      <c r="Y33" s="83">
        <f t="shared" si="9"/>
        <v>0</v>
      </c>
      <c r="Z33" s="78">
        <v>0</v>
      </c>
      <c r="AA33" s="83">
        <f t="shared" si="10"/>
        <v>0</v>
      </c>
      <c r="AB33" s="78">
        <v>0</v>
      </c>
      <c r="AC33" s="83">
        <f t="shared" si="11"/>
        <v>0</v>
      </c>
      <c r="AD33" s="78">
        <v>0</v>
      </c>
      <c r="AE33" s="83">
        <f t="shared" si="12"/>
        <v>0</v>
      </c>
      <c r="AF33" s="78">
        <v>0</v>
      </c>
      <c r="AG33" s="83">
        <f t="shared" si="13"/>
        <v>0</v>
      </c>
      <c r="AH33" s="79">
        <v>0</v>
      </c>
      <c r="AI33" s="83">
        <f t="shared" si="14"/>
        <v>0</v>
      </c>
      <c r="AJ33" s="79">
        <v>0</v>
      </c>
      <c r="AK33" s="83">
        <f t="shared" si="15"/>
        <v>0</v>
      </c>
      <c r="AL33" s="79">
        <v>0</v>
      </c>
      <c r="AM33" s="83">
        <f t="shared" si="16"/>
        <v>0</v>
      </c>
      <c r="AN33" s="79">
        <v>0</v>
      </c>
      <c r="AO33" s="83">
        <f t="shared" si="17"/>
        <v>0</v>
      </c>
      <c r="AP33" s="79">
        <v>0</v>
      </c>
      <c r="AQ33" s="83">
        <f t="shared" si="18"/>
        <v>0</v>
      </c>
      <c r="AR33" s="79">
        <v>0</v>
      </c>
      <c r="AS33" s="83">
        <f t="shared" si="19"/>
        <v>0</v>
      </c>
      <c r="AT33" s="79">
        <v>0</v>
      </c>
      <c r="AU33" s="83">
        <f t="shared" si="20"/>
        <v>0</v>
      </c>
      <c r="AV33" s="79">
        <v>0</v>
      </c>
      <c r="AW33" s="83">
        <f t="shared" si="21"/>
        <v>0</v>
      </c>
      <c r="AX33" s="79">
        <v>0</v>
      </c>
      <c r="AY33" s="83">
        <f t="shared" si="22"/>
        <v>0</v>
      </c>
      <c r="AZ33" s="79">
        <v>0</v>
      </c>
      <c r="BA33" s="83">
        <f t="shared" si="23"/>
        <v>0</v>
      </c>
      <c r="BB33" s="79">
        <v>0</v>
      </c>
      <c r="BC33" s="83">
        <f t="shared" si="24"/>
        <v>0</v>
      </c>
      <c r="BD33" s="79">
        <v>0</v>
      </c>
      <c r="BE33" s="83">
        <f t="shared" si="25"/>
        <v>0</v>
      </c>
      <c r="BF33" s="79">
        <v>0</v>
      </c>
      <c r="BG33" s="83">
        <f t="shared" si="27"/>
        <v>0</v>
      </c>
      <c r="BH33" s="79">
        <v>0</v>
      </c>
      <c r="BI33" s="83">
        <f t="shared" si="28"/>
        <v>0</v>
      </c>
      <c r="BJ33" s="79">
        <v>0</v>
      </c>
      <c r="BK33" s="287">
        <f t="shared" si="29"/>
        <v>0</v>
      </c>
      <c r="BL33" s="299">
        <v>0</v>
      </c>
      <c r="BM33" s="128">
        <f t="shared" si="45"/>
        <v>0</v>
      </c>
      <c r="BN33" s="128"/>
      <c r="BO33" s="305">
        <f t="shared" si="42"/>
        <v>0</v>
      </c>
      <c r="BP33" s="128"/>
      <c r="BQ33" s="128">
        <f t="shared" si="43"/>
        <v>0</v>
      </c>
      <c r="BR33" s="128"/>
      <c r="BS33" s="128">
        <f t="shared" si="44"/>
        <v>0</v>
      </c>
      <c r="BT33" s="128"/>
      <c r="BU33" s="128">
        <f t="shared" si="31"/>
        <v>0</v>
      </c>
      <c r="BV33" s="128"/>
      <c r="BW33" s="128">
        <f t="shared" si="32"/>
        <v>0</v>
      </c>
      <c r="BX33" s="128"/>
      <c r="BY33" s="128">
        <f t="shared" si="33"/>
        <v>0</v>
      </c>
      <c r="BZ33" s="128"/>
      <c r="CA33" s="128">
        <f t="shared" si="34"/>
        <v>0</v>
      </c>
      <c r="CB33" s="128">
        <v>1</v>
      </c>
      <c r="CC33" s="128">
        <f t="shared" si="35"/>
        <v>15000</v>
      </c>
      <c r="CD33" s="128"/>
      <c r="CE33" s="128">
        <f t="shared" si="36"/>
        <v>0</v>
      </c>
      <c r="CF33" s="128">
        <v>1</v>
      </c>
      <c r="CG33" s="128">
        <f t="shared" si="37"/>
        <v>15000</v>
      </c>
      <c r="CH33" s="128"/>
      <c r="CI33" s="128">
        <f t="shared" si="38"/>
        <v>0</v>
      </c>
      <c r="CJ33" s="128"/>
      <c r="CK33" s="128">
        <f t="shared" si="39"/>
        <v>0</v>
      </c>
      <c r="CL33" s="128">
        <v>0</v>
      </c>
      <c r="CM33" s="128">
        <f t="shared" si="40"/>
        <v>0</v>
      </c>
      <c r="CN33" s="128">
        <v>0</v>
      </c>
      <c r="CO33" s="128">
        <f t="shared" si="41"/>
        <v>0</v>
      </c>
      <c r="CP33" s="128"/>
      <c r="CQ33" s="128"/>
      <c r="CR33" s="128"/>
      <c r="CS33" s="128"/>
      <c r="CT33" s="128"/>
      <c r="CU33" s="128"/>
      <c r="CV33" s="128"/>
      <c r="CW33" s="128"/>
      <c r="CX33" s="128"/>
    </row>
    <row r="34" spans="1:102" ht="12.75" x14ac:dyDescent="0.2">
      <c r="A34" s="5" t="s">
        <v>108</v>
      </c>
      <c r="B34" s="15">
        <v>43150</v>
      </c>
      <c r="C34" s="15">
        <v>43150</v>
      </c>
      <c r="D34" s="15">
        <v>85000</v>
      </c>
      <c r="E34" s="15">
        <f t="shared" si="26"/>
        <v>41850</v>
      </c>
      <c r="F34" s="10">
        <v>0</v>
      </c>
      <c r="G34" s="15">
        <f t="shared" si="0"/>
        <v>0</v>
      </c>
      <c r="H34" s="10">
        <v>0</v>
      </c>
      <c r="I34" s="15">
        <f t="shared" si="1"/>
        <v>0</v>
      </c>
      <c r="J34" s="10">
        <v>0</v>
      </c>
      <c r="K34" s="15">
        <f t="shared" si="2"/>
        <v>0</v>
      </c>
      <c r="L34" s="10">
        <v>0</v>
      </c>
      <c r="M34" s="15">
        <f t="shared" si="3"/>
        <v>0</v>
      </c>
      <c r="N34" s="10">
        <v>0</v>
      </c>
      <c r="O34" s="15">
        <f t="shared" si="4"/>
        <v>0</v>
      </c>
      <c r="P34" s="10">
        <v>0</v>
      </c>
      <c r="Q34" s="15">
        <f t="shared" si="5"/>
        <v>0</v>
      </c>
      <c r="R34" s="10">
        <v>0</v>
      </c>
      <c r="S34" s="83">
        <f t="shared" si="6"/>
        <v>0</v>
      </c>
      <c r="T34" s="10">
        <v>0</v>
      </c>
      <c r="U34" s="83">
        <f t="shared" si="7"/>
        <v>0</v>
      </c>
      <c r="V34" s="78">
        <v>0</v>
      </c>
      <c r="W34" s="83">
        <f t="shared" si="8"/>
        <v>0</v>
      </c>
      <c r="X34" s="78">
        <v>0</v>
      </c>
      <c r="Y34" s="83">
        <f t="shared" si="9"/>
        <v>0</v>
      </c>
      <c r="Z34" s="78">
        <v>0</v>
      </c>
      <c r="AA34" s="83">
        <f t="shared" si="10"/>
        <v>0</v>
      </c>
      <c r="AB34" s="78">
        <v>0</v>
      </c>
      <c r="AC34" s="83">
        <f t="shared" si="11"/>
        <v>0</v>
      </c>
      <c r="AD34" s="78">
        <v>0</v>
      </c>
      <c r="AE34" s="83">
        <f t="shared" si="12"/>
        <v>0</v>
      </c>
      <c r="AF34" s="78">
        <v>0</v>
      </c>
      <c r="AG34" s="83">
        <f t="shared" si="13"/>
        <v>0</v>
      </c>
      <c r="AH34" s="79">
        <v>0</v>
      </c>
      <c r="AI34" s="83">
        <f t="shared" si="14"/>
        <v>0</v>
      </c>
      <c r="AJ34" s="79">
        <v>0</v>
      </c>
      <c r="AK34" s="83">
        <f t="shared" si="15"/>
        <v>0</v>
      </c>
      <c r="AL34" s="79">
        <v>0</v>
      </c>
      <c r="AM34" s="83">
        <f t="shared" si="16"/>
        <v>0</v>
      </c>
      <c r="AN34" s="79">
        <v>0</v>
      </c>
      <c r="AO34" s="83">
        <f t="shared" si="17"/>
        <v>0</v>
      </c>
      <c r="AP34" s="79">
        <v>0</v>
      </c>
      <c r="AQ34" s="83">
        <f t="shared" si="18"/>
        <v>0</v>
      </c>
      <c r="AR34" s="79">
        <v>0</v>
      </c>
      <c r="AS34" s="83">
        <f t="shared" si="19"/>
        <v>0</v>
      </c>
      <c r="AT34" s="79">
        <v>0</v>
      </c>
      <c r="AU34" s="83">
        <f t="shared" si="20"/>
        <v>0</v>
      </c>
      <c r="AV34" s="79">
        <v>0</v>
      </c>
      <c r="AW34" s="83">
        <f t="shared" si="21"/>
        <v>0</v>
      </c>
      <c r="AX34" s="79">
        <v>0</v>
      </c>
      <c r="AY34" s="83">
        <f t="shared" si="22"/>
        <v>0</v>
      </c>
      <c r="AZ34" s="79">
        <v>0</v>
      </c>
      <c r="BA34" s="83">
        <f t="shared" si="23"/>
        <v>0</v>
      </c>
      <c r="BB34" s="79">
        <v>0</v>
      </c>
      <c r="BC34" s="83">
        <f t="shared" si="24"/>
        <v>0</v>
      </c>
      <c r="BD34" s="79">
        <v>0</v>
      </c>
      <c r="BE34" s="83">
        <f t="shared" si="25"/>
        <v>0</v>
      </c>
      <c r="BF34" s="79">
        <v>0</v>
      </c>
      <c r="BG34" s="83">
        <f t="shared" si="27"/>
        <v>0</v>
      </c>
      <c r="BH34" s="79">
        <v>0</v>
      </c>
      <c r="BI34" s="83">
        <f t="shared" si="28"/>
        <v>0</v>
      </c>
      <c r="BJ34" s="79">
        <v>0</v>
      </c>
      <c r="BK34" s="287">
        <f t="shared" si="29"/>
        <v>0</v>
      </c>
      <c r="BL34" s="299">
        <v>0</v>
      </c>
      <c r="BM34" s="128">
        <f t="shared" si="45"/>
        <v>0</v>
      </c>
      <c r="BN34" s="128"/>
      <c r="BO34" s="305">
        <f t="shared" si="42"/>
        <v>0</v>
      </c>
      <c r="BP34" s="128"/>
      <c r="BQ34" s="128">
        <f t="shared" si="43"/>
        <v>0</v>
      </c>
      <c r="BR34" s="128"/>
      <c r="BS34" s="128">
        <f t="shared" si="44"/>
        <v>0</v>
      </c>
      <c r="BT34" s="128"/>
      <c r="BU34" s="128">
        <f t="shared" si="31"/>
        <v>0</v>
      </c>
      <c r="BV34" s="128"/>
      <c r="BW34" s="128">
        <f t="shared" si="32"/>
        <v>0</v>
      </c>
      <c r="BX34" s="128"/>
      <c r="BY34" s="128">
        <f t="shared" si="33"/>
        <v>0</v>
      </c>
      <c r="BZ34" s="128"/>
      <c r="CA34" s="128">
        <f t="shared" si="34"/>
        <v>0</v>
      </c>
      <c r="CB34" s="128"/>
      <c r="CC34" s="128">
        <f t="shared" si="35"/>
        <v>0</v>
      </c>
      <c r="CD34" s="128"/>
      <c r="CE34" s="128">
        <f t="shared" si="36"/>
        <v>0</v>
      </c>
      <c r="CF34" s="128"/>
      <c r="CG34" s="128">
        <f t="shared" si="37"/>
        <v>0</v>
      </c>
      <c r="CH34" s="128"/>
      <c r="CI34" s="128">
        <f t="shared" si="38"/>
        <v>0</v>
      </c>
      <c r="CJ34" s="128"/>
      <c r="CK34" s="128">
        <f t="shared" si="39"/>
        <v>0</v>
      </c>
      <c r="CL34" s="128">
        <v>0</v>
      </c>
      <c r="CM34" s="128">
        <f t="shared" si="40"/>
        <v>0</v>
      </c>
      <c r="CN34" s="128">
        <v>0</v>
      </c>
      <c r="CO34" s="128">
        <f t="shared" si="41"/>
        <v>0</v>
      </c>
      <c r="CP34" s="128"/>
      <c r="CQ34" s="128"/>
      <c r="CR34" s="128"/>
      <c r="CS34" s="128"/>
      <c r="CT34" s="128"/>
      <c r="CU34" s="128"/>
      <c r="CV34" s="128"/>
      <c r="CW34" s="128"/>
      <c r="CX34" s="128"/>
    </row>
    <row r="35" spans="1:102" ht="12.75" x14ac:dyDescent="0.2">
      <c r="A35" s="5" t="s">
        <v>109</v>
      </c>
      <c r="B35" s="14"/>
      <c r="C35" s="14"/>
      <c r="D35" s="15">
        <v>50000</v>
      </c>
      <c r="E35" s="15">
        <f t="shared" si="26"/>
        <v>50000</v>
      </c>
      <c r="F35" s="10">
        <v>0</v>
      </c>
      <c r="G35" s="15">
        <f t="shared" si="0"/>
        <v>0</v>
      </c>
      <c r="H35" s="10">
        <v>0</v>
      </c>
      <c r="I35" s="15">
        <f t="shared" si="1"/>
        <v>0</v>
      </c>
      <c r="J35" s="10">
        <v>0</v>
      </c>
      <c r="K35" s="15">
        <f t="shared" si="2"/>
        <v>0</v>
      </c>
      <c r="L35" s="10">
        <v>0</v>
      </c>
      <c r="M35" s="15">
        <f t="shared" si="3"/>
        <v>0</v>
      </c>
      <c r="N35" s="10">
        <v>0</v>
      </c>
      <c r="O35" s="15">
        <f t="shared" si="4"/>
        <v>0</v>
      </c>
      <c r="P35" s="10">
        <v>0</v>
      </c>
      <c r="Q35" s="15">
        <f t="shared" si="5"/>
        <v>0</v>
      </c>
      <c r="R35" s="10">
        <v>0</v>
      </c>
      <c r="S35" s="83">
        <f t="shared" si="6"/>
        <v>0</v>
      </c>
      <c r="T35" s="10">
        <v>0</v>
      </c>
      <c r="U35" s="83">
        <f t="shared" si="7"/>
        <v>0</v>
      </c>
      <c r="V35" s="78">
        <v>0</v>
      </c>
      <c r="W35" s="83">
        <f t="shared" si="8"/>
        <v>0</v>
      </c>
      <c r="X35" s="78">
        <v>0</v>
      </c>
      <c r="Y35" s="83">
        <f t="shared" si="9"/>
        <v>0</v>
      </c>
      <c r="Z35" s="78">
        <v>0</v>
      </c>
      <c r="AA35" s="83">
        <f t="shared" si="10"/>
        <v>0</v>
      </c>
      <c r="AB35" s="78">
        <v>0</v>
      </c>
      <c r="AC35" s="83">
        <f t="shared" si="11"/>
        <v>0</v>
      </c>
      <c r="AD35" s="78">
        <v>0</v>
      </c>
      <c r="AE35" s="83">
        <f t="shared" si="12"/>
        <v>0</v>
      </c>
      <c r="AF35" s="78">
        <v>0</v>
      </c>
      <c r="AG35" s="83">
        <f t="shared" si="13"/>
        <v>0</v>
      </c>
      <c r="AH35" s="79">
        <v>0</v>
      </c>
      <c r="AI35" s="83">
        <f t="shared" si="14"/>
        <v>0</v>
      </c>
      <c r="AJ35" s="79">
        <v>0</v>
      </c>
      <c r="AK35" s="83">
        <f t="shared" si="15"/>
        <v>0</v>
      </c>
      <c r="AL35" s="79">
        <v>0</v>
      </c>
      <c r="AM35" s="83">
        <f t="shared" si="16"/>
        <v>0</v>
      </c>
      <c r="AN35" s="79">
        <v>0</v>
      </c>
      <c r="AO35" s="83">
        <f t="shared" si="17"/>
        <v>0</v>
      </c>
      <c r="AP35" s="79">
        <v>0</v>
      </c>
      <c r="AQ35" s="83">
        <f t="shared" si="18"/>
        <v>0</v>
      </c>
      <c r="AR35" s="79">
        <v>0</v>
      </c>
      <c r="AS35" s="83">
        <f t="shared" si="19"/>
        <v>0</v>
      </c>
      <c r="AT35" s="79">
        <v>0</v>
      </c>
      <c r="AU35" s="83">
        <f t="shared" si="20"/>
        <v>0</v>
      </c>
      <c r="AV35" s="79">
        <v>0</v>
      </c>
      <c r="AW35" s="83">
        <f t="shared" si="21"/>
        <v>0</v>
      </c>
      <c r="AX35" s="79">
        <v>0</v>
      </c>
      <c r="AY35" s="83">
        <f t="shared" si="22"/>
        <v>0</v>
      </c>
      <c r="AZ35" s="79">
        <v>0</v>
      </c>
      <c r="BA35" s="83">
        <f t="shared" si="23"/>
        <v>0</v>
      </c>
      <c r="BB35" s="79">
        <v>0</v>
      </c>
      <c r="BC35" s="83">
        <f t="shared" si="24"/>
        <v>0</v>
      </c>
      <c r="BD35" s="79">
        <v>0</v>
      </c>
      <c r="BE35" s="83">
        <f t="shared" si="25"/>
        <v>0</v>
      </c>
      <c r="BF35" s="79">
        <v>0</v>
      </c>
      <c r="BG35" s="83">
        <f t="shared" si="27"/>
        <v>0</v>
      </c>
      <c r="BH35" s="79">
        <v>0</v>
      </c>
      <c r="BI35" s="83">
        <f t="shared" si="28"/>
        <v>0</v>
      </c>
      <c r="BJ35" s="79">
        <v>0</v>
      </c>
      <c r="BK35" s="287">
        <f t="shared" si="29"/>
        <v>0</v>
      </c>
      <c r="BL35" s="299">
        <v>0</v>
      </c>
      <c r="BM35" s="128">
        <f t="shared" si="45"/>
        <v>0</v>
      </c>
      <c r="BN35" s="128"/>
      <c r="BO35" s="305">
        <f t="shared" si="42"/>
        <v>0</v>
      </c>
      <c r="BP35" s="128"/>
      <c r="BQ35" s="128">
        <f t="shared" si="43"/>
        <v>0</v>
      </c>
      <c r="BR35" s="128"/>
      <c r="BS35" s="128">
        <f t="shared" si="44"/>
        <v>0</v>
      </c>
      <c r="BT35" s="128"/>
      <c r="BU35" s="128">
        <f t="shared" si="31"/>
        <v>0</v>
      </c>
      <c r="BV35" s="128"/>
      <c r="BW35" s="128">
        <f t="shared" si="32"/>
        <v>0</v>
      </c>
      <c r="BX35" s="128"/>
      <c r="BY35" s="128">
        <f t="shared" si="33"/>
        <v>0</v>
      </c>
      <c r="BZ35" s="128"/>
      <c r="CA35" s="128">
        <f t="shared" si="34"/>
        <v>0</v>
      </c>
      <c r="CB35" s="128"/>
      <c r="CC35" s="128">
        <f t="shared" si="35"/>
        <v>0</v>
      </c>
      <c r="CD35" s="128"/>
      <c r="CE35" s="128">
        <f t="shared" si="36"/>
        <v>0</v>
      </c>
      <c r="CF35" s="128"/>
      <c r="CG35" s="128">
        <f t="shared" si="37"/>
        <v>0</v>
      </c>
      <c r="CH35" s="128"/>
      <c r="CI35" s="128">
        <f t="shared" si="38"/>
        <v>0</v>
      </c>
      <c r="CJ35" s="128"/>
      <c r="CK35" s="128">
        <f t="shared" si="39"/>
        <v>0</v>
      </c>
      <c r="CL35" s="128">
        <v>0</v>
      </c>
      <c r="CM35" s="128">
        <f t="shared" si="40"/>
        <v>0</v>
      </c>
      <c r="CN35" s="128">
        <v>0</v>
      </c>
      <c r="CO35" s="128">
        <f t="shared" si="41"/>
        <v>0</v>
      </c>
      <c r="CP35" s="128"/>
      <c r="CQ35" s="128"/>
      <c r="CR35" s="128"/>
      <c r="CS35" s="128"/>
      <c r="CT35" s="128"/>
      <c r="CU35" s="128"/>
      <c r="CV35" s="128"/>
      <c r="CW35" s="128"/>
      <c r="CX35" s="128"/>
    </row>
    <row r="36" spans="1:102" ht="12.75" x14ac:dyDescent="0.2">
      <c r="A36" s="5" t="s">
        <v>110</v>
      </c>
      <c r="B36" s="14"/>
      <c r="C36" s="14"/>
      <c r="D36" s="15">
        <v>45000</v>
      </c>
      <c r="E36" s="15">
        <f t="shared" si="26"/>
        <v>45000</v>
      </c>
      <c r="F36" s="10">
        <v>0</v>
      </c>
      <c r="G36" s="15">
        <f t="shared" si="0"/>
        <v>0</v>
      </c>
      <c r="H36" s="10">
        <v>0</v>
      </c>
      <c r="I36" s="15">
        <f t="shared" si="1"/>
        <v>0</v>
      </c>
      <c r="J36" s="10">
        <v>0</v>
      </c>
      <c r="K36" s="15">
        <f t="shared" si="2"/>
        <v>0</v>
      </c>
      <c r="L36" s="10">
        <v>0</v>
      </c>
      <c r="M36" s="15">
        <f t="shared" si="3"/>
        <v>0</v>
      </c>
      <c r="N36" s="10">
        <v>0</v>
      </c>
      <c r="O36" s="15">
        <f t="shared" si="4"/>
        <v>0</v>
      </c>
      <c r="P36" s="10">
        <v>0</v>
      </c>
      <c r="Q36" s="15">
        <f t="shared" si="5"/>
        <v>0</v>
      </c>
      <c r="R36" s="10">
        <v>0</v>
      </c>
      <c r="S36" s="83">
        <f t="shared" si="6"/>
        <v>0</v>
      </c>
      <c r="T36" s="10">
        <v>0</v>
      </c>
      <c r="U36" s="83">
        <f t="shared" si="7"/>
        <v>0</v>
      </c>
      <c r="V36" s="78">
        <v>0</v>
      </c>
      <c r="W36" s="83">
        <f t="shared" si="8"/>
        <v>0</v>
      </c>
      <c r="X36" s="78">
        <v>0</v>
      </c>
      <c r="Y36" s="83">
        <f t="shared" si="9"/>
        <v>0</v>
      </c>
      <c r="Z36" s="78">
        <v>0</v>
      </c>
      <c r="AA36" s="83">
        <f t="shared" si="10"/>
        <v>0</v>
      </c>
      <c r="AB36" s="78">
        <v>0</v>
      </c>
      <c r="AC36" s="83">
        <f t="shared" si="11"/>
        <v>0</v>
      </c>
      <c r="AD36" s="78">
        <v>0</v>
      </c>
      <c r="AE36" s="83">
        <f t="shared" si="12"/>
        <v>0</v>
      </c>
      <c r="AF36" s="78">
        <v>0</v>
      </c>
      <c r="AG36" s="83">
        <f t="shared" si="13"/>
        <v>0</v>
      </c>
      <c r="AH36" s="79">
        <v>0</v>
      </c>
      <c r="AI36" s="83">
        <f t="shared" si="14"/>
        <v>0</v>
      </c>
      <c r="AJ36" s="79">
        <v>0</v>
      </c>
      <c r="AK36" s="83">
        <f t="shared" si="15"/>
        <v>0</v>
      </c>
      <c r="AL36" s="79">
        <v>0</v>
      </c>
      <c r="AM36" s="83">
        <f t="shared" si="16"/>
        <v>0</v>
      </c>
      <c r="AN36" s="79">
        <v>0</v>
      </c>
      <c r="AO36" s="83">
        <f t="shared" si="17"/>
        <v>0</v>
      </c>
      <c r="AP36" s="79">
        <v>0</v>
      </c>
      <c r="AQ36" s="83">
        <f t="shared" si="18"/>
        <v>0</v>
      </c>
      <c r="AR36" s="79">
        <v>0</v>
      </c>
      <c r="AS36" s="83">
        <f t="shared" si="19"/>
        <v>0</v>
      </c>
      <c r="AT36" s="79">
        <v>0</v>
      </c>
      <c r="AU36" s="83">
        <f t="shared" si="20"/>
        <v>0</v>
      </c>
      <c r="AV36" s="79">
        <v>0</v>
      </c>
      <c r="AW36" s="83">
        <f t="shared" si="21"/>
        <v>0</v>
      </c>
      <c r="AX36" s="79">
        <v>0</v>
      </c>
      <c r="AY36" s="83">
        <f t="shared" si="22"/>
        <v>0</v>
      </c>
      <c r="AZ36" s="79">
        <v>0</v>
      </c>
      <c r="BA36" s="83">
        <f t="shared" si="23"/>
        <v>0</v>
      </c>
      <c r="BB36" s="79">
        <v>0</v>
      </c>
      <c r="BC36" s="83">
        <f t="shared" si="24"/>
        <v>0</v>
      </c>
      <c r="BD36" s="79">
        <v>0</v>
      </c>
      <c r="BE36" s="83">
        <f t="shared" si="25"/>
        <v>0</v>
      </c>
      <c r="BF36" s="79">
        <v>0</v>
      </c>
      <c r="BG36" s="83">
        <f t="shared" si="27"/>
        <v>0</v>
      </c>
      <c r="BH36" s="79">
        <v>0</v>
      </c>
      <c r="BI36" s="83">
        <f t="shared" si="28"/>
        <v>0</v>
      </c>
      <c r="BJ36" s="79">
        <v>0</v>
      </c>
      <c r="BK36" s="287">
        <f t="shared" si="29"/>
        <v>0</v>
      </c>
      <c r="BL36" s="299">
        <v>0</v>
      </c>
      <c r="BM36" s="128">
        <f t="shared" si="45"/>
        <v>0</v>
      </c>
      <c r="BN36" s="128"/>
      <c r="BO36" s="305">
        <f t="shared" si="42"/>
        <v>0</v>
      </c>
      <c r="BP36" s="128"/>
      <c r="BQ36" s="128">
        <f t="shared" si="43"/>
        <v>0</v>
      </c>
      <c r="BR36" s="128"/>
      <c r="BS36" s="128">
        <f t="shared" si="44"/>
        <v>0</v>
      </c>
      <c r="BT36" s="128"/>
      <c r="BU36" s="128">
        <f t="shared" si="31"/>
        <v>0</v>
      </c>
      <c r="BV36" s="128"/>
      <c r="BW36" s="128">
        <f t="shared" si="32"/>
        <v>0</v>
      </c>
      <c r="BX36" s="128"/>
      <c r="BY36" s="128">
        <f t="shared" si="33"/>
        <v>0</v>
      </c>
      <c r="BZ36" s="128"/>
      <c r="CA36" s="128">
        <f t="shared" si="34"/>
        <v>0</v>
      </c>
      <c r="CB36" s="128"/>
      <c r="CC36" s="128">
        <f t="shared" si="35"/>
        <v>0</v>
      </c>
      <c r="CD36" s="128"/>
      <c r="CE36" s="128">
        <f t="shared" si="36"/>
        <v>0</v>
      </c>
      <c r="CF36" s="128"/>
      <c r="CG36" s="128">
        <f t="shared" si="37"/>
        <v>0</v>
      </c>
      <c r="CH36" s="128"/>
      <c r="CI36" s="128">
        <f t="shared" si="38"/>
        <v>0</v>
      </c>
      <c r="CJ36" s="128"/>
      <c r="CK36" s="128">
        <f t="shared" si="39"/>
        <v>0</v>
      </c>
      <c r="CL36" s="128">
        <v>0</v>
      </c>
      <c r="CM36" s="128">
        <f t="shared" si="40"/>
        <v>0</v>
      </c>
      <c r="CN36" s="128">
        <v>0</v>
      </c>
      <c r="CO36" s="128">
        <f t="shared" si="41"/>
        <v>0</v>
      </c>
      <c r="CP36" s="128"/>
      <c r="CQ36" s="128"/>
      <c r="CR36" s="128"/>
      <c r="CS36" s="128"/>
      <c r="CT36" s="128"/>
      <c r="CU36" s="128"/>
      <c r="CV36" s="128"/>
      <c r="CW36" s="128"/>
      <c r="CX36" s="128"/>
    </row>
    <row r="37" spans="1:102" ht="12.75" x14ac:dyDescent="0.2">
      <c r="A37" s="5" t="s">
        <v>111</v>
      </c>
      <c r="B37" s="14"/>
      <c r="C37" s="14"/>
      <c r="D37" s="15">
        <v>85000</v>
      </c>
      <c r="E37" s="15">
        <f t="shared" si="26"/>
        <v>85000</v>
      </c>
      <c r="F37" s="10">
        <v>0</v>
      </c>
      <c r="G37" s="15">
        <f t="shared" si="0"/>
        <v>0</v>
      </c>
      <c r="H37" s="10">
        <v>0</v>
      </c>
      <c r="I37" s="15">
        <f t="shared" si="1"/>
        <v>0</v>
      </c>
      <c r="J37" s="10">
        <v>0</v>
      </c>
      <c r="K37" s="15">
        <f t="shared" si="2"/>
        <v>0</v>
      </c>
      <c r="L37" s="10">
        <v>0</v>
      </c>
      <c r="M37" s="15">
        <f t="shared" si="3"/>
        <v>0</v>
      </c>
      <c r="N37" s="10">
        <v>0</v>
      </c>
      <c r="O37" s="15">
        <f t="shared" si="4"/>
        <v>0</v>
      </c>
      <c r="P37" s="10">
        <v>0</v>
      </c>
      <c r="Q37" s="15">
        <f t="shared" si="5"/>
        <v>0</v>
      </c>
      <c r="R37" s="10">
        <v>0</v>
      </c>
      <c r="S37" s="83">
        <f t="shared" si="6"/>
        <v>0</v>
      </c>
      <c r="T37" s="10">
        <v>0</v>
      </c>
      <c r="U37" s="83">
        <f t="shared" si="7"/>
        <v>0</v>
      </c>
      <c r="V37" s="78">
        <v>0</v>
      </c>
      <c r="W37" s="83">
        <f t="shared" si="8"/>
        <v>0</v>
      </c>
      <c r="X37" s="78">
        <v>0</v>
      </c>
      <c r="Y37" s="83">
        <f t="shared" si="9"/>
        <v>0</v>
      </c>
      <c r="Z37" s="78">
        <v>0</v>
      </c>
      <c r="AA37" s="83">
        <f t="shared" si="10"/>
        <v>0</v>
      </c>
      <c r="AB37" s="78">
        <v>0</v>
      </c>
      <c r="AC37" s="83">
        <f t="shared" si="11"/>
        <v>0</v>
      </c>
      <c r="AD37" s="78">
        <v>0</v>
      </c>
      <c r="AE37" s="83">
        <f t="shared" si="12"/>
        <v>0</v>
      </c>
      <c r="AF37" s="78">
        <v>0</v>
      </c>
      <c r="AG37" s="83">
        <f t="shared" si="13"/>
        <v>0</v>
      </c>
      <c r="AH37" s="79">
        <v>0</v>
      </c>
      <c r="AI37" s="83">
        <f t="shared" si="14"/>
        <v>0</v>
      </c>
      <c r="AJ37" s="79">
        <v>0</v>
      </c>
      <c r="AK37" s="83">
        <f t="shared" si="15"/>
        <v>0</v>
      </c>
      <c r="AL37" s="79">
        <v>0</v>
      </c>
      <c r="AM37" s="83">
        <f t="shared" si="16"/>
        <v>0</v>
      </c>
      <c r="AN37" s="79">
        <v>0</v>
      </c>
      <c r="AO37" s="83">
        <f t="shared" si="17"/>
        <v>0</v>
      </c>
      <c r="AP37" s="79">
        <v>0</v>
      </c>
      <c r="AQ37" s="83">
        <f t="shared" si="18"/>
        <v>0</v>
      </c>
      <c r="AR37" s="79">
        <v>0</v>
      </c>
      <c r="AS37" s="83">
        <f t="shared" si="19"/>
        <v>0</v>
      </c>
      <c r="AT37" s="79">
        <v>0</v>
      </c>
      <c r="AU37" s="83">
        <f t="shared" si="20"/>
        <v>0</v>
      </c>
      <c r="AV37" s="79">
        <v>0</v>
      </c>
      <c r="AW37" s="83">
        <f t="shared" si="21"/>
        <v>0</v>
      </c>
      <c r="AX37" s="79">
        <v>0</v>
      </c>
      <c r="AY37" s="83">
        <f t="shared" si="22"/>
        <v>0</v>
      </c>
      <c r="AZ37" s="79">
        <v>0</v>
      </c>
      <c r="BA37" s="83">
        <f t="shared" si="23"/>
        <v>0</v>
      </c>
      <c r="BB37" s="79">
        <v>0</v>
      </c>
      <c r="BC37" s="83">
        <f t="shared" si="24"/>
        <v>0</v>
      </c>
      <c r="BD37" s="79">
        <v>0</v>
      </c>
      <c r="BE37" s="83">
        <f t="shared" si="25"/>
        <v>0</v>
      </c>
      <c r="BF37" s="79">
        <v>0</v>
      </c>
      <c r="BG37" s="83">
        <f t="shared" si="27"/>
        <v>0</v>
      </c>
      <c r="BH37" s="79">
        <v>0</v>
      </c>
      <c r="BI37" s="83">
        <f t="shared" si="28"/>
        <v>0</v>
      </c>
      <c r="BJ37" s="79">
        <v>0</v>
      </c>
      <c r="BK37" s="287">
        <f t="shared" si="29"/>
        <v>0</v>
      </c>
      <c r="BL37" s="299">
        <v>0</v>
      </c>
      <c r="BM37" s="128">
        <f t="shared" si="45"/>
        <v>0</v>
      </c>
      <c r="BN37" s="128"/>
      <c r="BO37" s="305">
        <f t="shared" si="42"/>
        <v>0</v>
      </c>
      <c r="BP37" s="128"/>
      <c r="BQ37" s="128">
        <f t="shared" si="43"/>
        <v>0</v>
      </c>
      <c r="BR37" s="128"/>
      <c r="BS37" s="128">
        <f t="shared" si="44"/>
        <v>0</v>
      </c>
      <c r="BT37" s="128"/>
      <c r="BU37" s="128">
        <f t="shared" si="31"/>
        <v>0</v>
      </c>
      <c r="BV37" s="128"/>
      <c r="BW37" s="128">
        <f t="shared" si="32"/>
        <v>0</v>
      </c>
      <c r="BX37" s="128"/>
      <c r="BY37" s="128">
        <f t="shared" si="33"/>
        <v>0</v>
      </c>
      <c r="BZ37" s="128"/>
      <c r="CA37" s="128">
        <f t="shared" si="34"/>
        <v>0</v>
      </c>
      <c r="CB37" s="128"/>
      <c r="CC37" s="128">
        <f t="shared" si="35"/>
        <v>0</v>
      </c>
      <c r="CD37" s="128"/>
      <c r="CE37" s="128">
        <f t="shared" si="36"/>
        <v>0</v>
      </c>
      <c r="CF37" s="128"/>
      <c r="CG37" s="128">
        <f t="shared" si="37"/>
        <v>0</v>
      </c>
      <c r="CH37" s="128"/>
      <c r="CI37" s="128">
        <f t="shared" si="38"/>
        <v>0</v>
      </c>
      <c r="CJ37" s="128"/>
      <c r="CK37" s="128">
        <f t="shared" si="39"/>
        <v>0</v>
      </c>
      <c r="CL37" s="128">
        <v>0</v>
      </c>
      <c r="CM37" s="128">
        <f t="shared" si="40"/>
        <v>0</v>
      </c>
      <c r="CN37" s="128">
        <v>0</v>
      </c>
      <c r="CO37" s="128">
        <f t="shared" si="41"/>
        <v>0</v>
      </c>
      <c r="CP37" s="128"/>
      <c r="CQ37" s="128"/>
      <c r="CR37" s="128"/>
      <c r="CS37" s="128"/>
      <c r="CT37" s="128"/>
      <c r="CU37" s="128"/>
      <c r="CV37" s="128"/>
      <c r="CW37" s="128"/>
      <c r="CX37" s="128"/>
    </row>
    <row r="38" spans="1:102" ht="12.75" x14ac:dyDescent="0.2">
      <c r="A38" s="5" t="s">
        <v>112</v>
      </c>
      <c r="B38" s="14"/>
      <c r="C38" s="14"/>
      <c r="D38" s="14"/>
      <c r="E38" s="15">
        <f t="shared" si="26"/>
        <v>0</v>
      </c>
      <c r="F38" s="10">
        <v>0</v>
      </c>
      <c r="G38" s="15">
        <f t="shared" si="0"/>
        <v>0</v>
      </c>
      <c r="H38" s="10">
        <v>0</v>
      </c>
      <c r="I38" s="15">
        <f t="shared" si="1"/>
        <v>0</v>
      </c>
      <c r="J38" s="10">
        <v>0</v>
      </c>
      <c r="K38" s="15">
        <f t="shared" si="2"/>
        <v>0</v>
      </c>
      <c r="L38" s="10">
        <v>0</v>
      </c>
      <c r="M38" s="15">
        <f t="shared" si="3"/>
        <v>0</v>
      </c>
      <c r="N38" s="10">
        <v>0</v>
      </c>
      <c r="O38" s="15">
        <f t="shared" si="4"/>
        <v>0</v>
      </c>
      <c r="P38" s="10">
        <v>0</v>
      </c>
      <c r="Q38" s="15">
        <f t="shared" si="5"/>
        <v>0</v>
      </c>
      <c r="R38" s="10">
        <v>0</v>
      </c>
      <c r="S38" s="83">
        <f t="shared" si="6"/>
        <v>0</v>
      </c>
      <c r="T38" s="10">
        <v>0</v>
      </c>
      <c r="U38" s="83">
        <f t="shared" si="7"/>
        <v>0</v>
      </c>
      <c r="V38" s="78">
        <v>0</v>
      </c>
      <c r="W38" s="83">
        <f t="shared" si="8"/>
        <v>0</v>
      </c>
      <c r="X38" s="78">
        <v>0</v>
      </c>
      <c r="Y38" s="83">
        <f t="shared" si="9"/>
        <v>0</v>
      </c>
      <c r="Z38" s="78">
        <v>0</v>
      </c>
      <c r="AA38" s="83">
        <f t="shared" si="10"/>
        <v>0</v>
      </c>
      <c r="AB38" s="78">
        <v>0</v>
      </c>
      <c r="AC38" s="83">
        <f t="shared" si="11"/>
        <v>0</v>
      </c>
      <c r="AD38" s="78">
        <v>0</v>
      </c>
      <c r="AE38" s="83">
        <f t="shared" si="12"/>
        <v>0</v>
      </c>
      <c r="AF38" s="78">
        <v>0</v>
      </c>
      <c r="AG38" s="83">
        <f t="shared" si="13"/>
        <v>0</v>
      </c>
      <c r="AH38" s="79">
        <v>0</v>
      </c>
      <c r="AI38" s="83">
        <f t="shared" si="14"/>
        <v>0</v>
      </c>
      <c r="AJ38" s="79">
        <v>0</v>
      </c>
      <c r="AK38" s="83">
        <f t="shared" si="15"/>
        <v>0</v>
      </c>
      <c r="AL38" s="79">
        <v>0</v>
      </c>
      <c r="AM38" s="83">
        <f t="shared" si="16"/>
        <v>0</v>
      </c>
      <c r="AN38" s="79">
        <v>0</v>
      </c>
      <c r="AO38" s="83">
        <f t="shared" si="17"/>
        <v>0</v>
      </c>
      <c r="AP38" s="79">
        <v>0</v>
      </c>
      <c r="AQ38" s="83">
        <f t="shared" si="18"/>
        <v>0</v>
      </c>
      <c r="AR38" s="79">
        <v>0</v>
      </c>
      <c r="AS38" s="83">
        <f t="shared" si="19"/>
        <v>0</v>
      </c>
      <c r="AT38" s="79">
        <v>0</v>
      </c>
      <c r="AU38" s="83">
        <f t="shared" si="20"/>
        <v>0</v>
      </c>
      <c r="AV38" s="79">
        <v>0</v>
      </c>
      <c r="AW38" s="83">
        <f t="shared" si="21"/>
        <v>0</v>
      </c>
      <c r="AX38" s="79">
        <v>0</v>
      </c>
      <c r="AY38" s="83">
        <f t="shared" si="22"/>
        <v>0</v>
      </c>
      <c r="AZ38" s="79">
        <v>0</v>
      </c>
      <c r="BA38" s="83">
        <f t="shared" si="23"/>
        <v>0</v>
      </c>
      <c r="BB38" s="79">
        <v>0</v>
      </c>
      <c r="BC38" s="83">
        <f t="shared" si="24"/>
        <v>0</v>
      </c>
      <c r="BD38" s="79">
        <v>0</v>
      </c>
      <c r="BE38" s="83">
        <f t="shared" si="25"/>
        <v>0</v>
      </c>
      <c r="BF38" s="79">
        <v>0</v>
      </c>
      <c r="BG38" s="83">
        <f t="shared" si="27"/>
        <v>0</v>
      </c>
      <c r="BH38" s="79">
        <v>0</v>
      </c>
      <c r="BI38" s="83">
        <f t="shared" si="28"/>
        <v>0</v>
      </c>
      <c r="BJ38" s="79">
        <v>0</v>
      </c>
      <c r="BK38" s="287">
        <f t="shared" si="29"/>
        <v>0</v>
      </c>
      <c r="BL38" s="299">
        <v>0</v>
      </c>
      <c r="BM38" s="128">
        <f t="shared" si="45"/>
        <v>0</v>
      </c>
      <c r="BN38" s="128"/>
      <c r="BO38" s="305">
        <f t="shared" si="42"/>
        <v>0</v>
      </c>
      <c r="BP38" s="128"/>
      <c r="BQ38" s="128">
        <f t="shared" si="43"/>
        <v>0</v>
      </c>
      <c r="BR38" s="128"/>
      <c r="BS38" s="128">
        <f t="shared" si="44"/>
        <v>0</v>
      </c>
      <c r="BT38" s="128"/>
      <c r="BU38" s="128">
        <f t="shared" si="31"/>
        <v>0</v>
      </c>
      <c r="BV38" s="128"/>
      <c r="BW38" s="128">
        <f t="shared" si="32"/>
        <v>0</v>
      </c>
      <c r="BX38" s="128"/>
      <c r="BY38" s="128">
        <f t="shared" si="33"/>
        <v>0</v>
      </c>
      <c r="BZ38" s="128"/>
      <c r="CA38" s="128">
        <f t="shared" si="34"/>
        <v>0</v>
      </c>
      <c r="CB38" s="128"/>
      <c r="CC38" s="128">
        <f t="shared" si="35"/>
        <v>0</v>
      </c>
      <c r="CD38" s="128"/>
      <c r="CE38" s="128">
        <f t="shared" si="36"/>
        <v>0</v>
      </c>
      <c r="CF38" s="128"/>
      <c r="CG38" s="128">
        <f t="shared" si="37"/>
        <v>0</v>
      </c>
      <c r="CH38" s="128"/>
      <c r="CI38" s="128">
        <f t="shared" si="38"/>
        <v>0</v>
      </c>
      <c r="CJ38" s="128"/>
      <c r="CK38" s="128">
        <f t="shared" si="39"/>
        <v>0</v>
      </c>
      <c r="CL38" s="128">
        <v>0</v>
      </c>
      <c r="CM38" s="128">
        <f t="shared" si="40"/>
        <v>0</v>
      </c>
      <c r="CN38" s="128">
        <v>0</v>
      </c>
      <c r="CO38" s="128">
        <f t="shared" si="41"/>
        <v>0</v>
      </c>
      <c r="CP38" s="128"/>
      <c r="CQ38" s="128"/>
      <c r="CR38" s="128"/>
      <c r="CS38" s="128"/>
      <c r="CT38" s="128"/>
      <c r="CU38" s="128"/>
      <c r="CV38" s="128"/>
      <c r="CW38" s="128"/>
      <c r="CX38" s="128"/>
    </row>
    <row r="39" spans="1:102" ht="12.75" x14ac:dyDescent="0.2">
      <c r="A39" s="5" t="s">
        <v>113</v>
      </c>
      <c r="B39" s="14"/>
      <c r="C39" s="14"/>
      <c r="D39" s="14"/>
      <c r="E39" s="15">
        <f t="shared" si="26"/>
        <v>0</v>
      </c>
      <c r="F39" s="10">
        <v>0</v>
      </c>
      <c r="G39" s="15">
        <f t="shared" si="0"/>
        <v>0</v>
      </c>
      <c r="H39" s="10">
        <v>0</v>
      </c>
      <c r="I39" s="15">
        <f t="shared" si="1"/>
        <v>0</v>
      </c>
      <c r="J39" s="10">
        <v>0</v>
      </c>
      <c r="K39" s="15">
        <f t="shared" si="2"/>
        <v>0</v>
      </c>
      <c r="L39" s="10">
        <v>0</v>
      </c>
      <c r="M39" s="15">
        <f t="shared" si="3"/>
        <v>0</v>
      </c>
      <c r="N39" s="10">
        <v>0</v>
      </c>
      <c r="O39" s="15">
        <f t="shared" si="4"/>
        <v>0</v>
      </c>
      <c r="P39" s="10">
        <v>0</v>
      </c>
      <c r="Q39" s="15">
        <f t="shared" si="5"/>
        <v>0</v>
      </c>
      <c r="R39" s="10">
        <v>0</v>
      </c>
      <c r="S39" s="83">
        <f t="shared" si="6"/>
        <v>0</v>
      </c>
      <c r="T39" s="10">
        <v>0</v>
      </c>
      <c r="U39" s="83">
        <f t="shared" si="7"/>
        <v>0</v>
      </c>
      <c r="V39" s="78">
        <v>0</v>
      </c>
      <c r="W39" s="83">
        <f t="shared" si="8"/>
        <v>0</v>
      </c>
      <c r="X39" s="78">
        <v>0</v>
      </c>
      <c r="Y39" s="83">
        <f t="shared" si="9"/>
        <v>0</v>
      </c>
      <c r="Z39" s="78">
        <v>0</v>
      </c>
      <c r="AA39" s="83">
        <f t="shared" si="10"/>
        <v>0</v>
      </c>
      <c r="AB39" s="78">
        <v>0</v>
      </c>
      <c r="AC39" s="83">
        <f t="shared" si="11"/>
        <v>0</v>
      </c>
      <c r="AD39" s="78">
        <v>0</v>
      </c>
      <c r="AE39" s="83">
        <f t="shared" si="12"/>
        <v>0</v>
      </c>
      <c r="AF39" s="78">
        <v>0</v>
      </c>
      <c r="AG39" s="83">
        <f t="shared" si="13"/>
        <v>0</v>
      </c>
      <c r="AH39" s="79">
        <v>0</v>
      </c>
      <c r="AI39" s="83">
        <f t="shared" si="14"/>
        <v>0</v>
      </c>
      <c r="AJ39" s="79">
        <v>0</v>
      </c>
      <c r="AK39" s="83">
        <f t="shared" si="15"/>
        <v>0</v>
      </c>
      <c r="AL39" s="79">
        <v>0</v>
      </c>
      <c r="AM39" s="83">
        <f t="shared" si="16"/>
        <v>0</v>
      </c>
      <c r="AN39" s="79">
        <v>0</v>
      </c>
      <c r="AO39" s="83">
        <f t="shared" si="17"/>
        <v>0</v>
      </c>
      <c r="AP39" s="79">
        <v>0</v>
      </c>
      <c r="AQ39" s="83">
        <f t="shared" si="18"/>
        <v>0</v>
      </c>
      <c r="AR39" s="79">
        <v>0</v>
      </c>
      <c r="AS39" s="83">
        <f t="shared" si="19"/>
        <v>0</v>
      </c>
      <c r="AT39" s="79">
        <v>0</v>
      </c>
      <c r="AU39" s="83">
        <f t="shared" si="20"/>
        <v>0</v>
      </c>
      <c r="AV39" s="79">
        <v>0</v>
      </c>
      <c r="AW39" s="83">
        <f t="shared" si="21"/>
        <v>0</v>
      </c>
      <c r="AX39" s="79">
        <v>0</v>
      </c>
      <c r="AY39" s="83">
        <f t="shared" si="22"/>
        <v>0</v>
      </c>
      <c r="AZ39" s="79">
        <v>0</v>
      </c>
      <c r="BA39" s="83">
        <f t="shared" si="23"/>
        <v>0</v>
      </c>
      <c r="BB39" s="79">
        <v>0</v>
      </c>
      <c r="BC39" s="83">
        <f t="shared" si="24"/>
        <v>0</v>
      </c>
      <c r="BD39" s="79">
        <v>0</v>
      </c>
      <c r="BE39" s="83">
        <f t="shared" si="25"/>
        <v>0</v>
      </c>
      <c r="BF39" s="79">
        <v>0</v>
      </c>
      <c r="BG39" s="83">
        <f t="shared" si="27"/>
        <v>0</v>
      </c>
      <c r="BH39" s="79">
        <v>0</v>
      </c>
      <c r="BI39" s="83">
        <f t="shared" si="28"/>
        <v>0</v>
      </c>
      <c r="BJ39" s="79">
        <v>0</v>
      </c>
      <c r="BK39" s="287">
        <f t="shared" si="29"/>
        <v>0</v>
      </c>
      <c r="BL39" s="299">
        <v>0</v>
      </c>
      <c r="BM39" s="128">
        <f t="shared" si="45"/>
        <v>0</v>
      </c>
      <c r="BN39" s="128"/>
      <c r="BO39" s="305">
        <f t="shared" si="42"/>
        <v>0</v>
      </c>
      <c r="BP39" s="128"/>
      <c r="BQ39" s="128">
        <f t="shared" si="43"/>
        <v>0</v>
      </c>
      <c r="BR39" s="128"/>
      <c r="BS39" s="128">
        <f t="shared" si="44"/>
        <v>0</v>
      </c>
      <c r="BT39" s="128"/>
      <c r="BU39" s="128">
        <f t="shared" si="31"/>
        <v>0</v>
      </c>
      <c r="BV39" s="128"/>
      <c r="BW39" s="128">
        <f t="shared" si="32"/>
        <v>0</v>
      </c>
      <c r="BX39" s="128"/>
      <c r="BY39" s="128">
        <f t="shared" si="33"/>
        <v>0</v>
      </c>
      <c r="BZ39" s="128"/>
      <c r="CA39" s="128">
        <f t="shared" si="34"/>
        <v>0</v>
      </c>
      <c r="CB39" s="128"/>
      <c r="CC39" s="128">
        <f t="shared" si="35"/>
        <v>0</v>
      </c>
      <c r="CD39" s="128"/>
      <c r="CE39" s="128">
        <f t="shared" si="36"/>
        <v>0</v>
      </c>
      <c r="CF39" s="128"/>
      <c r="CG39" s="128">
        <f t="shared" si="37"/>
        <v>0</v>
      </c>
      <c r="CH39" s="128"/>
      <c r="CI39" s="128">
        <f t="shared" si="38"/>
        <v>0</v>
      </c>
      <c r="CJ39" s="128"/>
      <c r="CK39" s="128">
        <f t="shared" si="39"/>
        <v>0</v>
      </c>
      <c r="CL39" s="128">
        <v>0</v>
      </c>
      <c r="CM39" s="128">
        <f t="shared" si="40"/>
        <v>0</v>
      </c>
      <c r="CN39" s="128">
        <v>0</v>
      </c>
      <c r="CO39" s="128">
        <f t="shared" si="41"/>
        <v>0</v>
      </c>
      <c r="CP39" s="128"/>
      <c r="CQ39" s="128"/>
      <c r="CR39" s="128"/>
      <c r="CS39" s="128"/>
      <c r="CT39" s="128"/>
      <c r="CU39" s="128"/>
      <c r="CV39" s="128"/>
      <c r="CW39" s="128"/>
      <c r="CX39" s="128"/>
    </row>
    <row r="40" spans="1:102" ht="12.75" x14ac:dyDescent="0.2">
      <c r="A40" s="5" t="s">
        <v>114</v>
      </c>
      <c r="B40" s="14"/>
      <c r="C40" s="14"/>
      <c r="D40" s="14"/>
      <c r="E40" s="15">
        <f t="shared" si="26"/>
        <v>0</v>
      </c>
      <c r="F40" s="10">
        <v>0</v>
      </c>
      <c r="G40" s="15">
        <f t="shared" si="0"/>
        <v>0</v>
      </c>
      <c r="H40" s="10">
        <v>0</v>
      </c>
      <c r="I40" s="15">
        <f t="shared" si="1"/>
        <v>0</v>
      </c>
      <c r="J40" s="10">
        <v>0</v>
      </c>
      <c r="K40" s="15">
        <f t="shared" si="2"/>
        <v>0</v>
      </c>
      <c r="L40" s="10">
        <v>0</v>
      </c>
      <c r="M40" s="15">
        <f t="shared" si="3"/>
        <v>0</v>
      </c>
      <c r="N40" s="10">
        <v>0</v>
      </c>
      <c r="O40" s="15">
        <f t="shared" si="4"/>
        <v>0</v>
      </c>
      <c r="P40" s="10">
        <v>0</v>
      </c>
      <c r="Q40" s="15">
        <f t="shared" si="5"/>
        <v>0</v>
      </c>
      <c r="R40" s="10">
        <v>0</v>
      </c>
      <c r="S40" s="83">
        <f t="shared" si="6"/>
        <v>0</v>
      </c>
      <c r="T40" s="10">
        <v>0</v>
      </c>
      <c r="U40" s="83">
        <f t="shared" si="7"/>
        <v>0</v>
      </c>
      <c r="V40" s="78">
        <v>0</v>
      </c>
      <c r="W40" s="83">
        <f t="shared" si="8"/>
        <v>0</v>
      </c>
      <c r="X40" s="78">
        <v>0</v>
      </c>
      <c r="Y40" s="83">
        <f t="shared" si="9"/>
        <v>0</v>
      </c>
      <c r="Z40" s="78">
        <v>0</v>
      </c>
      <c r="AA40" s="83">
        <f t="shared" si="10"/>
        <v>0</v>
      </c>
      <c r="AB40" s="78">
        <v>0</v>
      </c>
      <c r="AC40" s="83">
        <f t="shared" si="11"/>
        <v>0</v>
      </c>
      <c r="AD40" s="78">
        <v>0</v>
      </c>
      <c r="AE40" s="83">
        <f t="shared" si="12"/>
        <v>0</v>
      </c>
      <c r="AF40" s="78">
        <v>0</v>
      </c>
      <c r="AG40" s="83">
        <f t="shared" si="13"/>
        <v>0</v>
      </c>
      <c r="AH40" s="79">
        <v>0</v>
      </c>
      <c r="AI40" s="83">
        <f t="shared" si="14"/>
        <v>0</v>
      </c>
      <c r="AJ40" s="79">
        <v>0</v>
      </c>
      <c r="AK40" s="83">
        <f t="shared" si="15"/>
        <v>0</v>
      </c>
      <c r="AL40" s="79">
        <v>0</v>
      </c>
      <c r="AM40" s="83">
        <f t="shared" si="16"/>
        <v>0</v>
      </c>
      <c r="AN40" s="79">
        <v>0</v>
      </c>
      <c r="AO40" s="83">
        <f t="shared" si="17"/>
        <v>0</v>
      </c>
      <c r="AP40" s="79">
        <v>0</v>
      </c>
      <c r="AQ40" s="83">
        <f t="shared" si="18"/>
        <v>0</v>
      </c>
      <c r="AR40" s="79">
        <v>0</v>
      </c>
      <c r="AS40" s="83">
        <f t="shared" si="19"/>
        <v>0</v>
      </c>
      <c r="AT40" s="79">
        <v>0</v>
      </c>
      <c r="AU40" s="83">
        <f t="shared" si="20"/>
        <v>0</v>
      </c>
      <c r="AV40" s="79">
        <v>0</v>
      </c>
      <c r="AW40" s="83">
        <f t="shared" si="21"/>
        <v>0</v>
      </c>
      <c r="AX40" s="79">
        <v>0</v>
      </c>
      <c r="AY40" s="83">
        <f t="shared" si="22"/>
        <v>0</v>
      </c>
      <c r="AZ40" s="79">
        <v>0</v>
      </c>
      <c r="BA40" s="83">
        <f t="shared" si="23"/>
        <v>0</v>
      </c>
      <c r="BB40" s="79">
        <v>0</v>
      </c>
      <c r="BC40" s="83">
        <f t="shared" si="24"/>
        <v>0</v>
      </c>
      <c r="BD40" s="79">
        <v>0</v>
      </c>
      <c r="BE40" s="83">
        <f t="shared" si="25"/>
        <v>0</v>
      </c>
      <c r="BF40" s="79">
        <v>0</v>
      </c>
      <c r="BG40" s="83">
        <f t="shared" si="27"/>
        <v>0</v>
      </c>
      <c r="BH40" s="79">
        <v>0</v>
      </c>
      <c r="BI40" s="83">
        <f t="shared" si="28"/>
        <v>0</v>
      </c>
      <c r="BJ40" s="79">
        <v>0</v>
      </c>
      <c r="BK40" s="287">
        <f t="shared" si="29"/>
        <v>0</v>
      </c>
      <c r="BL40" s="299">
        <v>0</v>
      </c>
      <c r="BM40" s="128">
        <f t="shared" si="45"/>
        <v>0</v>
      </c>
      <c r="BN40" s="128"/>
      <c r="BO40" s="305">
        <f t="shared" si="42"/>
        <v>0</v>
      </c>
      <c r="BP40" s="128"/>
      <c r="BQ40" s="128">
        <f t="shared" si="43"/>
        <v>0</v>
      </c>
      <c r="BR40" s="128"/>
      <c r="BS40" s="128">
        <f t="shared" si="44"/>
        <v>0</v>
      </c>
      <c r="BT40" s="128"/>
      <c r="BU40" s="128">
        <f t="shared" si="31"/>
        <v>0</v>
      </c>
      <c r="BV40" s="128"/>
      <c r="BW40" s="128">
        <f t="shared" si="32"/>
        <v>0</v>
      </c>
      <c r="BX40" s="128"/>
      <c r="BY40" s="128">
        <f t="shared" si="33"/>
        <v>0</v>
      </c>
      <c r="BZ40" s="128"/>
      <c r="CA40" s="128">
        <f t="shared" si="34"/>
        <v>0</v>
      </c>
      <c r="CB40" s="128"/>
      <c r="CC40" s="128">
        <f t="shared" si="35"/>
        <v>0</v>
      </c>
      <c r="CD40" s="128"/>
      <c r="CE40" s="128">
        <f t="shared" si="36"/>
        <v>0</v>
      </c>
      <c r="CF40" s="128"/>
      <c r="CG40" s="128">
        <f t="shared" si="37"/>
        <v>0</v>
      </c>
      <c r="CH40" s="128"/>
      <c r="CI40" s="128">
        <f t="shared" si="38"/>
        <v>0</v>
      </c>
      <c r="CJ40" s="128"/>
      <c r="CK40" s="128">
        <f t="shared" si="39"/>
        <v>0</v>
      </c>
      <c r="CL40" s="128">
        <v>0</v>
      </c>
      <c r="CM40" s="128">
        <f t="shared" si="40"/>
        <v>0</v>
      </c>
      <c r="CN40" s="128">
        <v>0</v>
      </c>
      <c r="CO40" s="128">
        <f t="shared" si="41"/>
        <v>0</v>
      </c>
      <c r="CP40" s="128"/>
      <c r="CQ40" s="128"/>
      <c r="CR40" s="128"/>
      <c r="CS40" s="128"/>
      <c r="CT40" s="128"/>
      <c r="CU40" s="128"/>
      <c r="CV40" s="128"/>
      <c r="CW40" s="128"/>
      <c r="CX40" s="128"/>
    </row>
    <row r="41" spans="1:102" ht="12.75" x14ac:dyDescent="0.2">
      <c r="A41" s="16" t="s">
        <v>710</v>
      </c>
      <c r="B41" s="43">
        <v>5500</v>
      </c>
      <c r="C41" s="43">
        <v>5500</v>
      </c>
      <c r="D41" s="43">
        <v>10000</v>
      </c>
      <c r="E41" s="26">
        <v>4500</v>
      </c>
      <c r="F41" s="10"/>
      <c r="G41" s="26"/>
      <c r="H41" s="10"/>
      <c r="I41" s="26"/>
      <c r="J41" s="10"/>
      <c r="K41" s="26"/>
      <c r="L41" s="10"/>
      <c r="M41" s="26"/>
      <c r="N41" s="10"/>
      <c r="O41" s="26"/>
      <c r="P41" s="10"/>
      <c r="Q41" s="26"/>
      <c r="R41" s="10"/>
      <c r="S41" s="83"/>
      <c r="T41" s="10"/>
      <c r="U41" s="83"/>
      <c r="V41" s="79"/>
      <c r="W41" s="83"/>
      <c r="X41" s="79"/>
      <c r="Y41" s="83"/>
      <c r="Z41" s="79"/>
      <c r="AA41" s="83"/>
      <c r="AB41" s="79"/>
      <c r="AC41" s="83"/>
      <c r="AD41" s="79"/>
      <c r="AE41" s="83"/>
      <c r="AF41" s="79"/>
      <c r="AG41" s="83"/>
      <c r="AH41" s="79"/>
      <c r="AI41" s="83"/>
      <c r="AJ41" s="79"/>
      <c r="AK41" s="83"/>
      <c r="AL41" s="79"/>
      <c r="AM41" s="83"/>
      <c r="AN41" s="79"/>
      <c r="AO41" s="83"/>
      <c r="AP41" s="79"/>
      <c r="AQ41" s="83"/>
      <c r="AR41" s="79"/>
      <c r="AS41" s="83"/>
      <c r="AT41" s="79"/>
      <c r="AU41" s="83"/>
      <c r="AV41" s="79"/>
      <c r="AW41" s="83"/>
      <c r="AX41" s="79"/>
      <c r="AY41" s="83"/>
      <c r="AZ41" s="79"/>
      <c r="BA41" s="83"/>
      <c r="BB41" s="79"/>
      <c r="BC41" s="83"/>
      <c r="BD41" s="79"/>
      <c r="BE41" s="83"/>
      <c r="BF41" s="79"/>
      <c r="BG41" s="83"/>
      <c r="BH41" s="79"/>
      <c r="BI41" s="83"/>
      <c r="BJ41" s="79"/>
      <c r="BK41" s="287"/>
      <c r="BL41" s="299"/>
      <c r="BM41" s="128"/>
      <c r="BN41" s="128"/>
      <c r="BO41" s="305"/>
      <c r="BP41" s="128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28"/>
      <c r="CB41" s="128"/>
      <c r="CC41" s="128">
        <v>1</v>
      </c>
      <c r="CD41" s="128">
        <v>1</v>
      </c>
      <c r="CE41" s="128">
        <f t="shared" si="36"/>
        <v>4500</v>
      </c>
      <c r="CF41" s="128"/>
      <c r="CG41" s="128">
        <f t="shared" si="37"/>
        <v>0</v>
      </c>
      <c r="CH41" s="128"/>
      <c r="CI41" s="128">
        <f t="shared" si="38"/>
        <v>0</v>
      </c>
      <c r="CJ41" s="128"/>
      <c r="CK41" s="128">
        <f t="shared" si="39"/>
        <v>0</v>
      </c>
      <c r="CL41" s="128">
        <v>0</v>
      </c>
      <c r="CM41" s="128">
        <f t="shared" si="40"/>
        <v>0</v>
      </c>
      <c r="CN41" s="128">
        <v>0</v>
      </c>
      <c r="CO41" s="128">
        <f t="shared" si="41"/>
        <v>0</v>
      </c>
      <c r="CP41" s="128"/>
      <c r="CQ41" s="128"/>
      <c r="CR41" s="128"/>
      <c r="CS41" s="128"/>
      <c r="CT41" s="128"/>
      <c r="CU41" s="128"/>
      <c r="CV41" s="128"/>
      <c r="CW41" s="128"/>
      <c r="CX41" s="128"/>
    </row>
    <row r="42" spans="1:102" ht="12.75" x14ac:dyDescent="0.2">
      <c r="A42" s="5" t="s">
        <v>115</v>
      </c>
      <c r="B42" s="15">
        <v>5500</v>
      </c>
      <c r="C42" s="15">
        <v>5500</v>
      </c>
      <c r="D42" s="15">
        <v>10000</v>
      </c>
      <c r="E42" s="15">
        <f t="shared" si="26"/>
        <v>4500</v>
      </c>
      <c r="F42" s="10">
        <v>0</v>
      </c>
      <c r="G42" s="15">
        <f t="shared" si="0"/>
        <v>0</v>
      </c>
      <c r="H42" s="10">
        <v>0</v>
      </c>
      <c r="I42" s="15">
        <f t="shared" si="1"/>
        <v>0</v>
      </c>
      <c r="J42" s="10">
        <v>0</v>
      </c>
      <c r="K42" s="15">
        <f t="shared" si="2"/>
        <v>0</v>
      </c>
      <c r="L42" s="10">
        <v>0</v>
      </c>
      <c r="M42" s="15">
        <f t="shared" si="3"/>
        <v>0</v>
      </c>
      <c r="N42" s="10">
        <v>0</v>
      </c>
      <c r="O42" s="15">
        <f t="shared" si="4"/>
        <v>0</v>
      </c>
      <c r="P42" s="10">
        <v>0</v>
      </c>
      <c r="Q42" s="15">
        <f t="shared" si="5"/>
        <v>0</v>
      </c>
      <c r="R42" s="10">
        <v>0</v>
      </c>
      <c r="S42" s="83">
        <f t="shared" si="6"/>
        <v>0</v>
      </c>
      <c r="T42" s="10">
        <v>0</v>
      </c>
      <c r="U42" s="83">
        <f t="shared" si="7"/>
        <v>0</v>
      </c>
      <c r="V42" s="78">
        <v>0</v>
      </c>
      <c r="W42" s="83">
        <f t="shared" si="8"/>
        <v>0</v>
      </c>
      <c r="X42" s="78">
        <v>0</v>
      </c>
      <c r="Y42" s="83">
        <f t="shared" si="9"/>
        <v>0</v>
      </c>
      <c r="Z42" s="78">
        <v>0</v>
      </c>
      <c r="AA42" s="83">
        <f t="shared" si="10"/>
        <v>0</v>
      </c>
      <c r="AB42" s="78">
        <v>0</v>
      </c>
      <c r="AC42" s="83">
        <f t="shared" si="11"/>
        <v>0</v>
      </c>
      <c r="AD42" s="78">
        <v>0</v>
      </c>
      <c r="AE42" s="83">
        <f t="shared" si="12"/>
        <v>0</v>
      </c>
      <c r="AF42" s="78">
        <v>0</v>
      </c>
      <c r="AG42" s="83">
        <f t="shared" si="13"/>
        <v>0</v>
      </c>
      <c r="AH42" s="80">
        <v>1</v>
      </c>
      <c r="AI42" s="83">
        <f t="shared" si="14"/>
        <v>4500</v>
      </c>
      <c r="AJ42" s="79">
        <v>0</v>
      </c>
      <c r="AK42" s="83">
        <f t="shared" si="15"/>
        <v>0</v>
      </c>
      <c r="AL42" s="79">
        <v>0</v>
      </c>
      <c r="AM42" s="83">
        <f t="shared" si="16"/>
        <v>0</v>
      </c>
      <c r="AN42" s="79">
        <v>0</v>
      </c>
      <c r="AO42" s="83">
        <f t="shared" si="17"/>
        <v>0</v>
      </c>
      <c r="AP42" s="79">
        <v>0</v>
      </c>
      <c r="AQ42" s="83">
        <f t="shared" si="18"/>
        <v>0</v>
      </c>
      <c r="AR42" s="79">
        <v>0</v>
      </c>
      <c r="AS42" s="83">
        <f t="shared" si="19"/>
        <v>0</v>
      </c>
      <c r="AT42" s="79">
        <v>0</v>
      </c>
      <c r="AU42" s="83">
        <f t="shared" si="20"/>
        <v>0</v>
      </c>
      <c r="AV42" s="79">
        <v>0</v>
      </c>
      <c r="AW42" s="83">
        <f t="shared" si="21"/>
        <v>0</v>
      </c>
      <c r="AX42" s="79">
        <v>0</v>
      </c>
      <c r="AY42" s="83">
        <f t="shared" si="22"/>
        <v>0</v>
      </c>
      <c r="AZ42" s="79">
        <v>0</v>
      </c>
      <c r="BA42" s="83">
        <f t="shared" si="23"/>
        <v>0</v>
      </c>
      <c r="BB42" s="79">
        <v>0</v>
      </c>
      <c r="BC42" s="83">
        <f t="shared" si="24"/>
        <v>0</v>
      </c>
      <c r="BD42" s="79">
        <v>0</v>
      </c>
      <c r="BE42" s="83">
        <f t="shared" si="25"/>
        <v>0</v>
      </c>
      <c r="BF42" s="79">
        <v>0</v>
      </c>
      <c r="BG42" s="83">
        <f t="shared" si="27"/>
        <v>0</v>
      </c>
      <c r="BH42" s="79">
        <v>0</v>
      </c>
      <c r="BI42" s="83">
        <f t="shared" si="28"/>
        <v>0</v>
      </c>
      <c r="BJ42" s="79">
        <v>0</v>
      </c>
      <c r="BK42" s="287">
        <f t="shared" si="29"/>
        <v>0</v>
      </c>
      <c r="BL42" s="299">
        <v>0</v>
      </c>
      <c r="BM42" s="128">
        <f t="shared" si="45"/>
        <v>0</v>
      </c>
      <c r="BN42" s="128"/>
      <c r="BO42" s="305">
        <f t="shared" si="42"/>
        <v>0</v>
      </c>
      <c r="BP42" s="128"/>
      <c r="BQ42" s="128">
        <f t="shared" si="43"/>
        <v>0</v>
      </c>
      <c r="BR42" s="128"/>
      <c r="BS42" s="128">
        <f t="shared" si="44"/>
        <v>0</v>
      </c>
      <c r="BT42" s="128"/>
      <c r="BU42" s="128">
        <f t="shared" si="31"/>
        <v>0</v>
      </c>
      <c r="BV42" s="128"/>
      <c r="BW42" s="128">
        <f t="shared" si="32"/>
        <v>0</v>
      </c>
      <c r="BX42" s="128">
        <v>1</v>
      </c>
      <c r="BY42" s="128">
        <f t="shared" si="33"/>
        <v>4500</v>
      </c>
      <c r="BZ42" s="128"/>
      <c r="CA42" s="128">
        <f t="shared" si="34"/>
        <v>0</v>
      </c>
      <c r="CB42" s="128"/>
      <c r="CC42" s="128">
        <f t="shared" si="35"/>
        <v>0</v>
      </c>
      <c r="CD42" s="128"/>
      <c r="CE42" s="128">
        <f t="shared" si="36"/>
        <v>0</v>
      </c>
      <c r="CF42" s="128"/>
      <c r="CG42" s="128">
        <f t="shared" si="37"/>
        <v>0</v>
      </c>
      <c r="CH42" s="128"/>
      <c r="CI42" s="128">
        <f t="shared" si="38"/>
        <v>0</v>
      </c>
      <c r="CJ42" s="128"/>
      <c r="CK42" s="128">
        <f t="shared" si="39"/>
        <v>0</v>
      </c>
      <c r="CL42" s="128">
        <v>0</v>
      </c>
      <c r="CM42" s="128">
        <f t="shared" si="40"/>
        <v>0</v>
      </c>
      <c r="CN42" s="128">
        <v>0</v>
      </c>
      <c r="CO42" s="128">
        <f t="shared" si="41"/>
        <v>0</v>
      </c>
      <c r="CP42" s="128"/>
      <c r="CQ42" s="128"/>
      <c r="CR42" s="128"/>
      <c r="CS42" s="128"/>
      <c r="CT42" s="128"/>
      <c r="CU42" s="128"/>
      <c r="CV42" s="128"/>
      <c r="CW42" s="128"/>
      <c r="CX42" s="128"/>
    </row>
    <row r="43" spans="1:102" ht="12.75" x14ac:dyDescent="0.2">
      <c r="A43" s="5" t="s">
        <v>116</v>
      </c>
      <c r="B43" s="15">
        <v>5500</v>
      </c>
      <c r="C43" s="15">
        <v>550</v>
      </c>
      <c r="D43" s="15">
        <v>1000</v>
      </c>
      <c r="E43" s="15">
        <f t="shared" si="26"/>
        <v>450</v>
      </c>
      <c r="F43" s="10">
        <v>6</v>
      </c>
      <c r="G43" s="15">
        <f t="shared" si="0"/>
        <v>2700</v>
      </c>
      <c r="H43" s="10">
        <v>21</v>
      </c>
      <c r="I43" s="15">
        <f t="shared" si="1"/>
        <v>9450</v>
      </c>
      <c r="J43" s="10">
        <v>1</v>
      </c>
      <c r="K43" s="15">
        <f t="shared" si="2"/>
        <v>450</v>
      </c>
      <c r="L43" s="10">
        <v>1</v>
      </c>
      <c r="M43" s="15">
        <f t="shared" si="3"/>
        <v>450</v>
      </c>
      <c r="N43" s="10">
        <v>0</v>
      </c>
      <c r="O43" s="15">
        <f t="shared" si="4"/>
        <v>0</v>
      </c>
      <c r="P43" s="10">
        <v>5</v>
      </c>
      <c r="Q43" s="15">
        <f t="shared" si="5"/>
        <v>2250</v>
      </c>
      <c r="R43" s="10">
        <v>11</v>
      </c>
      <c r="S43" s="83">
        <f t="shared" si="6"/>
        <v>4950</v>
      </c>
      <c r="T43" s="10">
        <v>2</v>
      </c>
      <c r="U43" s="83">
        <f t="shared" si="7"/>
        <v>900</v>
      </c>
      <c r="V43" s="79">
        <v>3</v>
      </c>
      <c r="W43" s="83">
        <f t="shared" si="8"/>
        <v>1350</v>
      </c>
      <c r="X43" s="79">
        <v>13</v>
      </c>
      <c r="Y43" s="83">
        <f t="shared" si="9"/>
        <v>5850</v>
      </c>
      <c r="Z43" s="79">
        <v>5</v>
      </c>
      <c r="AA43" s="83">
        <f t="shared" si="10"/>
        <v>2250</v>
      </c>
      <c r="AB43" s="79">
        <v>4</v>
      </c>
      <c r="AC43" s="83">
        <f t="shared" si="11"/>
        <v>1800</v>
      </c>
      <c r="AD43" s="79">
        <v>8</v>
      </c>
      <c r="AE43" s="83">
        <f t="shared" si="12"/>
        <v>3600</v>
      </c>
      <c r="AF43" s="79">
        <v>4</v>
      </c>
      <c r="AG43" s="83">
        <f t="shared" si="13"/>
        <v>1800</v>
      </c>
      <c r="AH43" s="80">
        <v>3</v>
      </c>
      <c r="AI43" s="83">
        <f t="shared" si="14"/>
        <v>1350</v>
      </c>
      <c r="AJ43" s="79">
        <v>0</v>
      </c>
      <c r="AK43" s="83">
        <f t="shared" si="15"/>
        <v>0</v>
      </c>
      <c r="AL43" s="79">
        <v>2</v>
      </c>
      <c r="AM43" s="83">
        <f t="shared" si="16"/>
        <v>900</v>
      </c>
      <c r="AN43" s="79">
        <v>0</v>
      </c>
      <c r="AO43" s="83">
        <f t="shared" si="17"/>
        <v>0</v>
      </c>
      <c r="AP43" s="79">
        <v>0</v>
      </c>
      <c r="AQ43" s="83">
        <f t="shared" si="18"/>
        <v>0</v>
      </c>
      <c r="AR43" s="79">
        <v>0</v>
      </c>
      <c r="AS43" s="83">
        <f t="shared" si="19"/>
        <v>0</v>
      </c>
      <c r="AT43" s="79">
        <v>1</v>
      </c>
      <c r="AU43" s="83">
        <f t="shared" si="20"/>
        <v>450</v>
      </c>
      <c r="AV43" s="79">
        <v>0</v>
      </c>
      <c r="AW43" s="83">
        <f t="shared" si="21"/>
        <v>0</v>
      </c>
      <c r="AX43" s="79">
        <v>3</v>
      </c>
      <c r="AY43" s="83">
        <f t="shared" si="22"/>
        <v>1350</v>
      </c>
      <c r="AZ43" s="79">
        <v>1</v>
      </c>
      <c r="BA43" s="83">
        <f t="shared" si="23"/>
        <v>450</v>
      </c>
      <c r="BB43" s="79">
        <v>1</v>
      </c>
      <c r="BC43" s="83">
        <f t="shared" si="24"/>
        <v>450</v>
      </c>
      <c r="BD43" s="79">
        <v>1</v>
      </c>
      <c r="BE43" s="83">
        <f t="shared" si="25"/>
        <v>450</v>
      </c>
      <c r="BF43" s="79">
        <v>4</v>
      </c>
      <c r="BG43" s="83">
        <f t="shared" si="27"/>
        <v>1800</v>
      </c>
      <c r="BH43" s="79">
        <v>2</v>
      </c>
      <c r="BI43" s="83">
        <f t="shared" si="28"/>
        <v>900</v>
      </c>
      <c r="BJ43" s="79">
        <v>9</v>
      </c>
      <c r="BK43" s="287">
        <f t="shared" si="29"/>
        <v>4050</v>
      </c>
      <c r="BL43" s="299">
        <v>0</v>
      </c>
      <c r="BM43" s="128">
        <f t="shared" si="45"/>
        <v>0</v>
      </c>
      <c r="BN43" s="128">
        <v>3</v>
      </c>
      <c r="BO43" s="305">
        <f t="shared" si="42"/>
        <v>1350</v>
      </c>
      <c r="BP43" s="277">
        <v>16</v>
      </c>
      <c r="BQ43" s="128">
        <f t="shared" si="43"/>
        <v>7200</v>
      </c>
      <c r="BR43" s="277">
        <v>4</v>
      </c>
      <c r="BS43" s="128">
        <f t="shared" si="44"/>
        <v>1800</v>
      </c>
      <c r="BT43" s="128">
        <v>5</v>
      </c>
      <c r="BU43" s="128">
        <f t="shared" si="31"/>
        <v>2250</v>
      </c>
      <c r="BV43" s="128">
        <v>6</v>
      </c>
      <c r="BW43" s="128">
        <f t="shared" si="32"/>
        <v>2700</v>
      </c>
      <c r="BX43" s="128">
        <v>10</v>
      </c>
      <c r="BY43" s="128">
        <f t="shared" si="33"/>
        <v>4500</v>
      </c>
      <c r="BZ43" s="277">
        <v>2</v>
      </c>
      <c r="CA43" s="128">
        <f t="shared" si="34"/>
        <v>900</v>
      </c>
      <c r="CB43" s="128">
        <v>4</v>
      </c>
      <c r="CC43" s="128">
        <f t="shared" si="35"/>
        <v>1800</v>
      </c>
      <c r="CD43" s="277">
        <v>22</v>
      </c>
      <c r="CE43" s="128">
        <f t="shared" si="36"/>
        <v>9900</v>
      </c>
      <c r="CF43" s="277">
        <v>6</v>
      </c>
      <c r="CG43" s="128">
        <f t="shared" si="37"/>
        <v>2700</v>
      </c>
      <c r="CH43" s="277">
        <v>4</v>
      </c>
      <c r="CI43" s="128">
        <f t="shared" si="38"/>
        <v>1800</v>
      </c>
      <c r="CJ43" s="277">
        <v>5</v>
      </c>
      <c r="CK43" s="128">
        <f t="shared" si="39"/>
        <v>2250</v>
      </c>
      <c r="CL43" s="128">
        <v>0</v>
      </c>
      <c r="CM43" s="128">
        <f>E43*CL43</f>
        <v>0</v>
      </c>
      <c r="CN43" s="128">
        <v>0</v>
      </c>
      <c r="CO43" s="128">
        <f t="shared" si="41"/>
        <v>0</v>
      </c>
      <c r="CP43" s="128"/>
      <c r="CQ43" s="128"/>
      <c r="CR43" s="128"/>
      <c r="CS43" s="128"/>
      <c r="CT43" s="128"/>
      <c r="CU43" s="128"/>
      <c r="CV43" s="128"/>
      <c r="CW43" s="128"/>
      <c r="CX43" s="128"/>
    </row>
    <row r="44" spans="1:102" ht="12.75" x14ac:dyDescent="0.2">
      <c r="A44" s="5" t="s">
        <v>117</v>
      </c>
      <c r="B44" s="15">
        <v>6500</v>
      </c>
      <c r="C44" s="15">
        <v>6500</v>
      </c>
      <c r="D44" s="15">
        <v>10000</v>
      </c>
      <c r="E44" s="15">
        <f t="shared" si="26"/>
        <v>3500</v>
      </c>
      <c r="F44" s="10">
        <v>0</v>
      </c>
      <c r="G44" s="15">
        <f t="shared" si="0"/>
        <v>0</v>
      </c>
      <c r="H44" s="10">
        <v>0</v>
      </c>
      <c r="I44" s="15">
        <f t="shared" si="1"/>
        <v>0</v>
      </c>
      <c r="J44" s="10">
        <v>0</v>
      </c>
      <c r="K44" s="15">
        <f t="shared" si="2"/>
        <v>0</v>
      </c>
      <c r="L44" s="10">
        <v>0</v>
      </c>
      <c r="M44" s="15">
        <f t="shared" si="3"/>
        <v>0</v>
      </c>
      <c r="N44" s="10">
        <v>0</v>
      </c>
      <c r="O44" s="15">
        <f t="shared" si="4"/>
        <v>0</v>
      </c>
      <c r="P44" s="10">
        <v>0</v>
      </c>
      <c r="Q44" s="15">
        <f t="shared" si="5"/>
        <v>0</v>
      </c>
      <c r="R44" s="10">
        <v>1</v>
      </c>
      <c r="S44" s="83">
        <f t="shared" si="6"/>
        <v>3500</v>
      </c>
      <c r="T44" s="10">
        <v>0</v>
      </c>
      <c r="U44" s="83">
        <f t="shared" si="7"/>
        <v>0</v>
      </c>
      <c r="V44" s="79">
        <v>1</v>
      </c>
      <c r="W44" s="83">
        <f t="shared" si="8"/>
        <v>3500</v>
      </c>
      <c r="X44" s="78">
        <v>0</v>
      </c>
      <c r="Y44" s="83">
        <f t="shared" si="9"/>
        <v>0</v>
      </c>
      <c r="Z44" s="78">
        <v>0</v>
      </c>
      <c r="AA44" s="83">
        <f t="shared" si="10"/>
        <v>0</v>
      </c>
      <c r="AB44" s="78">
        <v>0</v>
      </c>
      <c r="AC44" s="83">
        <f t="shared" si="11"/>
        <v>0</v>
      </c>
      <c r="AD44" s="78">
        <v>0</v>
      </c>
      <c r="AE44" s="83">
        <f t="shared" si="12"/>
        <v>0</v>
      </c>
      <c r="AF44" s="78">
        <v>0</v>
      </c>
      <c r="AG44" s="83">
        <f t="shared" si="13"/>
        <v>0</v>
      </c>
      <c r="AH44" s="80">
        <v>3</v>
      </c>
      <c r="AI44" s="83">
        <f t="shared" si="14"/>
        <v>10500</v>
      </c>
      <c r="AJ44" s="79">
        <v>0</v>
      </c>
      <c r="AK44" s="83">
        <f t="shared" si="15"/>
        <v>0</v>
      </c>
      <c r="AL44" s="79">
        <v>0</v>
      </c>
      <c r="AM44" s="83">
        <f t="shared" si="16"/>
        <v>0</v>
      </c>
      <c r="AN44" s="79">
        <v>0</v>
      </c>
      <c r="AO44" s="83">
        <f t="shared" si="17"/>
        <v>0</v>
      </c>
      <c r="AP44" s="79">
        <v>0</v>
      </c>
      <c r="AQ44" s="83">
        <f t="shared" si="18"/>
        <v>0</v>
      </c>
      <c r="AR44" s="79">
        <v>0</v>
      </c>
      <c r="AS44" s="83">
        <f t="shared" si="19"/>
        <v>0</v>
      </c>
      <c r="AT44" s="79">
        <v>0</v>
      </c>
      <c r="AU44" s="83">
        <f t="shared" si="20"/>
        <v>0</v>
      </c>
      <c r="AV44" s="79">
        <v>0</v>
      </c>
      <c r="AW44" s="83">
        <f t="shared" si="21"/>
        <v>0</v>
      </c>
      <c r="AX44" s="79">
        <v>1</v>
      </c>
      <c r="AY44" s="83">
        <f t="shared" si="22"/>
        <v>3500</v>
      </c>
      <c r="AZ44" s="79">
        <v>3</v>
      </c>
      <c r="BA44" s="83">
        <f t="shared" si="23"/>
        <v>10500</v>
      </c>
      <c r="BB44" s="79">
        <v>1</v>
      </c>
      <c r="BC44" s="83">
        <f t="shared" si="24"/>
        <v>3500</v>
      </c>
      <c r="BD44" s="79">
        <v>0</v>
      </c>
      <c r="BE44" s="83">
        <f t="shared" si="25"/>
        <v>0</v>
      </c>
      <c r="BF44" s="79">
        <v>0</v>
      </c>
      <c r="BG44" s="83">
        <f t="shared" si="27"/>
        <v>0</v>
      </c>
      <c r="BH44" s="79">
        <v>0</v>
      </c>
      <c r="BI44" s="83">
        <f t="shared" si="28"/>
        <v>0</v>
      </c>
      <c r="BJ44" s="79">
        <v>0</v>
      </c>
      <c r="BK44" s="287">
        <f t="shared" si="29"/>
        <v>0</v>
      </c>
      <c r="BL44" s="299">
        <v>0</v>
      </c>
      <c r="BM44" s="128">
        <f t="shared" si="45"/>
        <v>0</v>
      </c>
      <c r="BN44" s="128"/>
      <c r="BO44" s="305">
        <f t="shared" si="42"/>
        <v>0</v>
      </c>
      <c r="BP44" s="128"/>
      <c r="BQ44" s="128">
        <f t="shared" si="43"/>
        <v>0</v>
      </c>
      <c r="BR44" s="128">
        <v>1</v>
      </c>
      <c r="BS44" s="128">
        <f t="shared" si="44"/>
        <v>3500</v>
      </c>
      <c r="BT44" s="128"/>
      <c r="BU44" s="128">
        <f t="shared" si="31"/>
        <v>0</v>
      </c>
      <c r="BV44" s="128"/>
      <c r="BW44" s="128">
        <f t="shared" si="32"/>
        <v>0</v>
      </c>
      <c r="BX44" s="128"/>
      <c r="BY44" s="128">
        <f t="shared" si="33"/>
        <v>0</v>
      </c>
      <c r="BZ44" s="128"/>
      <c r="CA44" s="128">
        <f t="shared" si="34"/>
        <v>0</v>
      </c>
      <c r="CB44" s="128"/>
      <c r="CC44" s="128">
        <f t="shared" si="35"/>
        <v>0</v>
      </c>
      <c r="CD44" s="128"/>
      <c r="CE44" s="128">
        <f t="shared" si="36"/>
        <v>0</v>
      </c>
      <c r="CF44" s="128"/>
      <c r="CG44" s="128">
        <f t="shared" si="37"/>
        <v>0</v>
      </c>
      <c r="CH44" s="128"/>
      <c r="CI44" s="128">
        <f t="shared" si="38"/>
        <v>0</v>
      </c>
      <c r="CJ44" s="128"/>
      <c r="CK44" s="128">
        <f t="shared" si="39"/>
        <v>0</v>
      </c>
      <c r="CL44" s="128">
        <v>0</v>
      </c>
      <c r="CM44" s="128">
        <f t="shared" si="40"/>
        <v>0</v>
      </c>
      <c r="CN44" s="128">
        <v>0</v>
      </c>
      <c r="CO44" s="128">
        <f t="shared" si="41"/>
        <v>0</v>
      </c>
      <c r="CP44" s="128"/>
      <c r="CQ44" s="128"/>
      <c r="CR44" s="128"/>
      <c r="CS44" s="128"/>
      <c r="CT44" s="128"/>
      <c r="CU44" s="128"/>
      <c r="CV44" s="128"/>
      <c r="CW44" s="128"/>
      <c r="CX44" s="128"/>
    </row>
    <row r="45" spans="1:102" ht="12.75" x14ac:dyDescent="0.2">
      <c r="A45" s="5" t="s">
        <v>118</v>
      </c>
      <c r="B45" s="15">
        <v>6500</v>
      </c>
      <c r="C45" s="15">
        <v>650</v>
      </c>
      <c r="D45" s="15">
        <v>1000</v>
      </c>
      <c r="E45" s="15">
        <f t="shared" si="26"/>
        <v>350</v>
      </c>
      <c r="F45" s="10">
        <v>0</v>
      </c>
      <c r="G45" s="15">
        <f t="shared" si="0"/>
        <v>0</v>
      </c>
      <c r="H45" s="10">
        <v>10</v>
      </c>
      <c r="I45" s="15">
        <f t="shared" si="1"/>
        <v>3500</v>
      </c>
      <c r="J45" s="10">
        <v>0</v>
      </c>
      <c r="K45" s="15">
        <f t="shared" si="2"/>
        <v>0</v>
      </c>
      <c r="L45" s="10">
        <v>2</v>
      </c>
      <c r="M45" s="15">
        <f t="shared" si="3"/>
        <v>700</v>
      </c>
      <c r="N45" s="10">
        <v>3</v>
      </c>
      <c r="O45" s="15">
        <f t="shared" si="4"/>
        <v>1050</v>
      </c>
      <c r="P45" s="10">
        <v>11</v>
      </c>
      <c r="Q45" s="15">
        <f t="shared" si="5"/>
        <v>3850</v>
      </c>
      <c r="R45" s="10">
        <v>1</v>
      </c>
      <c r="S45" s="83">
        <f t="shared" si="6"/>
        <v>350</v>
      </c>
      <c r="T45" s="10">
        <v>7</v>
      </c>
      <c r="U45" s="83">
        <f t="shared" si="7"/>
        <v>2450</v>
      </c>
      <c r="V45" s="79">
        <v>14</v>
      </c>
      <c r="W45" s="83">
        <f t="shared" si="8"/>
        <v>4900</v>
      </c>
      <c r="X45" s="78">
        <v>0</v>
      </c>
      <c r="Y45" s="83">
        <f t="shared" si="9"/>
        <v>0</v>
      </c>
      <c r="Z45" s="79">
        <v>2</v>
      </c>
      <c r="AA45" s="83">
        <f t="shared" si="10"/>
        <v>700</v>
      </c>
      <c r="AB45" s="79">
        <v>7</v>
      </c>
      <c r="AC45" s="83">
        <f t="shared" si="11"/>
        <v>2450</v>
      </c>
      <c r="AD45" s="78">
        <v>0</v>
      </c>
      <c r="AE45" s="83">
        <f t="shared" si="12"/>
        <v>0</v>
      </c>
      <c r="AF45" s="79">
        <v>4</v>
      </c>
      <c r="AG45" s="83">
        <f t="shared" si="13"/>
        <v>1400</v>
      </c>
      <c r="AH45" s="80">
        <v>0</v>
      </c>
      <c r="AI45" s="83">
        <f t="shared" si="14"/>
        <v>0</v>
      </c>
      <c r="AJ45" s="79">
        <v>3</v>
      </c>
      <c r="AK45" s="83">
        <f t="shared" si="15"/>
        <v>1050</v>
      </c>
      <c r="AL45" s="79">
        <v>11</v>
      </c>
      <c r="AM45" s="83">
        <f t="shared" si="16"/>
        <v>3850</v>
      </c>
      <c r="AN45" s="79">
        <v>0</v>
      </c>
      <c r="AO45" s="83">
        <f t="shared" si="17"/>
        <v>0</v>
      </c>
      <c r="AP45" s="79">
        <v>15</v>
      </c>
      <c r="AQ45" s="83">
        <f t="shared" si="18"/>
        <v>5250</v>
      </c>
      <c r="AR45" s="79">
        <v>11</v>
      </c>
      <c r="AS45" s="83">
        <f t="shared" si="19"/>
        <v>3850</v>
      </c>
      <c r="AT45" s="79">
        <v>6</v>
      </c>
      <c r="AU45" s="83">
        <f t="shared" si="20"/>
        <v>2100</v>
      </c>
      <c r="AV45" s="79">
        <v>1</v>
      </c>
      <c r="AW45" s="83">
        <f t="shared" si="21"/>
        <v>350</v>
      </c>
      <c r="AX45" s="79">
        <v>9</v>
      </c>
      <c r="AY45" s="83">
        <f t="shared" si="22"/>
        <v>3150</v>
      </c>
      <c r="AZ45" s="79">
        <v>6</v>
      </c>
      <c r="BA45" s="83">
        <f t="shared" si="23"/>
        <v>2100</v>
      </c>
      <c r="BB45" s="79">
        <v>24</v>
      </c>
      <c r="BC45" s="83">
        <f t="shared" si="24"/>
        <v>8400</v>
      </c>
      <c r="BD45" s="79">
        <v>0</v>
      </c>
      <c r="BE45" s="83">
        <f t="shared" si="25"/>
        <v>0</v>
      </c>
      <c r="BF45" s="79">
        <v>15</v>
      </c>
      <c r="BG45" s="83">
        <f t="shared" si="27"/>
        <v>5250</v>
      </c>
      <c r="BH45" s="79">
        <v>10</v>
      </c>
      <c r="BI45" s="83">
        <f t="shared" si="28"/>
        <v>3500</v>
      </c>
      <c r="BJ45" s="79">
        <v>15</v>
      </c>
      <c r="BK45" s="287">
        <f t="shared" si="29"/>
        <v>5250</v>
      </c>
      <c r="BL45" s="128">
        <v>4</v>
      </c>
      <c r="BM45" s="128">
        <f t="shared" si="45"/>
        <v>1400</v>
      </c>
      <c r="BN45" s="128"/>
      <c r="BO45" s="305">
        <f t="shared" si="42"/>
        <v>0</v>
      </c>
      <c r="BP45" s="280">
        <v>15</v>
      </c>
      <c r="BQ45" s="128">
        <f t="shared" si="43"/>
        <v>5250</v>
      </c>
      <c r="BR45" s="280">
        <v>2</v>
      </c>
      <c r="BS45" s="128">
        <f t="shared" si="44"/>
        <v>700</v>
      </c>
      <c r="BT45" s="291"/>
      <c r="BU45" s="128">
        <f t="shared" si="31"/>
        <v>0</v>
      </c>
      <c r="BV45" s="128">
        <v>3</v>
      </c>
      <c r="BW45" s="128">
        <f t="shared" si="32"/>
        <v>1050</v>
      </c>
      <c r="BX45" s="128"/>
      <c r="BY45" s="128">
        <f t="shared" si="33"/>
        <v>0</v>
      </c>
      <c r="BZ45" s="280">
        <v>7</v>
      </c>
      <c r="CA45" s="128">
        <f t="shared" si="34"/>
        <v>2450</v>
      </c>
      <c r="CB45" s="128">
        <v>5</v>
      </c>
      <c r="CC45" s="128">
        <f t="shared" si="35"/>
        <v>1750</v>
      </c>
      <c r="CD45" s="280">
        <v>9</v>
      </c>
      <c r="CE45" s="128">
        <f t="shared" si="36"/>
        <v>3150</v>
      </c>
      <c r="CF45" s="280">
        <v>7</v>
      </c>
      <c r="CG45" s="128">
        <f t="shared" si="37"/>
        <v>2450</v>
      </c>
      <c r="CH45" s="280">
        <v>3</v>
      </c>
      <c r="CI45" s="128">
        <f t="shared" si="38"/>
        <v>1050</v>
      </c>
      <c r="CJ45" s="280">
        <v>5</v>
      </c>
      <c r="CK45" s="128">
        <f t="shared" si="39"/>
        <v>1750</v>
      </c>
      <c r="CL45" s="128">
        <v>0</v>
      </c>
      <c r="CM45" s="128">
        <f t="shared" si="40"/>
        <v>0</v>
      </c>
      <c r="CN45" s="128">
        <v>0</v>
      </c>
      <c r="CO45" s="128">
        <f t="shared" si="41"/>
        <v>0</v>
      </c>
      <c r="CP45" s="128"/>
      <c r="CQ45" s="128"/>
      <c r="CR45" s="128"/>
      <c r="CS45" s="128"/>
      <c r="CT45" s="128"/>
      <c r="CU45" s="128"/>
      <c r="CV45" s="128"/>
      <c r="CW45" s="128"/>
      <c r="CX45" s="128"/>
    </row>
    <row r="46" spans="1:102" ht="12.75" x14ac:dyDescent="0.2">
      <c r="A46" s="5" t="s">
        <v>119</v>
      </c>
      <c r="B46" s="15">
        <v>5500</v>
      </c>
      <c r="C46" s="15">
        <v>5500</v>
      </c>
      <c r="D46" s="15">
        <v>10000</v>
      </c>
      <c r="E46" s="15">
        <f t="shared" si="26"/>
        <v>4500</v>
      </c>
      <c r="F46" s="10">
        <v>0</v>
      </c>
      <c r="G46" s="15">
        <f t="shared" si="0"/>
        <v>0</v>
      </c>
      <c r="H46" s="10">
        <v>0</v>
      </c>
      <c r="I46" s="15">
        <f t="shared" si="1"/>
        <v>0</v>
      </c>
      <c r="J46" s="10">
        <v>0</v>
      </c>
      <c r="K46" s="15">
        <f t="shared" si="2"/>
        <v>0</v>
      </c>
      <c r="L46" s="10">
        <v>0</v>
      </c>
      <c r="M46" s="15">
        <f t="shared" si="3"/>
        <v>0</v>
      </c>
      <c r="N46" s="10">
        <v>0</v>
      </c>
      <c r="O46" s="15">
        <f t="shared" si="4"/>
        <v>0</v>
      </c>
      <c r="P46" s="10">
        <v>1</v>
      </c>
      <c r="Q46" s="15">
        <f t="shared" si="5"/>
        <v>4500</v>
      </c>
      <c r="R46" s="10">
        <v>0</v>
      </c>
      <c r="S46" s="83">
        <f t="shared" si="6"/>
        <v>0</v>
      </c>
      <c r="T46" s="10">
        <v>0</v>
      </c>
      <c r="U46" s="83">
        <f t="shared" si="7"/>
        <v>0</v>
      </c>
      <c r="V46" s="78">
        <v>0</v>
      </c>
      <c r="W46" s="83">
        <f t="shared" si="8"/>
        <v>0</v>
      </c>
      <c r="X46" s="78">
        <v>0</v>
      </c>
      <c r="Y46" s="83">
        <f t="shared" si="9"/>
        <v>0</v>
      </c>
      <c r="Z46" s="78">
        <v>0</v>
      </c>
      <c r="AA46" s="83">
        <f t="shared" si="10"/>
        <v>0</v>
      </c>
      <c r="AB46" s="78">
        <v>0</v>
      </c>
      <c r="AC46" s="83">
        <f t="shared" si="11"/>
        <v>0</v>
      </c>
      <c r="AD46" s="78">
        <v>0</v>
      </c>
      <c r="AE46" s="83">
        <f t="shared" si="12"/>
        <v>0</v>
      </c>
      <c r="AF46" s="78">
        <v>0</v>
      </c>
      <c r="AG46" s="83">
        <f t="shared" si="13"/>
        <v>0</v>
      </c>
      <c r="AH46" s="80">
        <v>0</v>
      </c>
      <c r="AI46" s="83">
        <f t="shared" si="14"/>
        <v>0</v>
      </c>
      <c r="AJ46" s="79">
        <v>0</v>
      </c>
      <c r="AK46" s="83">
        <f t="shared" si="15"/>
        <v>0</v>
      </c>
      <c r="AL46" s="79">
        <v>0</v>
      </c>
      <c r="AM46" s="83">
        <f t="shared" si="16"/>
        <v>0</v>
      </c>
      <c r="AN46" s="79">
        <v>0</v>
      </c>
      <c r="AO46" s="83">
        <f t="shared" si="17"/>
        <v>0</v>
      </c>
      <c r="AP46" s="79">
        <v>0</v>
      </c>
      <c r="AQ46" s="83">
        <f t="shared" si="18"/>
        <v>0</v>
      </c>
      <c r="AR46" s="79">
        <v>0</v>
      </c>
      <c r="AS46" s="83">
        <f t="shared" si="19"/>
        <v>0</v>
      </c>
      <c r="AT46" s="79">
        <v>0</v>
      </c>
      <c r="AU46" s="83">
        <f t="shared" si="20"/>
        <v>0</v>
      </c>
      <c r="AV46" s="79">
        <v>0</v>
      </c>
      <c r="AW46" s="83">
        <f t="shared" si="21"/>
        <v>0</v>
      </c>
      <c r="AX46" s="79">
        <v>0</v>
      </c>
      <c r="AY46" s="83">
        <f t="shared" si="22"/>
        <v>0</v>
      </c>
      <c r="AZ46" s="79">
        <v>0</v>
      </c>
      <c r="BA46" s="83">
        <f t="shared" si="23"/>
        <v>0</v>
      </c>
      <c r="BB46" s="79">
        <v>0</v>
      </c>
      <c r="BC46" s="83">
        <f t="shared" si="24"/>
        <v>0</v>
      </c>
      <c r="BD46" s="79">
        <v>0</v>
      </c>
      <c r="BE46" s="83">
        <f t="shared" si="25"/>
        <v>0</v>
      </c>
      <c r="BF46" s="79">
        <v>0</v>
      </c>
      <c r="BG46" s="83">
        <f t="shared" si="27"/>
        <v>0</v>
      </c>
      <c r="BH46" s="79">
        <v>0</v>
      </c>
      <c r="BI46" s="83">
        <f t="shared" si="28"/>
        <v>0</v>
      </c>
      <c r="BJ46" s="79">
        <v>0</v>
      </c>
      <c r="BK46" s="287">
        <f t="shared" si="29"/>
        <v>0</v>
      </c>
      <c r="BL46" s="299">
        <v>0</v>
      </c>
      <c r="BM46" s="128">
        <f t="shared" si="45"/>
        <v>0</v>
      </c>
      <c r="BN46" s="128"/>
      <c r="BO46" s="305">
        <f t="shared" si="42"/>
        <v>0</v>
      </c>
      <c r="BP46" s="128"/>
      <c r="BQ46" s="128">
        <f t="shared" si="43"/>
        <v>0</v>
      </c>
      <c r="BR46" s="128"/>
      <c r="BS46" s="128">
        <f t="shared" si="44"/>
        <v>0</v>
      </c>
      <c r="BT46" s="128"/>
      <c r="BU46" s="128">
        <f t="shared" si="31"/>
        <v>0</v>
      </c>
      <c r="BV46" s="128"/>
      <c r="BW46" s="128">
        <f t="shared" si="32"/>
        <v>0</v>
      </c>
      <c r="BX46" s="128"/>
      <c r="BY46" s="128">
        <f t="shared" si="33"/>
        <v>0</v>
      </c>
      <c r="BZ46" s="128"/>
      <c r="CA46" s="128">
        <f t="shared" si="34"/>
        <v>0</v>
      </c>
      <c r="CB46" s="128"/>
      <c r="CC46" s="128">
        <f t="shared" si="35"/>
        <v>0</v>
      </c>
      <c r="CD46" s="128"/>
      <c r="CE46" s="128">
        <f t="shared" si="36"/>
        <v>0</v>
      </c>
      <c r="CF46" s="128"/>
      <c r="CG46" s="128">
        <f t="shared" si="37"/>
        <v>0</v>
      </c>
      <c r="CH46" s="128"/>
      <c r="CI46" s="128">
        <f t="shared" si="38"/>
        <v>0</v>
      </c>
      <c r="CJ46" s="128"/>
      <c r="CK46" s="128">
        <f t="shared" si="39"/>
        <v>0</v>
      </c>
      <c r="CL46" s="128">
        <v>0</v>
      </c>
      <c r="CM46" s="128">
        <f t="shared" si="40"/>
        <v>0</v>
      </c>
      <c r="CN46" s="128">
        <v>0</v>
      </c>
      <c r="CO46" s="128">
        <f t="shared" si="41"/>
        <v>0</v>
      </c>
      <c r="CP46" s="128"/>
      <c r="CQ46" s="128"/>
      <c r="CR46" s="128"/>
      <c r="CS46" s="128"/>
      <c r="CT46" s="128"/>
      <c r="CU46" s="128"/>
      <c r="CV46" s="128"/>
      <c r="CW46" s="128"/>
      <c r="CX46" s="128"/>
    </row>
    <row r="47" spans="1:102" ht="12.75" x14ac:dyDescent="0.2">
      <c r="A47" s="5" t="s">
        <v>120</v>
      </c>
      <c r="B47" s="15">
        <v>550</v>
      </c>
      <c r="C47" s="15">
        <v>550</v>
      </c>
      <c r="D47" s="15">
        <v>1000</v>
      </c>
      <c r="E47" s="15">
        <f t="shared" si="26"/>
        <v>450</v>
      </c>
      <c r="F47" s="10">
        <v>0</v>
      </c>
      <c r="G47" s="15">
        <f t="shared" si="0"/>
        <v>0</v>
      </c>
      <c r="H47" s="10">
        <v>0</v>
      </c>
      <c r="I47" s="15">
        <f t="shared" si="1"/>
        <v>0</v>
      </c>
      <c r="J47" s="10">
        <v>0</v>
      </c>
      <c r="K47" s="15">
        <f t="shared" si="2"/>
        <v>0</v>
      </c>
      <c r="L47" s="10">
        <v>0</v>
      </c>
      <c r="M47" s="15">
        <f t="shared" si="3"/>
        <v>0</v>
      </c>
      <c r="N47" s="10">
        <v>0</v>
      </c>
      <c r="O47" s="15">
        <f t="shared" si="4"/>
        <v>0</v>
      </c>
      <c r="P47" s="10">
        <v>0</v>
      </c>
      <c r="Q47" s="15">
        <f t="shared" si="5"/>
        <v>0</v>
      </c>
      <c r="R47" s="10">
        <v>0</v>
      </c>
      <c r="S47" s="83">
        <f t="shared" si="6"/>
        <v>0</v>
      </c>
      <c r="T47" s="10">
        <v>0</v>
      </c>
      <c r="U47" s="83">
        <f t="shared" si="7"/>
        <v>0</v>
      </c>
      <c r="V47" s="78">
        <v>0</v>
      </c>
      <c r="W47" s="83">
        <f t="shared" si="8"/>
        <v>0</v>
      </c>
      <c r="X47" s="79">
        <v>4</v>
      </c>
      <c r="Y47" s="83">
        <f t="shared" si="9"/>
        <v>1800</v>
      </c>
      <c r="Z47" s="78">
        <v>0</v>
      </c>
      <c r="AA47" s="83">
        <f t="shared" si="10"/>
        <v>0</v>
      </c>
      <c r="AB47" s="78">
        <v>0</v>
      </c>
      <c r="AC47" s="83">
        <f t="shared" si="11"/>
        <v>0</v>
      </c>
      <c r="AD47" s="78">
        <v>0</v>
      </c>
      <c r="AE47" s="83">
        <f t="shared" si="12"/>
        <v>0</v>
      </c>
      <c r="AF47" s="79">
        <v>2</v>
      </c>
      <c r="AG47" s="83">
        <f t="shared" si="13"/>
        <v>900</v>
      </c>
      <c r="AH47" s="80">
        <v>0</v>
      </c>
      <c r="AI47" s="83">
        <f t="shared" si="14"/>
        <v>0</v>
      </c>
      <c r="AJ47" s="79">
        <v>0</v>
      </c>
      <c r="AK47" s="83">
        <f t="shared" si="15"/>
        <v>0</v>
      </c>
      <c r="AL47" s="79">
        <v>7</v>
      </c>
      <c r="AM47" s="83">
        <f t="shared" si="16"/>
        <v>3150</v>
      </c>
      <c r="AN47" s="79">
        <v>0</v>
      </c>
      <c r="AO47" s="83">
        <f t="shared" si="17"/>
        <v>0</v>
      </c>
      <c r="AP47" s="79">
        <v>0</v>
      </c>
      <c r="AQ47" s="83">
        <f t="shared" si="18"/>
        <v>0</v>
      </c>
      <c r="AR47" s="79">
        <v>3</v>
      </c>
      <c r="AS47" s="83">
        <f t="shared" si="19"/>
        <v>1350</v>
      </c>
      <c r="AT47" s="79">
        <v>0</v>
      </c>
      <c r="AU47" s="83">
        <f t="shared" si="20"/>
        <v>0</v>
      </c>
      <c r="AV47" s="79">
        <v>0</v>
      </c>
      <c r="AW47" s="83">
        <f t="shared" si="21"/>
        <v>0</v>
      </c>
      <c r="AX47" s="79">
        <v>0</v>
      </c>
      <c r="AY47" s="83">
        <f t="shared" si="22"/>
        <v>0</v>
      </c>
      <c r="AZ47" s="79">
        <v>0</v>
      </c>
      <c r="BA47" s="83">
        <f t="shared" si="23"/>
        <v>0</v>
      </c>
      <c r="BB47" s="79">
        <v>0</v>
      </c>
      <c r="BC47" s="83">
        <f t="shared" si="24"/>
        <v>0</v>
      </c>
      <c r="BD47" s="79">
        <v>2</v>
      </c>
      <c r="BE47" s="83">
        <f t="shared" si="25"/>
        <v>900</v>
      </c>
      <c r="BF47" s="79">
        <v>0</v>
      </c>
      <c r="BG47" s="83">
        <f t="shared" si="27"/>
        <v>0</v>
      </c>
      <c r="BH47" s="79">
        <v>3</v>
      </c>
      <c r="BI47" s="83">
        <f t="shared" si="28"/>
        <v>1350</v>
      </c>
      <c r="BJ47" s="79">
        <v>9</v>
      </c>
      <c r="BK47" s="287">
        <f t="shared" si="29"/>
        <v>4050</v>
      </c>
      <c r="BL47" s="299">
        <v>0</v>
      </c>
      <c r="BM47" s="128">
        <f t="shared" si="45"/>
        <v>0</v>
      </c>
      <c r="BN47" s="128"/>
      <c r="BO47" s="305">
        <f t="shared" si="42"/>
        <v>0</v>
      </c>
      <c r="BP47" s="200"/>
      <c r="BQ47" s="128">
        <f t="shared" si="43"/>
        <v>0</v>
      </c>
      <c r="BR47" s="200">
        <v>1</v>
      </c>
      <c r="BS47" s="128">
        <f t="shared" si="44"/>
        <v>450</v>
      </c>
      <c r="BT47" s="128"/>
      <c r="BU47" s="128">
        <f t="shared" si="31"/>
        <v>0</v>
      </c>
      <c r="BV47" s="128">
        <v>8</v>
      </c>
      <c r="BW47" s="128">
        <f t="shared" si="32"/>
        <v>3600</v>
      </c>
      <c r="BX47" s="128"/>
      <c r="BY47" s="128">
        <f t="shared" si="33"/>
        <v>0</v>
      </c>
      <c r="BZ47" s="200">
        <v>10</v>
      </c>
      <c r="CA47" s="128">
        <f t="shared" si="34"/>
        <v>4500</v>
      </c>
      <c r="CB47" s="128"/>
      <c r="CC47" s="128">
        <f t="shared" si="35"/>
        <v>0</v>
      </c>
      <c r="CD47" s="200">
        <v>5</v>
      </c>
      <c r="CE47" s="128">
        <f t="shared" si="36"/>
        <v>2250</v>
      </c>
      <c r="CF47" s="200">
        <v>2</v>
      </c>
      <c r="CG47" s="128">
        <f t="shared" si="37"/>
        <v>900</v>
      </c>
      <c r="CH47" s="128"/>
      <c r="CI47" s="128">
        <f t="shared" si="38"/>
        <v>0</v>
      </c>
      <c r="CJ47" s="128"/>
      <c r="CK47" s="128">
        <f t="shared" si="39"/>
        <v>0</v>
      </c>
      <c r="CL47" s="128">
        <v>0</v>
      </c>
      <c r="CM47" s="128">
        <f t="shared" si="40"/>
        <v>0</v>
      </c>
      <c r="CN47" s="128">
        <v>0</v>
      </c>
      <c r="CO47" s="128">
        <f t="shared" si="41"/>
        <v>0</v>
      </c>
      <c r="CP47" s="128"/>
      <c r="CQ47" s="128"/>
      <c r="CR47" s="128"/>
      <c r="CS47" s="128"/>
      <c r="CT47" s="128"/>
      <c r="CU47" s="128"/>
      <c r="CV47" s="128"/>
      <c r="CW47" s="128"/>
      <c r="CX47" s="128"/>
    </row>
    <row r="48" spans="1:102" ht="12.75" x14ac:dyDescent="0.2">
      <c r="A48" s="5" t="s">
        <v>121</v>
      </c>
      <c r="B48" s="15">
        <v>5900</v>
      </c>
      <c r="C48" s="15">
        <v>5900</v>
      </c>
      <c r="D48" s="15">
        <v>10000</v>
      </c>
      <c r="E48" s="15">
        <f t="shared" si="26"/>
        <v>4100</v>
      </c>
      <c r="F48" s="10">
        <v>0</v>
      </c>
      <c r="G48" s="15">
        <f t="shared" si="0"/>
        <v>0</v>
      </c>
      <c r="H48" s="10">
        <v>0</v>
      </c>
      <c r="I48" s="15">
        <f t="shared" si="1"/>
        <v>0</v>
      </c>
      <c r="J48" s="10">
        <v>0</v>
      </c>
      <c r="K48" s="15">
        <f t="shared" si="2"/>
        <v>0</v>
      </c>
      <c r="L48" s="10">
        <v>0</v>
      </c>
      <c r="M48" s="15">
        <f t="shared" si="3"/>
        <v>0</v>
      </c>
      <c r="N48" s="10">
        <v>0</v>
      </c>
      <c r="O48" s="15">
        <f t="shared" si="4"/>
        <v>0</v>
      </c>
      <c r="P48" s="10">
        <v>0</v>
      </c>
      <c r="Q48" s="15">
        <f t="shared" si="5"/>
        <v>0</v>
      </c>
      <c r="R48" s="10">
        <v>0</v>
      </c>
      <c r="S48" s="83">
        <f t="shared" si="6"/>
        <v>0</v>
      </c>
      <c r="T48" s="10">
        <v>0</v>
      </c>
      <c r="U48" s="83">
        <f t="shared" si="7"/>
        <v>0</v>
      </c>
      <c r="V48" s="78">
        <v>0</v>
      </c>
      <c r="W48" s="83">
        <f t="shared" si="8"/>
        <v>0</v>
      </c>
      <c r="X48" s="78">
        <v>0</v>
      </c>
      <c r="Y48" s="83">
        <f t="shared" si="9"/>
        <v>0</v>
      </c>
      <c r="Z48" s="78">
        <v>0</v>
      </c>
      <c r="AA48" s="83">
        <f t="shared" si="10"/>
        <v>0</v>
      </c>
      <c r="AB48" s="78">
        <v>0</v>
      </c>
      <c r="AC48" s="83">
        <f t="shared" si="11"/>
        <v>0</v>
      </c>
      <c r="AD48" s="78">
        <v>0</v>
      </c>
      <c r="AE48" s="83">
        <f t="shared" si="12"/>
        <v>0</v>
      </c>
      <c r="AF48" s="78">
        <v>0</v>
      </c>
      <c r="AG48" s="83">
        <f t="shared" si="13"/>
        <v>0</v>
      </c>
      <c r="AH48" s="80">
        <v>0</v>
      </c>
      <c r="AI48" s="83">
        <f t="shared" si="14"/>
        <v>0</v>
      </c>
      <c r="AJ48" s="79">
        <v>0</v>
      </c>
      <c r="AK48" s="83">
        <f t="shared" si="15"/>
        <v>0</v>
      </c>
      <c r="AL48" s="79">
        <v>0</v>
      </c>
      <c r="AM48" s="83">
        <f t="shared" si="16"/>
        <v>0</v>
      </c>
      <c r="AN48" s="79">
        <v>0</v>
      </c>
      <c r="AO48" s="83">
        <f t="shared" si="17"/>
        <v>0</v>
      </c>
      <c r="AP48" s="79">
        <v>0</v>
      </c>
      <c r="AQ48" s="83">
        <f t="shared" si="18"/>
        <v>0</v>
      </c>
      <c r="AR48" s="79">
        <v>0</v>
      </c>
      <c r="AS48" s="83">
        <f t="shared" si="19"/>
        <v>0</v>
      </c>
      <c r="AT48" s="79">
        <v>0</v>
      </c>
      <c r="AU48" s="83">
        <f t="shared" si="20"/>
        <v>0</v>
      </c>
      <c r="AV48" s="79">
        <v>0</v>
      </c>
      <c r="AW48" s="83">
        <f t="shared" si="21"/>
        <v>0</v>
      </c>
      <c r="AX48" s="79">
        <v>0</v>
      </c>
      <c r="AY48" s="83">
        <f t="shared" si="22"/>
        <v>0</v>
      </c>
      <c r="AZ48" s="79">
        <v>0</v>
      </c>
      <c r="BA48" s="83">
        <f t="shared" si="23"/>
        <v>0</v>
      </c>
      <c r="BB48" s="79">
        <v>0</v>
      </c>
      <c r="BC48" s="83">
        <f t="shared" si="24"/>
        <v>0</v>
      </c>
      <c r="BD48" s="79">
        <v>0</v>
      </c>
      <c r="BE48" s="83">
        <f t="shared" si="25"/>
        <v>0</v>
      </c>
      <c r="BF48" s="79">
        <v>0</v>
      </c>
      <c r="BG48" s="83">
        <f t="shared" si="27"/>
        <v>0</v>
      </c>
      <c r="BH48" s="79">
        <v>0</v>
      </c>
      <c r="BI48" s="83">
        <f t="shared" si="28"/>
        <v>0</v>
      </c>
      <c r="BJ48" s="79">
        <v>0</v>
      </c>
      <c r="BK48" s="287">
        <f t="shared" si="29"/>
        <v>0</v>
      </c>
      <c r="BL48" s="299">
        <v>0</v>
      </c>
      <c r="BM48" s="128">
        <f t="shared" si="45"/>
        <v>0</v>
      </c>
      <c r="BN48" s="128"/>
      <c r="BO48" s="305">
        <f t="shared" si="42"/>
        <v>0</v>
      </c>
      <c r="BP48" s="128"/>
      <c r="BQ48" s="128">
        <f t="shared" si="43"/>
        <v>0</v>
      </c>
      <c r="BR48" s="128"/>
      <c r="BS48" s="128">
        <f t="shared" si="44"/>
        <v>0</v>
      </c>
      <c r="BT48" s="128"/>
      <c r="BU48" s="128">
        <f t="shared" si="31"/>
        <v>0</v>
      </c>
      <c r="BV48" s="128"/>
      <c r="BW48" s="128">
        <f t="shared" si="32"/>
        <v>0</v>
      </c>
      <c r="BX48" s="128"/>
      <c r="BY48" s="128">
        <f t="shared" si="33"/>
        <v>0</v>
      </c>
      <c r="BZ48" s="128"/>
      <c r="CA48" s="128">
        <f t="shared" si="34"/>
        <v>0</v>
      </c>
      <c r="CB48" s="128"/>
      <c r="CC48" s="128">
        <f t="shared" si="35"/>
        <v>0</v>
      </c>
      <c r="CD48" s="128"/>
      <c r="CE48" s="128">
        <f t="shared" si="36"/>
        <v>0</v>
      </c>
      <c r="CF48" s="128"/>
      <c r="CG48" s="128">
        <f t="shared" si="37"/>
        <v>0</v>
      </c>
      <c r="CH48" s="128"/>
      <c r="CI48" s="128">
        <f t="shared" si="38"/>
        <v>0</v>
      </c>
      <c r="CJ48" s="128"/>
      <c r="CK48" s="128">
        <f t="shared" si="39"/>
        <v>0</v>
      </c>
      <c r="CL48" s="128">
        <v>0</v>
      </c>
      <c r="CM48" s="128">
        <f t="shared" si="40"/>
        <v>0</v>
      </c>
      <c r="CN48" s="128">
        <v>0</v>
      </c>
      <c r="CO48" s="128">
        <f t="shared" si="41"/>
        <v>0</v>
      </c>
      <c r="CP48" s="128"/>
      <c r="CQ48" s="128"/>
      <c r="CR48" s="128"/>
      <c r="CS48" s="128"/>
      <c r="CT48" s="128"/>
      <c r="CU48" s="128"/>
      <c r="CV48" s="128"/>
      <c r="CW48" s="128"/>
      <c r="CX48" s="128"/>
    </row>
    <row r="49" spans="1:102" ht="12.75" x14ac:dyDescent="0.2">
      <c r="A49" s="5" t="s">
        <v>122</v>
      </c>
      <c r="B49" s="15">
        <v>590</v>
      </c>
      <c r="C49" s="15">
        <v>590</v>
      </c>
      <c r="D49" s="15">
        <v>1000</v>
      </c>
      <c r="E49" s="15">
        <f t="shared" si="26"/>
        <v>410</v>
      </c>
      <c r="F49" s="10">
        <v>6</v>
      </c>
      <c r="G49" s="15">
        <f t="shared" si="0"/>
        <v>2460</v>
      </c>
      <c r="H49" s="10">
        <v>0</v>
      </c>
      <c r="I49" s="15">
        <f t="shared" si="1"/>
        <v>0</v>
      </c>
      <c r="J49" s="10">
        <v>0</v>
      </c>
      <c r="K49" s="15">
        <f t="shared" si="2"/>
        <v>0</v>
      </c>
      <c r="L49" s="10">
        <v>2</v>
      </c>
      <c r="M49" s="15">
        <f t="shared" si="3"/>
        <v>820</v>
      </c>
      <c r="N49" s="10">
        <v>0</v>
      </c>
      <c r="O49" s="15">
        <f t="shared" si="4"/>
        <v>0</v>
      </c>
      <c r="P49" s="10">
        <v>1</v>
      </c>
      <c r="Q49" s="15">
        <f t="shared" si="5"/>
        <v>410</v>
      </c>
      <c r="R49" s="10">
        <v>0</v>
      </c>
      <c r="S49" s="83">
        <f t="shared" si="6"/>
        <v>0</v>
      </c>
      <c r="T49" s="10">
        <v>0</v>
      </c>
      <c r="U49" s="83">
        <f t="shared" si="7"/>
        <v>0</v>
      </c>
      <c r="V49" s="78">
        <v>0</v>
      </c>
      <c r="W49" s="83">
        <f t="shared" si="8"/>
        <v>0</v>
      </c>
      <c r="X49" s="79">
        <v>8</v>
      </c>
      <c r="Y49" s="83">
        <f t="shared" si="9"/>
        <v>3280</v>
      </c>
      <c r="Z49" s="79">
        <v>8</v>
      </c>
      <c r="AA49" s="83">
        <f t="shared" si="10"/>
        <v>3280</v>
      </c>
      <c r="AB49" s="79">
        <v>6</v>
      </c>
      <c r="AC49" s="83">
        <f t="shared" si="11"/>
        <v>2460</v>
      </c>
      <c r="AD49" s="78">
        <v>0</v>
      </c>
      <c r="AE49" s="83">
        <f t="shared" si="12"/>
        <v>0</v>
      </c>
      <c r="AF49" s="78">
        <v>0</v>
      </c>
      <c r="AG49" s="83">
        <f t="shared" si="13"/>
        <v>0</v>
      </c>
      <c r="AH49" s="80">
        <v>2</v>
      </c>
      <c r="AI49" s="83">
        <f t="shared" si="14"/>
        <v>820</v>
      </c>
      <c r="AJ49" s="79">
        <v>8</v>
      </c>
      <c r="AK49" s="83">
        <f t="shared" si="15"/>
        <v>3280</v>
      </c>
      <c r="AL49" s="79">
        <v>3</v>
      </c>
      <c r="AM49" s="83">
        <f t="shared" si="16"/>
        <v>1230</v>
      </c>
      <c r="AN49" s="79">
        <v>3</v>
      </c>
      <c r="AO49" s="83">
        <f t="shared" si="17"/>
        <v>1230</v>
      </c>
      <c r="AP49" s="79">
        <v>3</v>
      </c>
      <c r="AQ49" s="83">
        <f t="shared" si="18"/>
        <v>1230</v>
      </c>
      <c r="AR49" s="79">
        <v>11</v>
      </c>
      <c r="AS49" s="83">
        <f t="shared" si="19"/>
        <v>4510</v>
      </c>
      <c r="AT49" s="79">
        <v>0</v>
      </c>
      <c r="AU49" s="83">
        <f t="shared" si="20"/>
        <v>0</v>
      </c>
      <c r="AV49" s="79">
        <v>2</v>
      </c>
      <c r="AW49" s="83">
        <f t="shared" si="21"/>
        <v>820</v>
      </c>
      <c r="AX49" s="79">
        <v>0</v>
      </c>
      <c r="AY49" s="83">
        <f t="shared" si="22"/>
        <v>0</v>
      </c>
      <c r="AZ49" s="79">
        <v>0</v>
      </c>
      <c r="BA49" s="83">
        <f t="shared" si="23"/>
        <v>0</v>
      </c>
      <c r="BB49" s="79">
        <v>3</v>
      </c>
      <c r="BC49" s="83">
        <f t="shared" si="24"/>
        <v>1230</v>
      </c>
      <c r="BD49" s="79">
        <v>0</v>
      </c>
      <c r="BE49" s="83">
        <f t="shared" si="25"/>
        <v>0</v>
      </c>
      <c r="BF49" s="79">
        <v>0</v>
      </c>
      <c r="BG49" s="83">
        <f t="shared" si="27"/>
        <v>0</v>
      </c>
      <c r="BH49" s="79">
        <v>16</v>
      </c>
      <c r="BI49" s="83">
        <f t="shared" si="28"/>
        <v>6560</v>
      </c>
      <c r="BJ49" s="79">
        <v>7</v>
      </c>
      <c r="BK49" s="287">
        <f t="shared" si="29"/>
        <v>2870</v>
      </c>
      <c r="BL49" s="299">
        <v>0</v>
      </c>
      <c r="BM49" s="128">
        <f t="shared" si="45"/>
        <v>0</v>
      </c>
      <c r="BN49" s="128"/>
      <c r="BO49" s="305">
        <f t="shared" si="42"/>
        <v>0</v>
      </c>
      <c r="BP49" s="210"/>
      <c r="BQ49" s="128">
        <f t="shared" si="43"/>
        <v>0</v>
      </c>
      <c r="BR49" s="128"/>
      <c r="BS49" s="128">
        <f t="shared" si="44"/>
        <v>0</v>
      </c>
      <c r="BT49" s="128"/>
      <c r="BU49" s="128">
        <f t="shared" si="31"/>
        <v>0</v>
      </c>
      <c r="BV49" s="128"/>
      <c r="BW49" s="128">
        <f t="shared" si="32"/>
        <v>0</v>
      </c>
      <c r="BX49" s="128"/>
      <c r="BY49" s="128">
        <f t="shared" si="33"/>
        <v>0</v>
      </c>
      <c r="BZ49" s="210">
        <v>0</v>
      </c>
      <c r="CA49" s="128">
        <f t="shared" si="34"/>
        <v>0</v>
      </c>
      <c r="CB49" s="128"/>
      <c r="CC49" s="128">
        <f t="shared" si="35"/>
        <v>0</v>
      </c>
      <c r="CD49" s="128"/>
      <c r="CE49" s="128">
        <f t="shared" si="36"/>
        <v>0</v>
      </c>
      <c r="CF49" s="210"/>
      <c r="CG49" s="128">
        <f t="shared" si="37"/>
        <v>0</v>
      </c>
      <c r="CH49" s="128"/>
      <c r="CI49" s="128">
        <f t="shared" si="38"/>
        <v>0</v>
      </c>
      <c r="CJ49" s="128"/>
      <c r="CK49" s="128">
        <f t="shared" si="39"/>
        <v>0</v>
      </c>
      <c r="CL49" s="128">
        <v>0</v>
      </c>
      <c r="CM49" s="128">
        <f t="shared" si="40"/>
        <v>0</v>
      </c>
      <c r="CN49" s="128">
        <v>0</v>
      </c>
      <c r="CO49" s="128">
        <f t="shared" si="41"/>
        <v>0</v>
      </c>
      <c r="CP49" s="128"/>
      <c r="CQ49" s="128"/>
      <c r="CR49" s="128"/>
      <c r="CS49" s="128"/>
      <c r="CT49" s="128"/>
      <c r="CU49" s="128"/>
      <c r="CV49" s="128"/>
      <c r="CW49" s="128"/>
      <c r="CX49" s="128"/>
    </row>
    <row r="50" spans="1:102" ht="12.75" x14ac:dyDescent="0.2">
      <c r="A50" s="5" t="s">
        <v>197</v>
      </c>
      <c r="B50" s="15">
        <v>1956</v>
      </c>
      <c r="C50" s="15">
        <v>1956</v>
      </c>
      <c r="D50" s="15">
        <v>4000</v>
      </c>
      <c r="E50" s="15">
        <f t="shared" si="26"/>
        <v>2044</v>
      </c>
      <c r="F50" s="10">
        <v>0</v>
      </c>
      <c r="G50" s="15">
        <f t="shared" si="0"/>
        <v>0</v>
      </c>
      <c r="H50" s="10">
        <v>2</v>
      </c>
      <c r="I50" s="15">
        <f t="shared" si="1"/>
        <v>4088</v>
      </c>
      <c r="J50" s="10">
        <v>0</v>
      </c>
      <c r="K50" s="15">
        <f t="shared" si="2"/>
        <v>0</v>
      </c>
      <c r="L50" s="10">
        <v>1</v>
      </c>
      <c r="M50" s="15">
        <f t="shared" si="3"/>
        <v>2044</v>
      </c>
      <c r="N50" s="10">
        <v>1</v>
      </c>
      <c r="O50" s="15">
        <f t="shared" si="4"/>
        <v>2044</v>
      </c>
      <c r="P50" s="10">
        <v>0</v>
      </c>
      <c r="Q50" s="15">
        <f t="shared" si="5"/>
        <v>0</v>
      </c>
      <c r="R50" s="10">
        <v>1</v>
      </c>
      <c r="S50" s="83">
        <f t="shared" si="6"/>
        <v>2044</v>
      </c>
      <c r="T50" s="10">
        <v>0</v>
      </c>
      <c r="U50" s="83">
        <f t="shared" si="7"/>
        <v>0</v>
      </c>
      <c r="V50" s="79">
        <v>2</v>
      </c>
      <c r="W50" s="83">
        <f t="shared" si="8"/>
        <v>4088</v>
      </c>
      <c r="X50" s="79">
        <v>1</v>
      </c>
      <c r="Y50" s="83">
        <f t="shared" si="9"/>
        <v>2044</v>
      </c>
      <c r="Z50" s="78">
        <v>0</v>
      </c>
      <c r="AA50" s="83">
        <f t="shared" si="10"/>
        <v>0</v>
      </c>
      <c r="AB50" s="79">
        <v>1</v>
      </c>
      <c r="AC50" s="83">
        <f t="shared" si="11"/>
        <v>2044</v>
      </c>
      <c r="AD50" s="78">
        <v>0</v>
      </c>
      <c r="AE50" s="83">
        <f t="shared" si="12"/>
        <v>0</v>
      </c>
      <c r="AF50" s="78">
        <v>0</v>
      </c>
      <c r="AG50" s="83">
        <f t="shared" si="13"/>
        <v>0</v>
      </c>
      <c r="AH50" s="79">
        <v>0</v>
      </c>
      <c r="AI50" s="83">
        <f t="shared" si="14"/>
        <v>0</v>
      </c>
      <c r="AJ50" s="79">
        <v>0</v>
      </c>
      <c r="AK50" s="83">
        <f t="shared" si="15"/>
        <v>0</v>
      </c>
      <c r="AL50" s="79">
        <v>0</v>
      </c>
      <c r="AM50" s="83">
        <f t="shared" si="16"/>
        <v>0</v>
      </c>
      <c r="AN50" s="79">
        <v>1</v>
      </c>
      <c r="AO50" s="83">
        <f t="shared" si="17"/>
        <v>2044</v>
      </c>
      <c r="AP50" s="79">
        <v>0</v>
      </c>
      <c r="AQ50" s="83">
        <f t="shared" si="18"/>
        <v>0</v>
      </c>
      <c r="AR50" s="79">
        <v>4</v>
      </c>
      <c r="AS50" s="83">
        <f t="shared" si="19"/>
        <v>8176</v>
      </c>
      <c r="AT50" s="79">
        <v>0</v>
      </c>
      <c r="AU50" s="83">
        <f t="shared" si="20"/>
        <v>0</v>
      </c>
      <c r="AV50" s="79">
        <v>0</v>
      </c>
      <c r="AW50" s="83">
        <f t="shared" si="21"/>
        <v>0</v>
      </c>
      <c r="AX50" s="79">
        <v>1</v>
      </c>
      <c r="AY50" s="83">
        <f t="shared" si="22"/>
        <v>2044</v>
      </c>
      <c r="AZ50" s="79">
        <v>0</v>
      </c>
      <c r="BA50" s="83">
        <f t="shared" si="23"/>
        <v>0</v>
      </c>
      <c r="BB50" s="79">
        <v>0</v>
      </c>
      <c r="BC50" s="83">
        <f t="shared" si="24"/>
        <v>0</v>
      </c>
      <c r="BD50" s="79">
        <v>0</v>
      </c>
      <c r="BE50" s="83">
        <f t="shared" si="25"/>
        <v>0</v>
      </c>
      <c r="BF50" s="79">
        <v>1</v>
      </c>
      <c r="BG50" s="83">
        <f t="shared" si="27"/>
        <v>2044</v>
      </c>
      <c r="BH50" s="79">
        <v>0</v>
      </c>
      <c r="BI50" s="83">
        <f t="shared" si="28"/>
        <v>0</v>
      </c>
      <c r="BJ50" s="79">
        <v>2</v>
      </c>
      <c r="BK50" s="287">
        <f t="shared" si="29"/>
        <v>4088</v>
      </c>
      <c r="BL50" s="299">
        <v>0</v>
      </c>
      <c r="BM50" s="128">
        <f t="shared" si="45"/>
        <v>0</v>
      </c>
      <c r="BN50" s="128"/>
      <c r="BO50" s="305">
        <f t="shared" si="42"/>
        <v>0</v>
      </c>
      <c r="BP50" s="128"/>
      <c r="BQ50" s="128">
        <f t="shared" si="43"/>
        <v>0</v>
      </c>
      <c r="BR50" s="128"/>
      <c r="BS50" s="128">
        <f t="shared" si="44"/>
        <v>0</v>
      </c>
      <c r="BT50" s="128"/>
      <c r="BU50" s="128">
        <f t="shared" si="31"/>
        <v>0</v>
      </c>
      <c r="BV50" s="128"/>
      <c r="BW50" s="128">
        <f t="shared" si="32"/>
        <v>0</v>
      </c>
      <c r="BX50" s="128"/>
      <c r="BY50" s="128">
        <f t="shared" si="33"/>
        <v>0</v>
      </c>
      <c r="BZ50" s="128"/>
      <c r="CA50" s="128">
        <f t="shared" si="34"/>
        <v>0</v>
      </c>
      <c r="CB50" s="128"/>
      <c r="CC50" s="128">
        <f t="shared" si="35"/>
        <v>0</v>
      </c>
      <c r="CD50" s="128"/>
      <c r="CE50" s="128">
        <f t="shared" si="36"/>
        <v>0</v>
      </c>
      <c r="CF50" s="128"/>
      <c r="CG50" s="128">
        <f t="shared" si="37"/>
        <v>0</v>
      </c>
      <c r="CH50" s="128"/>
      <c r="CI50" s="128">
        <f t="shared" si="38"/>
        <v>0</v>
      </c>
      <c r="CJ50" s="128"/>
      <c r="CK50" s="128">
        <f t="shared" si="39"/>
        <v>0</v>
      </c>
      <c r="CL50" s="128">
        <v>0</v>
      </c>
      <c r="CM50" s="128">
        <f t="shared" si="40"/>
        <v>0</v>
      </c>
      <c r="CN50" s="128">
        <v>0</v>
      </c>
      <c r="CO50" s="128">
        <f t="shared" si="41"/>
        <v>0</v>
      </c>
      <c r="CP50" s="128"/>
      <c r="CQ50" s="128"/>
      <c r="CR50" s="128"/>
      <c r="CS50" s="128"/>
      <c r="CT50" s="128"/>
      <c r="CU50" s="128"/>
      <c r="CV50" s="128"/>
      <c r="CW50" s="128"/>
      <c r="CX50" s="128"/>
    </row>
    <row r="51" spans="1:102" ht="12.75" x14ac:dyDescent="0.2">
      <c r="A51" s="5" t="s">
        <v>123</v>
      </c>
      <c r="B51" s="15">
        <v>1956</v>
      </c>
      <c r="C51" s="15">
        <v>1956</v>
      </c>
      <c r="D51" s="15">
        <v>4000</v>
      </c>
      <c r="E51" s="15">
        <f t="shared" si="26"/>
        <v>2044</v>
      </c>
      <c r="F51" s="10">
        <v>0</v>
      </c>
      <c r="G51" s="15">
        <f t="shared" si="0"/>
        <v>0</v>
      </c>
      <c r="H51" s="10">
        <v>0</v>
      </c>
      <c r="I51" s="15">
        <f t="shared" si="1"/>
        <v>0</v>
      </c>
      <c r="J51" s="10">
        <v>0</v>
      </c>
      <c r="K51" s="15">
        <f t="shared" si="2"/>
        <v>0</v>
      </c>
      <c r="L51" s="10">
        <v>0</v>
      </c>
      <c r="M51" s="15">
        <f t="shared" si="3"/>
        <v>0</v>
      </c>
      <c r="N51" s="10">
        <v>0</v>
      </c>
      <c r="O51" s="15">
        <f t="shared" si="4"/>
        <v>0</v>
      </c>
      <c r="P51" s="10">
        <v>0</v>
      </c>
      <c r="Q51" s="15">
        <f t="shared" si="5"/>
        <v>0</v>
      </c>
      <c r="R51" s="10">
        <v>0</v>
      </c>
      <c r="S51" s="83">
        <f t="shared" si="6"/>
        <v>0</v>
      </c>
      <c r="T51" s="10">
        <v>1</v>
      </c>
      <c r="U51" s="83">
        <f t="shared" si="7"/>
        <v>2044</v>
      </c>
      <c r="V51" s="79">
        <v>1</v>
      </c>
      <c r="W51" s="83">
        <f t="shared" si="8"/>
        <v>2044</v>
      </c>
      <c r="X51" s="79">
        <v>2</v>
      </c>
      <c r="Y51" s="83">
        <f t="shared" si="9"/>
        <v>4088</v>
      </c>
      <c r="Z51" s="78">
        <v>0</v>
      </c>
      <c r="AA51" s="83">
        <f t="shared" si="10"/>
        <v>0</v>
      </c>
      <c r="AB51" s="78">
        <v>0</v>
      </c>
      <c r="AC51" s="83">
        <f t="shared" si="11"/>
        <v>0</v>
      </c>
      <c r="AD51" s="78">
        <v>0</v>
      </c>
      <c r="AE51" s="83">
        <f t="shared" si="12"/>
        <v>0</v>
      </c>
      <c r="AF51" s="79">
        <v>1</v>
      </c>
      <c r="AG51" s="83">
        <f t="shared" si="13"/>
        <v>2044</v>
      </c>
      <c r="AH51" s="79">
        <v>0</v>
      </c>
      <c r="AI51" s="83">
        <f t="shared" si="14"/>
        <v>0</v>
      </c>
      <c r="AJ51" s="79">
        <v>0</v>
      </c>
      <c r="AK51" s="83">
        <f t="shared" si="15"/>
        <v>0</v>
      </c>
      <c r="AL51" s="79">
        <v>0</v>
      </c>
      <c r="AM51" s="83">
        <f t="shared" si="16"/>
        <v>0</v>
      </c>
      <c r="AN51" s="79">
        <v>0</v>
      </c>
      <c r="AO51" s="83">
        <f t="shared" si="17"/>
        <v>0</v>
      </c>
      <c r="AP51" s="79">
        <v>0</v>
      </c>
      <c r="AQ51" s="83">
        <f t="shared" si="18"/>
        <v>0</v>
      </c>
      <c r="AR51" s="79">
        <v>3</v>
      </c>
      <c r="AS51" s="83">
        <f t="shared" si="19"/>
        <v>6132</v>
      </c>
      <c r="AT51" s="79">
        <v>0</v>
      </c>
      <c r="AU51" s="83">
        <f t="shared" si="20"/>
        <v>0</v>
      </c>
      <c r="AV51" s="79">
        <v>0</v>
      </c>
      <c r="AW51" s="83">
        <f t="shared" si="21"/>
        <v>0</v>
      </c>
      <c r="AX51" s="79">
        <v>2</v>
      </c>
      <c r="AY51" s="83">
        <f t="shared" si="22"/>
        <v>4088</v>
      </c>
      <c r="AZ51" s="79">
        <v>0</v>
      </c>
      <c r="BA51" s="83">
        <f t="shared" si="23"/>
        <v>0</v>
      </c>
      <c r="BB51" s="79">
        <v>0</v>
      </c>
      <c r="BC51" s="83">
        <f t="shared" si="24"/>
        <v>0</v>
      </c>
      <c r="BD51" s="79">
        <v>0</v>
      </c>
      <c r="BE51" s="83">
        <f t="shared" si="25"/>
        <v>0</v>
      </c>
      <c r="BF51" s="79">
        <v>0</v>
      </c>
      <c r="BG51" s="83">
        <f t="shared" si="27"/>
        <v>0</v>
      </c>
      <c r="BH51" s="79">
        <v>2</v>
      </c>
      <c r="BI51" s="83">
        <f t="shared" si="28"/>
        <v>4088</v>
      </c>
      <c r="BJ51" s="79">
        <v>0</v>
      </c>
      <c r="BK51" s="287">
        <f t="shared" si="29"/>
        <v>0</v>
      </c>
      <c r="BL51" s="128">
        <v>1</v>
      </c>
      <c r="BM51" s="128">
        <f t="shared" si="45"/>
        <v>2044</v>
      </c>
      <c r="BN51" s="128">
        <v>1</v>
      </c>
      <c r="BO51" s="305">
        <f t="shared" si="42"/>
        <v>2044</v>
      </c>
      <c r="BP51" s="128">
        <v>1</v>
      </c>
      <c r="BQ51" s="128">
        <f t="shared" si="43"/>
        <v>2044</v>
      </c>
      <c r="BR51" s="128">
        <v>2</v>
      </c>
      <c r="BS51" s="128">
        <f t="shared" si="44"/>
        <v>4088</v>
      </c>
      <c r="BT51" s="128">
        <v>2</v>
      </c>
      <c r="BU51" s="128">
        <f t="shared" si="31"/>
        <v>4088</v>
      </c>
      <c r="BV51" s="128">
        <v>2</v>
      </c>
      <c r="BW51" s="128">
        <f t="shared" si="32"/>
        <v>4088</v>
      </c>
      <c r="BX51" s="128"/>
      <c r="BY51" s="128">
        <f t="shared" si="33"/>
        <v>0</v>
      </c>
      <c r="BZ51" s="128">
        <v>2</v>
      </c>
      <c r="CA51" s="128">
        <f t="shared" si="34"/>
        <v>4088</v>
      </c>
      <c r="CB51" s="128">
        <v>1</v>
      </c>
      <c r="CC51" s="128">
        <f t="shared" si="35"/>
        <v>2044</v>
      </c>
      <c r="CD51" s="128">
        <v>2</v>
      </c>
      <c r="CE51" s="128">
        <f t="shared" si="36"/>
        <v>4088</v>
      </c>
      <c r="CF51" s="128">
        <v>3</v>
      </c>
      <c r="CG51" s="128">
        <f t="shared" si="37"/>
        <v>6132</v>
      </c>
      <c r="CH51" s="128">
        <v>2</v>
      </c>
      <c r="CI51" s="128">
        <f t="shared" si="38"/>
        <v>4088</v>
      </c>
      <c r="CJ51" s="128"/>
      <c r="CK51" s="128">
        <f t="shared" si="39"/>
        <v>0</v>
      </c>
      <c r="CL51" s="128">
        <v>0</v>
      </c>
      <c r="CM51" s="128">
        <f t="shared" si="40"/>
        <v>0</v>
      </c>
      <c r="CN51" s="128">
        <v>0</v>
      </c>
      <c r="CO51" s="128">
        <f t="shared" si="41"/>
        <v>0</v>
      </c>
      <c r="CP51" s="128"/>
      <c r="CQ51" s="128"/>
      <c r="CR51" s="128"/>
      <c r="CS51" s="128"/>
      <c r="CT51" s="128"/>
      <c r="CU51" s="128"/>
      <c r="CV51" s="128"/>
      <c r="CW51" s="128"/>
      <c r="CX51" s="128"/>
    </row>
    <row r="52" spans="1:102" ht="12.75" x14ac:dyDescent="0.2">
      <c r="A52" s="5" t="s">
        <v>124</v>
      </c>
      <c r="B52" s="15">
        <v>1956</v>
      </c>
      <c r="C52" s="15">
        <v>1956</v>
      </c>
      <c r="D52" s="15">
        <v>4000</v>
      </c>
      <c r="E52" s="15">
        <f t="shared" si="26"/>
        <v>2044</v>
      </c>
      <c r="F52" s="10">
        <v>0</v>
      </c>
      <c r="G52" s="15">
        <f t="shared" si="0"/>
        <v>0</v>
      </c>
      <c r="H52" s="10">
        <v>2</v>
      </c>
      <c r="I52" s="15">
        <f t="shared" si="1"/>
        <v>4088</v>
      </c>
      <c r="J52" s="10">
        <v>0</v>
      </c>
      <c r="K52" s="15">
        <f t="shared" si="2"/>
        <v>0</v>
      </c>
      <c r="L52" s="10">
        <v>1</v>
      </c>
      <c r="M52" s="15">
        <f t="shared" si="3"/>
        <v>2044</v>
      </c>
      <c r="N52" s="10">
        <v>0</v>
      </c>
      <c r="O52" s="15">
        <f t="shared" si="4"/>
        <v>0</v>
      </c>
      <c r="P52" s="10">
        <v>1</v>
      </c>
      <c r="Q52" s="15">
        <f t="shared" si="5"/>
        <v>2044</v>
      </c>
      <c r="R52" s="10">
        <v>0</v>
      </c>
      <c r="S52" s="83">
        <f t="shared" si="6"/>
        <v>0</v>
      </c>
      <c r="T52" s="10">
        <v>1</v>
      </c>
      <c r="U52" s="83">
        <f t="shared" si="7"/>
        <v>2044</v>
      </c>
      <c r="V52" s="78">
        <v>0</v>
      </c>
      <c r="W52" s="83">
        <f t="shared" si="8"/>
        <v>0</v>
      </c>
      <c r="X52" s="78">
        <v>0</v>
      </c>
      <c r="Y52" s="83">
        <f t="shared" si="9"/>
        <v>0</v>
      </c>
      <c r="Z52" s="78">
        <v>0</v>
      </c>
      <c r="AA52" s="83">
        <f t="shared" si="10"/>
        <v>0</v>
      </c>
      <c r="AB52" s="78">
        <v>0</v>
      </c>
      <c r="AC52" s="83">
        <f t="shared" si="11"/>
        <v>0</v>
      </c>
      <c r="AD52" s="78">
        <v>0</v>
      </c>
      <c r="AE52" s="83">
        <f t="shared" si="12"/>
        <v>0</v>
      </c>
      <c r="AF52" s="78">
        <v>0</v>
      </c>
      <c r="AG52" s="83">
        <f t="shared" si="13"/>
        <v>0</v>
      </c>
      <c r="AH52" s="79">
        <v>0</v>
      </c>
      <c r="AI52" s="83">
        <f t="shared" si="14"/>
        <v>0</v>
      </c>
      <c r="AJ52" s="79">
        <v>0</v>
      </c>
      <c r="AK52" s="83">
        <f t="shared" si="15"/>
        <v>0</v>
      </c>
      <c r="AL52" s="79">
        <v>0</v>
      </c>
      <c r="AM52" s="83">
        <f t="shared" si="16"/>
        <v>0</v>
      </c>
      <c r="AN52" s="79">
        <v>0</v>
      </c>
      <c r="AO52" s="83">
        <f t="shared" si="17"/>
        <v>0</v>
      </c>
      <c r="AP52" s="79">
        <v>0</v>
      </c>
      <c r="AQ52" s="83">
        <f t="shared" si="18"/>
        <v>0</v>
      </c>
      <c r="AR52" s="79">
        <v>2</v>
      </c>
      <c r="AS52" s="83">
        <f t="shared" si="19"/>
        <v>4088</v>
      </c>
      <c r="AT52" s="79">
        <v>0</v>
      </c>
      <c r="AU52" s="83">
        <f t="shared" si="20"/>
        <v>0</v>
      </c>
      <c r="AV52" s="79">
        <v>0</v>
      </c>
      <c r="AW52" s="83">
        <f t="shared" si="21"/>
        <v>0</v>
      </c>
      <c r="AX52" s="79">
        <v>1</v>
      </c>
      <c r="AY52" s="83">
        <f t="shared" si="22"/>
        <v>2044</v>
      </c>
      <c r="AZ52" s="79">
        <v>0</v>
      </c>
      <c r="BA52" s="83">
        <f t="shared" si="23"/>
        <v>0</v>
      </c>
      <c r="BB52" s="79">
        <v>0</v>
      </c>
      <c r="BC52" s="83">
        <f t="shared" si="24"/>
        <v>0</v>
      </c>
      <c r="BD52" s="79">
        <v>0</v>
      </c>
      <c r="BE52" s="83">
        <f t="shared" si="25"/>
        <v>0</v>
      </c>
      <c r="BF52" s="79">
        <v>0</v>
      </c>
      <c r="BG52" s="83">
        <f t="shared" si="27"/>
        <v>0</v>
      </c>
      <c r="BH52" s="79">
        <v>0</v>
      </c>
      <c r="BI52" s="83">
        <f t="shared" si="28"/>
        <v>0</v>
      </c>
      <c r="BJ52" s="79">
        <v>3</v>
      </c>
      <c r="BK52" s="287">
        <f t="shared" si="29"/>
        <v>6132</v>
      </c>
      <c r="BL52" s="299">
        <v>0</v>
      </c>
      <c r="BM52" s="128">
        <f t="shared" si="45"/>
        <v>0</v>
      </c>
      <c r="BN52" s="128"/>
      <c r="BO52" s="305">
        <f t="shared" si="42"/>
        <v>0</v>
      </c>
      <c r="BP52" s="128"/>
      <c r="BQ52" s="128">
        <f t="shared" si="43"/>
        <v>0</v>
      </c>
      <c r="BR52" s="128"/>
      <c r="BS52" s="128">
        <f t="shared" si="44"/>
        <v>0</v>
      </c>
      <c r="BT52" s="128"/>
      <c r="BU52" s="128">
        <f t="shared" si="31"/>
        <v>0</v>
      </c>
      <c r="BV52" s="128">
        <v>1</v>
      </c>
      <c r="BW52" s="128">
        <f t="shared" si="32"/>
        <v>2044</v>
      </c>
      <c r="BX52" s="128"/>
      <c r="BY52" s="128">
        <f t="shared" si="33"/>
        <v>0</v>
      </c>
      <c r="BZ52" s="128"/>
      <c r="CA52" s="128">
        <f t="shared" si="34"/>
        <v>0</v>
      </c>
      <c r="CB52" s="128"/>
      <c r="CC52" s="128">
        <f t="shared" si="35"/>
        <v>0</v>
      </c>
      <c r="CD52" s="128"/>
      <c r="CE52" s="128">
        <f t="shared" si="36"/>
        <v>0</v>
      </c>
      <c r="CF52" s="128"/>
      <c r="CG52" s="128">
        <f t="shared" si="37"/>
        <v>0</v>
      </c>
      <c r="CH52" s="128"/>
      <c r="CI52" s="128">
        <f t="shared" si="38"/>
        <v>0</v>
      </c>
      <c r="CJ52" s="128"/>
      <c r="CK52" s="128">
        <f t="shared" si="39"/>
        <v>0</v>
      </c>
      <c r="CL52" s="128">
        <v>0</v>
      </c>
      <c r="CM52" s="128">
        <f t="shared" si="40"/>
        <v>0</v>
      </c>
      <c r="CN52" s="128">
        <v>0</v>
      </c>
      <c r="CO52" s="128">
        <f t="shared" si="41"/>
        <v>0</v>
      </c>
      <c r="CP52" s="128"/>
      <c r="CQ52" s="128"/>
      <c r="CR52" s="128"/>
      <c r="CS52" s="128"/>
      <c r="CT52" s="128"/>
      <c r="CU52" s="128"/>
      <c r="CV52" s="128"/>
      <c r="CW52" s="128"/>
      <c r="CX52" s="128"/>
    </row>
    <row r="53" spans="1:102" ht="12.75" x14ac:dyDescent="0.2">
      <c r="A53" s="274" t="s">
        <v>740</v>
      </c>
      <c r="B53" s="26">
        <v>5212</v>
      </c>
      <c r="C53" s="26">
        <v>5212</v>
      </c>
      <c r="D53" s="26">
        <v>10000</v>
      </c>
      <c r="E53" s="26">
        <f t="shared" si="26"/>
        <v>4788</v>
      </c>
      <c r="F53" s="10"/>
      <c r="G53" s="26"/>
      <c r="H53" s="10"/>
      <c r="I53" s="26"/>
      <c r="J53" s="10"/>
      <c r="K53" s="26"/>
      <c r="L53" s="10"/>
      <c r="M53" s="26"/>
      <c r="N53" s="10"/>
      <c r="O53" s="26"/>
      <c r="P53" s="10"/>
      <c r="Q53" s="26"/>
      <c r="R53" s="10"/>
      <c r="S53" s="83"/>
      <c r="T53" s="10"/>
      <c r="U53" s="83"/>
      <c r="V53" s="79"/>
      <c r="W53" s="83"/>
      <c r="X53" s="79"/>
      <c r="Y53" s="83"/>
      <c r="Z53" s="79"/>
      <c r="AA53" s="83"/>
      <c r="AB53" s="79"/>
      <c r="AC53" s="83"/>
      <c r="AD53" s="79"/>
      <c r="AE53" s="83"/>
      <c r="AF53" s="79"/>
      <c r="AG53" s="83"/>
      <c r="AH53" s="79"/>
      <c r="AI53" s="83"/>
      <c r="AJ53" s="79"/>
      <c r="AK53" s="83"/>
      <c r="AL53" s="79"/>
      <c r="AM53" s="83"/>
      <c r="AN53" s="79"/>
      <c r="AO53" s="83"/>
      <c r="AP53" s="79"/>
      <c r="AQ53" s="83"/>
      <c r="AR53" s="79"/>
      <c r="AS53" s="83"/>
      <c r="AT53" s="79"/>
      <c r="AU53" s="83"/>
      <c r="AV53" s="79"/>
      <c r="AW53" s="83"/>
      <c r="AX53" s="79"/>
      <c r="AY53" s="83"/>
      <c r="AZ53" s="79"/>
      <c r="BA53" s="83"/>
      <c r="BB53" s="79"/>
      <c r="BC53" s="83"/>
      <c r="BD53" s="79"/>
      <c r="BE53" s="83"/>
      <c r="BF53" s="79"/>
      <c r="BG53" s="83"/>
      <c r="BH53" s="79"/>
      <c r="BI53" s="83"/>
      <c r="BJ53" s="79"/>
      <c r="BK53" s="287"/>
      <c r="BL53" s="299"/>
      <c r="BM53" s="128"/>
      <c r="BN53" s="128"/>
      <c r="BO53" s="305">
        <f t="shared" si="42"/>
        <v>0</v>
      </c>
      <c r="BP53" s="128"/>
      <c r="BQ53" s="128">
        <f t="shared" si="43"/>
        <v>0</v>
      </c>
      <c r="BR53" s="128"/>
      <c r="BS53" s="128">
        <f t="shared" si="44"/>
        <v>0</v>
      </c>
      <c r="BT53" s="128"/>
      <c r="BU53" s="128">
        <f t="shared" si="31"/>
        <v>0</v>
      </c>
      <c r="BV53" s="128"/>
      <c r="BW53" s="128"/>
      <c r="BX53" s="128"/>
      <c r="BY53" s="128">
        <f t="shared" si="33"/>
        <v>0</v>
      </c>
      <c r="BZ53" s="128"/>
      <c r="CA53" s="128">
        <f t="shared" si="34"/>
        <v>0</v>
      </c>
      <c r="CB53" s="128"/>
      <c r="CC53" s="128">
        <f t="shared" si="35"/>
        <v>0</v>
      </c>
      <c r="CD53" s="128">
        <v>1</v>
      </c>
      <c r="CE53" s="128">
        <f t="shared" si="36"/>
        <v>4788</v>
      </c>
      <c r="CF53" s="128"/>
      <c r="CG53" s="128">
        <f t="shared" si="37"/>
        <v>0</v>
      </c>
      <c r="CH53" s="128"/>
      <c r="CI53" s="128">
        <f t="shared" si="38"/>
        <v>0</v>
      </c>
      <c r="CJ53" s="128"/>
      <c r="CK53" s="128">
        <f t="shared" si="39"/>
        <v>0</v>
      </c>
      <c r="CL53" s="128">
        <v>0</v>
      </c>
      <c r="CM53" s="128">
        <f t="shared" si="40"/>
        <v>0</v>
      </c>
      <c r="CN53" s="128">
        <v>0</v>
      </c>
      <c r="CO53" s="128">
        <f t="shared" si="41"/>
        <v>0</v>
      </c>
      <c r="CP53" s="128"/>
      <c r="CQ53" s="128"/>
      <c r="CR53" s="128"/>
      <c r="CS53" s="128"/>
      <c r="CT53" s="128"/>
      <c r="CU53" s="128"/>
      <c r="CV53" s="128"/>
      <c r="CW53" s="128"/>
      <c r="CX53" s="128"/>
    </row>
    <row r="54" spans="1:102" ht="12.75" x14ac:dyDescent="0.2">
      <c r="A54" s="5" t="s">
        <v>125</v>
      </c>
      <c r="B54" s="15">
        <v>1956</v>
      </c>
      <c r="C54" s="15">
        <v>1956</v>
      </c>
      <c r="D54" s="15">
        <v>4000</v>
      </c>
      <c r="E54" s="15">
        <f t="shared" si="26"/>
        <v>2044</v>
      </c>
      <c r="F54" s="10">
        <v>0</v>
      </c>
      <c r="G54" s="15">
        <f t="shared" si="0"/>
        <v>0</v>
      </c>
      <c r="H54" s="10">
        <v>0</v>
      </c>
      <c r="I54" s="15">
        <f t="shared" si="1"/>
        <v>0</v>
      </c>
      <c r="J54" s="10">
        <v>0</v>
      </c>
      <c r="K54" s="15">
        <f t="shared" si="2"/>
        <v>0</v>
      </c>
      <c r="L54" s="10">
        <v>0</v>
      </c>
      <c r="M54" s="15">
        <f t="shared" si="3"/>
        <v>0</v>
      </c>
      <c r="N54" s="10">
        <v>3</v>
      </c>
      <c r="O54" s="15">
        <f t="shared" si="4"/>
        <v>6132</v>
      </c>
      <c r="P54" s="10">
        <v>0</v>
      </c>
      <c r="Q54" s="15">
        <f t="shared" si="5"/>
        <v>0</v>
      </c>
      <c r="R54" s="10">
        <v>0</v>
      </c>
      <c r="S54" s="83">
        <f t="shared" si="6"/>
        <v>0</v>
      </c>
      <c r="T54" s="10">
        <v>0</v>
      </c>
      <c r="U54" s="83">
        <f t="shared" si="7"/>
        <v>0</v>
      </c>
      <c r="V54" s="78">
        <v>0</v>
      </c>
      <c r="W54" s="83">
        <f t="shared" si="8"/>
        <v>0</v>
      </c>
      <c r="X54" s="78">
        <v>0</v>
      </c>
      <c r="Y54" s="83">
        <f t="shared" si="9"/>
        <v>0</v>
      </c>
      <c r="Z54" s="78">
        <v>0</v>
      </c>
      <c r="AA54" s="83">
        <f t="shared" si="10"/>
        <v>0</v>
      </c>
      <c r="AB54" s="78">
        <v>0</v>
      </c>
      <c r="AC54" s="83">
        <f t="shared" si="11"/>
        <v>0</v>
      </c>
      <c r="AD54" s="78">
        <v>0</v>
      </c>
      <c r="AE54" s="83">
        <f t="shared" si="12"/>
        <v>0</v>
      </c>
      <c r="AF54" s="78">
        <v>0</v>
      </c>
      <c r="AG54" s="83">
        <f t="shared" si="13"/>
        <v>0</v>
      </c>
      <c r="AH54" s="79">
        <v>0</v>
      </c>
      <c r="AI54" s="83">
        <f t="shared" si="14"/>
        <v>0</v>
      </c>
      <c r="AJ54" s="79">
        <v>0</v>
      </c>
      <c r="AK54" s="83">
        <f t="shared" si="15"/>
        <v>0</v>
      </c>
      <c r="AL54" s="79">
        <v>0</v>
      </c>
      <c r="AM54" s="83">
        <f t="shared" si="16"/>
        <v>0</v>
      </c>
      <c r="AN54" s="79">
        <v>0</v>
      </c>
      <c r="AO54" s="83">
        <f t="shared" si="17"/>
        <v>0</v>
      </c>
      <c r="AP54" s="79">
        <v>0</v>
      </c>
      <c r="AQ54" s="83">
        <f t="shared" si="18"/>
        <v>0</v>
      </c>
      <c r="AR54" s="79">
        <v>0</v>
      </c>
      <c r="AS54" s="83">
        <f t="shared" si="19"/>
        <v>0</v>
      </c>
      <c r="AT54" s="79">
        <v>0</v>
      </c>
      <c r="AU54" s="83">
        <f t="shared" si="20"/>
        <v>0</v>
      </c>
      <c r="AV54" s="79">
        <v>0</v>
      </c>
      <c r="AW54" s="83">
        <f t="shared" si="21"/>
        <v>0</v>
      </c>
      <c r="AX54" s="79">
        <v>0</v>
      </c>
      <c r="AY54" s="83">
        <f t="shared" si="22"/>
        <v>0</v>
      </c>
      <c r="AZ54" s="79">
        <v>0</v>
      </c>
      <c r="BA54" s="83">
        <f t="shared" si="23"/>
        <v>0</v>
      </c>
      <c r="BB54" s="79">
        <v>0</v>
      </c>
      <c r="BC54" s="83">
        <f t="shared" si="24"/>
        <v>0</v>
      </c>
      <c r="BD54" s="79">
        <v>0</v>
      </c>
      <c r="BE54" s="83">
        <f t="shared" si="25"/>
        <v>0</v>
      </c>
      <c r="BF54" s="79">
        <v>0</v>
      </c>
      <c r="BG54" s="83">
        <f t="shared" si="27"/>
        <v>0</v>
      </c>
      <c r="BH54" s="79">
        <v>0</v>
      </c>
      <c r="BI54" s="83">
        <f t="shared" si="28"/>
        <v>0</v>
      </c>
      <c r="BJ54" s="79">
        <v>0</v>
      </c>
      <c r="BK54" s="287">
        <f t="shared" si="29"/>
        <v>0</v>
      </c>
      <c r="BL54" s="299">
        <v>0</v>
      </c>
      <c r="BM54" s="128">
        <f t="shared" si="45"/>
        <v>0</v>
      </c>
      <c r="BN54" s="128"/>
      <c r="BO54" s="305">
        <f t="shared" si="42"/>
        <v>0</v>
      </c>
      <c r="BP54" s="128"/>
      <c r="BQ54" s="128">
        <f t="shared" si="43"/>
        <v>0</v>
      </c>
      <c r="BR54" s="128"/>
      <c r="BS54" s="128">
        <f t="shared" si="44"/>
        <v>0</v>
      </c>
      <c r="BT54" s="128"/>
      <c r="BU54" s="128">
        <f t="shared" si="31"/>
        <v>0</v>
      </c>
      <c r="BV54" s="128"/>
      <c r="BW54" s="128">
        <f t="shared" si="32"/>
        <v>0</v>
      </c>
      <c r="BX54" s="128"/>
      <c r="BY54" s="128">
        <f t="shared" si="33"/>
        <v>0</v>
      </c>
      <c r="BZ54" s="128"/>
      <c r="CA54" s="128">
        <f t="shared" si="34"/>
        <v>0</v>
      </c>
      <c r="CB54" s="128"/>
      <c r="CC54" s="128">
        <f t="shared" si="35"/>
        <v>0</v>
      </c>
      <c r="CD54" s="128">
        <v>2</v>
      </c>
      <c r="CE54" s="128">
        <f t="shared" si="36"/>
        <v>4088</v>
      </c>
      <c r="CF54" s="128"/>
      <c r="CG54" s="128">
        <f t="shared" si="37"/>
        <v>0</v>
      </c>
      <c r="CH54" s="128"/>
      <c r="CI54" s="128">
        <f t="shared" si="38"/>
        <v>0</v>
      </c>
      <c r="CJ54" s="128"/>
      <c r="CK54" s="128">
        <f t="shared" si="39"/>
        <v>0</v>
      </c>
      <c r="CL54" s="128">
        <v>0</v>
      </c>
      <c r="CM54" s="128">
        <f t="shared" si="40"/>
        <v>0</v>
      </c>
      <c r="CN54" s="128">
        <v>0</v>
      </c>
      <c r="CO54" s="128">
        <f t="shared" si="41"/>
        <v>0</v>
      </c>
      <c r="CP54" s="128"/>
      <c r="CQ54" s="128"/>
      <c r="CR54" s="128"/>
      <c r="CS54" s="128"/>
      <c r="CT54" s="128"/>
      <c r="CU54" s="128"/>
      <c r="CV54" s="128"/>
      <c r="CW54" s="128"/>
      <c r="CX54" s="128"/>
    </row>
    <row r="55" spans="1:102" ht="12.75" x14ac:dyDescent="0.2">
      <c r="A55" s="5" t="s">
        <v>126</v>
      </c>
      <c r="B55" s="15">
        <v>825</v>
      </c>
      <c r="C55" s="15">
        <v>825</v>
      </c>
      <c r="D55" s="15">
        <v>2500</v>
      </c>
      <c r="E55" s="15">
        <f t="shared" si="26"/>
        <v>1675</v>
      </c>
      <c r="F55" s="10">
        <v>0</v>
      </c>
      <c r="G55" s="15">
        <f t="shared" si="0"/>
        <v>0</v>
      </c>
      <c r="H55" s="10">
        <v>0</v>
      </c>
      <c r="I55" s="15">
        <f t="shared" si="1"/>
        <v>0</v>
      </c>
      <c r="J55" s="10">
        <v>0</v>
      </c>
      <c r="K55" s="15">
        <f t="shared" si="2"/>
        <v>0</v>
      </c>
      <c r="L55" s="10">
        <v>0</v>
      </c>
      <c r="M55" s="15">
        <f t="shared" si="3"/>
        <v>0</v>
      </c>
      <c r="N55" s="10">
        <v>0</v>
      </c>
      <c r="O55" s="15">
        <f t="shared" si="4"/>
        <v>0</v>
      </c>
      <c r="P55" s="10">
        <v>0</v>
      </c>
      <c r="Q55" s="15">
        <f t="shared" si="5"/>
        <v>0</v>
      </c>
      <c r="R55" s="10">
        <v>0</v>
      </c>
      <c r="S55" s="83">
        <f t="shared" si="6"/>
        <v>0</v>
      </c>
      <c r="T55" s="10">
        <v>0</v>
      </c>
      <c r="U55" s="83">
        <f t="shared" si="7"/>
        <v>0</v>
      </c>
      <c r="V55" s="78">
        <v>0</v>
      </c>
      <c r="W55" s="83">
        <f t="shared" si="8"/>
        <v>0</v>
      </c>
      <c r="X55" s="78">
        <v>0</v>
      </c>
      <c r="Y55" s="83">
        <f t="shared" si="9"/>
        <v>0</v>
      </c>
      <c r="Z55" s="78">
        <v>0</v>
      </c>
      <c r="AA55" s="83">
        <f t="shared" si="10"/>
        <v>0</v>
      </c>
      <c r="AB55" s="78">
        <v>0</v>
      </c>
      <c r="AC55" s="83">
        <f t="shared" si="11"/>
        <v>0</v>
      </c>
      <c r="AD55" s="78">
        <v>0</v>
      </c>
      <c r="AE55" s="83">
        <f t="shared" si="12"/>
        <v>0</v>
      </c>
      <c r="AF55" s="78">
        <v>0</v>
      </c>
      <c r="AG55" s="83">
        <f t="shared" si="13"/>
        <v>0</v>
      </c>
      <c r="AH55" s="79">
        <v>0</v>
      </c>
      <c r="AI55" s="83">
        <f t="shared" si="14"/>
        <v>0</v>
      </c>
      <c r="AJ55" s="79">
        <v>0</v>
      </c>
      <c r="AK55" s="83">
        <f t="shared" si="15"/>
        <v>0</v>
      </c>
      <c r="AL55" s="79">
        <v>0</v>
      </c>
      <c r="AM55" s="83">
        <f t="shared" si="16"/>
        <v>0</v>
      </c>
      <c r="AN55" s="79">
        <v>0</v>
      </c>
      <c r="AO55" s="83">
        <f t="shared" si="17"/>
        <v>0</v>
      </c>
      <c r="AP55" s="79">
        <v>0</v>
      </c>
      <c r="AQ55" s="83">
        <f t="shared" si="18"/>
        <v>0</v>
      </c>
      <c r="AR55" s="79">
        <v>0</v>
      </c>
      <c r="AS55" s="83">
        <f t="shared" si="19"/>
        <v>0</v>
      </c>
      <c r="AT55" s="79">
        <v>0</v>
      </c>
      <c r="AU55" s="83">
        <f t="shared" si="20"/>
        <v>0</v>
      </c>
      <c r="AV55" s="79">
        <v>0</v>
      </c>
      <c r="AW55" s="83">
        <f t="shared" si="21"/>
        <v>0</v>
      </c>
      <c r="AX55" s="79">
        <v>0</v>
      </c>
      <c r="AY55" s="83">
        <f t="shared" si="22"/>
        <v>0</v>
      </c>
      <c r="AZ55" s="79">
        <v>0</v>
      </c>
      <c r="BA55" s="83">
        <f t="shared" si="23"/>
        <v>0</v>
      </c>
      <c r="BB55" s="79">
        <v>0</v>
      </c>
      <c r="BC55" s="83">
        <f t="shared" si="24"/>
        <v>0</v>
      </c>
      <c r="BD55" s="79">
        <v>0</v>
      </c>
      <c r="BE55" s="83">
        <f t="shared" si="25"/>
        <v>0</v>
      </c>
      <c r="BF55" s="79">
        <v>0</v>
      </c>
      <c r="BG55" s="83">
        <f t="shared" si="27"/>
        <v>0</v>
      </c>
      <c r="BH55" s="79">
        <v>0</v>
      </c>
      <c r="BI55" s="83">
        <f t="shared" si="28"/>
        <v>0</v>
      </c>
      <c r="BJ55" s="79">
        <v>0</v>
      </c>
      <c r="BK55" s="287">
        <f t="shared" si="29"/>
        <v>0</v>
      </c>
      <c r="BL55" s="299">
        <v>0</v>
      </c>
      <c r="BM55" s="128">
        <f t="shared" si="45"/>
        <v>0</v>
      </c>
      <c r="BN55" s="128">
        <v>3</v>
      </c>
      <c r="BO55" s="305">
        <f t="shared" si="42"/>
        <v>5025</v>
      </c>
      <c r="BP55" s="128">
        <v>1</v>
      </c>
      <c r="BQ55" s="128">
        <f t="shared" si="43"/>
        <v>1675</v>
      </c>
      <c r="BR55" s="128"/>
      <c r="BS55" s="128">
        <f t="shared" si="44"/>
        <v>0</v>
      </c>
      <c r="BT55" s="128"/>
      <c r="BU55" s="128">
        <f t="shared" si="31"/>
        <v>0</v>
      </c>
      <c r="BV55" s="128">
        <v>1</v>
      </c>
      <c r="BW55" s="128">
        <f t="shared" si="32"/>
        <v>1675</v>
      </c>
      <c r="BX55" s="128"/>
      <c r="BY55" s="128">
        <f t="shared" si="33"/>
        <v>0</v>
      </c>
      <c r="BZ55" s="128">
        <v>1</v>
      </c>
      <c r="CA55" s="128">
        <f t="shared" si="34"/>
        <v>1675</v>
      </c>
      <c r="CB55" s="128"/>
      <c r="CC55" s="128">
        <f t="shared" si="35"/>
        <v>0</v>
      </c>
      <c r="CD55" s="128"/>
      <c r="CE55" s="128">
        <f t="shared" si="36"/>
        <v>0</v>
      </c>
      <c r="CF55" s="128"/>
      <c r="CG55" s="128">
        <f t="shared" si="37"/>
        <v>0</v>
      </c>
      <c r="CH55" s="128"/>
      <c r="CI55" s="128">
        <f t="shared" si="38"/>
        <v>0</v>
      </c>
      <c r="CJ55" s="128">
        <v>4</v>
      </c>
      <c r="CK55" s="128">
        <f t="shared" si="39"/>
        <v>6700</v>
      </c>
      <c r="CL55" s="128">
        <v>0</v>
      </c>
      <c r="CM55" s="128">
        <f t="shared" si="40"/>
        <v>0</v>
      </c>
      <c r="CN55" s="128">
        <v>0</v>
      </c>
      <c r="CO55" s="128">
        <f t="shared" si="41"/>
        <v>0</v>
      </c>
      <c r="CP55" s="128"/>
      <c r="CQ55" s="128"/>
      <c r="CR55" s="128"/>
      <c r="CS55" s="128"/>
      <c r="CT55" s="128"/>
      <c r="CU55" s="128"/>
      <c r="CV55" s="128"/>
      <c r="CW55" s="128"/>
      <c r="CX55" s="128"/>
    </row>
    <row r="56" spans="1:102" ht="12.75" x14ac:dyDescent="0.2">
      <c r="A56" s="5" t="s">
        <v>127</v>
      </c>
      <c r="B56" s="15">
        <v>103</v>
      </c>
      <c r="C56" s="15">
        <v>103</v>
      </c>
      <c r="D56" s="15">
        <v>200</v>
      </c>
      <c r="E56" s="15">
        <f t="shared" si="26"/>
        <v>97</v>
      </c>
      <c r="F56" s="10">
        <v>0</v>
      </c>
      <c r="G56" s="15">
        <f t="shared" si="0"/>
        <v>0</v>
      </c>
      <c r="H56" s="10">
        <v>0</v>
      </c>
      <c r="I56" s="15">
        <f t="shared" si="1"/>
        <v>0</v>
      </c>
      <c r="J56" s="10">
        <v>0</v>
      </c>
      <c r="K56" s="15">
        <f t="shared" si="2"/>
        <v>0</v>
      </c>
      <c r="L56" s="10">
        <v>0</v>
      </c>
      <c r="M56" s="15">
        <f t="shared" si="3"/>
        <v>0</v>
      </c>
      <c r="N56" s="10">
        <v>0</v>
      </c>
      <c r="O56" s="15">
        <f t="shared" si="4"/>
        <v>0</v>
      </c>
      <c r="P56" s="10">
        <v>0</v>
      </c>
      <c r="Q56" s="15">
        <f t="shared" si="5"/>
        <v>0</v>
      </c>
      <c r="R56" s="10">
        <v>0</v>
      </c>
      <c r="S56" s="83">
        <f t="shared" si="6"/>
        <v>0</v>
      </c>
      <c r="T56" s="10">
        <v>0</v>
      </c>
      <c r="U56" s="83">
        <f t="shared" si="7"/>
        <v>0</v>
      </c>
      <c r="V56" s="78">
        <v>0</v>
      </c>
      <c r="W56" s="83">
        <f t="shared" si="8"/>
        <v>0</v>
      </c>
      <c r="X56" s="78">
        <v>0</v>
      </c>
      <c r="Y56" s="83">
        <f t="shared" si="9"/>
        <v>0</v>
      </c>
      <c r="Z56" s="78">
        <v>0</v>
      </c>
      <c r="AA56" s="83">
        <f t="shared" si="10"/>
        <v>0</v>
      </c>
      <c r="AB56" s="78">
        <v>0</v>
      </c>
      <c r="AC56" s="83">
        <f t="shared" si="11"/>
        <v>0</v>
      </c>
      <c r="AD56" s="78">
        <v>0</v>
      </c>
      <c r="AE56" s="83">
        <f t="shared" si="12"/>
        <v>0</v>
      </c>
      <c r="AF56" s="78">
        <v>0</v>
      </c>
      <c r="AG56" s="83">
        <f t="shared" si="13"/>
        <v>0</v>
      </c>
      <c r="AH56" s="79">
        <v>0</v>
      </c>
      <c r="AI56" s="83">
        <f t="shared" si="14"/>
        <v>0</v>
      </c>
      <c r="AJ56" s="79">
        <v>0</v>
      </c>
      <c r="AK56" s="83">
        <f t="shared" si="15"/>
        <v>0</v>
      </c>
      <c r="AL56" s="79">
        <v>0</v>
      </c>
      <c r="AM56" s="83">
        <f t="shared" si="16"/>
        <v>0</v>
      </c>
      <c r="AN56" s="79">
        <v>0</v>
      </c>
      <c r="AO56" s="83">
        <f t="shared" si="17"/>
        <v>0</v>
      </c>
      <c r="AP56" s="79">
        <v>0</v>
      </c>
      <c r="AQ56" s="83">
        <f t="shared" si="18"/>
        <v>0</v>
      </c>
      <c r="AR56" s="79">
        <v>0</v>
      </c>
      <c r="AS56" s="83">
        <f t="shared" si="19"/>
        <v>0</v>
      </c>
      <c r="AT56" s="79">
        <v>0</v>
      </c>
      <c r="AU56" s="83">
        <f t="shared" si="20"/>
        <v>0</v>
      </c>
      <c r="AV56" s="79">
        <v>0</v>
      </c>
      <c r="AW56" s="83">
        <f t="shared" si="21"/>
        <v>0</v>
      </c>
      <c r="AX56" s="79">
        <v>0</v>
      </c>
      <c r="AY56" s="83">
        <f t="shared" si="22"/>
        <v>0</v>
      </c>
      <c r="AZ56" s="79">
        <v>0</v>
      </c>
      <c r="BA56" s="83">
        <f t="shared" si="23"/>
        <v>0</v>
      </c>
      <c r="BB56" s="79">
        <v>0</v>
      </c>
      <c r="BC56" s="83">
        <f t="shared" si="24"/>
        <v>0</v>
      </c>
      <c r="BD56" s="79">
        <v>0</v>
      </c>
      <c r="BE56" s="83">
        <f t="shared" si="25"/>
        <v>0</v>
      </c>
      <c r="BF56" s="79">
        <v>0</v>
      </c>
      <c r="BG56" s="83">
        <f t="shared" si="27"/>
        <v>0</v>
      </c>
      <c r="BH56" s="79">
        <v>0</v>
      </c>
      <c r="BI56" s="83">
        <f t="shared" si="28"/>
        <v>0</v>
      </c>
      <c r="BJ56" s="79">
        <v>0</v>
      </c>
      <c r="BK56" s="287">
        <f t="shared" si="29"/>
        <v>0</v>
      </c>
      <c r="BL56" s="299">
        <v>0</v>
      </c>
      <c r="BM56" s="128">
        <f t="shared" si="45"/>
        <v>0</v>
      </c>
      <c r="BN56" s="128"/>
      <c r="BO56" s="305">
        <f t="shared" si="42"/>
        <v>0</v>
      </c>
      <c r="BP56" s="128"/>
      <c r="BQ56" s="128">
        <f t="shared" si="43"/>
        <v>0</v>
      </c>
      <c r="BR56" s="128"/>
      <c r="BS56" s="128">
        <f t="shared" si="44"/>
        <v>0</v>
      </c>
      <c r="BT56" s="128"/>
      <c r="BU56" s="128">
        <f t="shared" si="31"/>
        <v>0</v>
      </c>
      <c r="BV56" s="128"/>
      <c r="BW56" s="128">
        <f t="shared" si="32"/>
        <v>0</v>
      </c>
      <c r="BX56" s="128"/>
      <c r="BY56" s="128">
        <f t="shared" si="33"/>
        <v>0</v>
      </c>
      <c r="BZ56" s="128"/>
      <c r="CA56" s="128">
        <f t="shared" si="34"/>
        <v>0</v>
      </c>
      <c r="CB56" s="128"/>
      <c r="CC56" s="128">
        <f t="shared" si="35"/>
        <v>0</v>
      </c>
      <c r="CD56" s="128"/>
      <c r="CE56" s="128">
        <f t="shared" si="36"/>
        <v>0</v>
      </c>
      <c r="CF56" s="128"/>
      <c r="CG56" s="128">
        <f t="shared" si="37"/>
        <v>0</v>
      </c>
      <c r="CH56" s="128"/>
      <c r="CI56" s="128">
        <f t="shared" si="38"/>
        <v>0</v>
      </c>
      <c r="CJ56" s="128"/>
      <c r="CK56" s="128">
        <f t="shared" si="39"/>
        <v>0</v>
      </c>
      <c r="CL56" s="128">
        <v>0</v>
      </c>
      <c r="CM56" s="128">
        <f t="shared" si="40"/>
        <v>0</v>
      </c>
      <c r="CN56" s="128">
        <v>0</v>
      </c>
      <c r="CO56" s="128">
        <f t="shared" si="41"/>
        <v>0</v>
      </c>
      <c r="CP56" s="128"/>
      <c r="CQ56" s="128"/>
      <c r="CR56" s="128"/>
      <c r="CS56" s="128"/>
      <c r="CT56" s="128"/>
      <c r="CU56" s="128"/>
      <c r="CV56" s="128"/>
      <c r="CW56" s="128"/>
      <c r="CX56" s="128"/>
    </row>
    <row r="57" spans="1:102" ht="12.75" x14ac:dyDescent="0.2">
      <c r="A57" s="274" t="s">
        <v>741</v>
      </c>
      <c r="B57" s="26">
        <v>66800</v>
      </c>
      <c r="C57" s="26">
        <v>3400</v>
      </c>
      <c r="D57" s="26">
        <v>5500</v>
      </c>
      <c r="E57" s="26">
        <f t="shared" si="26"/>
        <v>2100</v>
      </c>
      <c r="F57" s="10"/>
      <c r="G57" s="26"/>
      <c r="H57" s="10"/>
      <c r="I57" s="26"/>
      <c r="J57" s="10"/>
      <c r="K57" s="26"/>
      <c r="L57" s="10"/>
      <c r="M57" s="26"/>
      <c r="N57" s="10"/>
      <c r="O57" s="26"/>
      <c r="P57" s="10"/>
      <c r="Q57" s="26"/>
      <c r="R57" s="10"/>
      <c r="S57" s="83"/>
      <c r="T57" s="10"/>
      <c r="U57" s="83"/>
      <c r="V57" s="79"/>
      <c r="W57" s="83"/>
      <c r="X57" s="79"/>
      <c r="Y57" s="83"/>
      <c r="Z57" s="79"/>
      <c r="AA57" s="83"/>
      <c r="AB57" s="79"/>
      <c r="AC57" s="83"/>
      <c r="AD57" s="79"/>
      <c r="AE57" s="83"/>
      <c r="AF57" s="79"/>
      <c r="AG57" s="83"/>
      <c r="AH57" s="79"/>
      <c r="AI57" s="83"/>
      <c r="AJ57" s="79"/>
      <c r="AK57" s="83"/>
      <c r="AL57" s="79"/>
      <c r="AM57" s="83"/>
      <c r="AN57" s="79"/>
      <c r="AO57" s="83"/>
      <c r="AP57" s="79"/>
      <c r="AQ57" s="83"/>
      <c r="AR57" s="79"/>
      <c r="AS57" s="83"/>
      <c r="AT57" s="79"/>
      <c r="AU57" s="83"/>
      <c r="AV57" s="79"/>
      <c r="AW57" s="83"/>
      <c r="AX57" s="79"/>
      <c r="AY57" s="83"/>
      <c r="AZ57" s="79"/>
      <c r="BA57" s="83"/>
      <c r="BB57" s="79"/>
      <c r="BC57" s="83"/>
      <c r="BD57" s="79"/>
      <c r="BE57" s="83"/>
      <c r="BF57" s="79"/>
      <c r="BG57" s="83"/>
      <c r="BH57" s="79"/>
      <c r="BI57" s="83"/>
      <c r="BJ57" s="79"/>
      <c r="BK57" s="287"/>
      <c r="BL57" s="299"/>
      <c r="BM57" s="128"/>
      <c r="BN57" s="128"/>
      <c r="BO57" s="305">
        <f t="shared" si="42"/>
        <v>0</v>
      </c>
      <c r="BP57" s="128"/>
      <c r="BQ57" s="128">
        <f t="shared" si="43"/>
        <v>0</v>
      </c>
      <c r="BR57" s="128"/>
      <c r="BS57" s="128">
        <f t="shared" si="44"/>
        <v>0</v>
      </c>
      <c r="BT57" s="128"/>
      <c r="BU57" s="128">
        <f t="shared" si="31"/>
        <v>0</v>
      </c>
      <c r="BV57" s="128"/>
      <c r="BW57" s="128">
        <f t="shared" si="32"/>
        <v>0</v>
      </c>
      <c r="BX57" s="128"/>
      <c r="BY57" s="128">
        <f t="shared" si="33"/>
        <v>0</v>
      </c>
      <c r="BZ57" s="128"/>
      <c r="CA57" s="128">
        <f t="shared" si="34"/>
        <v>0</v>
      </c>
      <c r="CB57" s="128"/>
      <c r="CC57" s="128">
        <f t="shared" si="35"/>
        <v>0</v>
      </c>
      <c r="CD57" s="128"/>
      <c r="CE57" s="128">
        <f t="shared" si="36"/>
        <v>0</v>
      </c>
      <c r="CF57" s="128"/>
      <c r="CG57" s="128">
        <f t="shared" si="37"/>
        <v>0</v>
      </c>
      <c r="CH57" s="128">
        <v>1</v>
      </c>
      <c r="CI57" s="128">
        <f t="shared" si="38"/>
        <v>2100</v>
      </c>
      <c r="CJ57" s="128"/>
      <c r="CK57" s="128">
        <f t="shared" si="39"/>
        <v>0</v>
      </c>
      <c r="CL57" s="128">
        <v>0</v>
      </c>
      <c r="CM57" s="128">
        <f t="shared" si="40"/>
        <v>0</v>
      </c>
      <c r="CN57" s="128">
        <v>0</v>
      </c>
      <c r="CO57" s="128">
        <f t="shared" si="41"/>
        <v>0</v>
      </c>
      <c r="CP57" s="128"/>
      <c r="CQ57" s="128"/>
      <c r="CR57" s="128"/>
      <c r="CS57" s="128"/>
      <c r="CT57" s="128"/>
      <c r="CU57" s="128"/>
      <c r="CV57" s="128"/>
      <c r="CW57" s="128"/>
      <c r="CX57" s="128"/>
    </row>
    <row r="58" spans="1:102" ht="12.75" x14ac:dyDescent="0.2">
      <c r="A58" s="5" t="s">
        <v>128</v>
      </c>
      <c r="B58" s="15">
        <v>352</v>
      </c>
      <c r="C58" s="15">
        <v>352</v>
      </c>
      <c r="D58" s="15">
        <v>700</v>
      </c>
      <c r="E58" s="15">
        <f t="shared" si="26"/>
        <v>348</v>
      </c>
      <c r="F58" s="10">
        <v>0</v>
      </c>
      <c r="G58" s="15">
        <f t="shared" si="0"/>
        <v>0</v>
      </c>
      <c r="H58" s="10">
        <v>0</v>
      </c>
      <c r="I58" s="15">
        <f t="shared" si="1"/>
        <v>0</v>
      </c>
      <c r="J58" s="10">
        <v>0</v>
      </c>
      <c r="K58" s="15">
        <f t="shared" si="2"/>
        <v>0</v>
      </c>
      <c r="L58" s="10">
        <v>0</v>
      </c>
      <c r="M58" s="15">
        <f t="shared" si="3"/>
        <v>0</v>
      </c>
      <c r="N58" s="10">
        <v>0</v>
      </c>
      <c r="O58" s="15">
        <f t="shared" si="4"/>
        <v>0</v>
      </c>
      <c r="P58" s="10">
        <v>0</v>
      </c>
      <c r="Q58" s="15">
        <f t="shared" si="5"/>
        <v>0</v>
      </c>
      <c r="R58" s="10">
        <v>0</v>
      </c>
      <c r="S58" s="83">
        <f t="shared" si="6"/>
        <v>0</v>
      </c>
      <c r="T58" s="10">
        <v>0</v>
      </c>
      <c r="U58" s="83">
        <f t="shared" si="7"/>
        <v>0</v>
      </c>
      <c r="V58" s="78">
        <v>0</v>
      </c>
      <c r="W58" s="83">
        <f t="shared" si="8"/>
        <v>0</v>
      </c>
      <c r="X58" s="78">
        <v>0</v>
      </c>
      <c r="Y58" s="83">
        <f t="shared" si="9"/>
        <v>0</v>
      </c>
      <c r="Z58" s="78">
        <v>0</v>
      </c>
      <c r="AA58" s="83">
        <f t="shared" si="10"/>
        <v>0</v>
      </c>
      <c r="AB58" s="78">
        <v>0</v>
      </c>
      <c r="AC58" s="83">
        <f t="shared" si="11"/>
        <v>0</v>
      </c>
      <c r="AD58" s="78">
        <v>0</v>
      </c>
      <c r="AE58" s="83">
        <f t="shared" si="12"/>
        <v>0</v>
      </c>
      <c r="AF58" s="78">
        <v>0</v>
      </c>
      <c r="AG58" s="83">
        <f t="shared" si="13"/>
        <v>0</v>
      </c>
      <c r="AH58" s="79">
        <v>0</v>
      </c>
      <c r="AI58" s="83">
        <f t="shared" si="14"/>
        <v>0</v>
      </c>
      <c r="AJ58" s="79">
        <v>0</v>
      </c>
      <c r="AK58" s="83">
        <f t="shared" si="15"/>
        <v>0</v>
      </c>
      <c r="AL58" s="79">
        <v>0</v>
      </c>
      <c r="AM58" s="83">
        <f t="shared" si="16"/>
        <v>0</v>
      </c>
      <c r="AN58" s="79">
        <v>0</v>
      </c>
      <c r="AO58" s="83">
        <f t="shared" si="17"/>
        <v>0</v>
      </c>
      <c r="AP58" s="79">
        <v>0</v>
      </c>
      <c r="AQ58" s="83">
        <f t="shared" si="18"/>
        <v>0</v>
      </c>
      <c r="AR58" s="79">
        <v>0</v>
      </c>
      <c r="AS58" s="83">
        <f t="shared" si="19"/>
        <v>0</v>
      </c>
      <c r="AT58" s="79">
        <v>0</v>
      </c>
      <c r="AU58" s="83">
        <f t="shared" si="20"/>
        <v>0</v>
      </c>
      <c r="AV58" s="79">
        <v>0</v>
      </c>
      <c r="AW58" s="83">
        <f t="shared" si="21"/>
        <v>0</v>
      </c>
      <c r="AX58" s="79">
        <v>0</v>
      </c>
      <c r="AY58" s="83">
        <f t="shared" si="22"/>
        <v>0</v>
      </c>
      <c r="AZ58" s="79">
        <v>0</v>
      </c>
      <c r="BA58" s="83">
        <f t="shared" si="23"/>
        <v>0</v>
      </c>
      <c r="BB58" s="79">
        <v>0</v>
      </c>
      <c r="BC58" s="83">
        <f t="shared" si="24"/>
        <v>0</v>
      </c>
      <c r="BD58" s="79">
        <v>0</v>
      </c>
      <c r="BE58" s="83">
        <f t="shared" si="25"/>
        <v>0</v>
      </c>
      <c r="BF58" s="79">
        <v>0</v>
      </c>
      <c r="BG58" s="83">
        <f t="shared" si="27"/>
        <v>0</v>
      </c>
      <c r="BH58" s="79">
        <v>0</v>
      </c>
      <c r="BI58" s="83">
        <f t="shared" si="28"/>
        <v>0</v>
      </c>
      <c r="BJ58" s="79">
        <v>0</v>
      </c>
      <c r="BK58" s="287">
        <f t="shared" si="29"/>
        <v>0</v>
      </c>
      <c r="BL58" s="128">
        <v>3</v>
      </c>
      <c r="BM58" s="128">
        <f t="shared" si="45"/>
        <v>1044</v>
      </c>
      <c r="BN58" s="128"/>
      <c r="BO58" s="305">
        <f t="shared" si="42"/>
        <v>0</v>
      </c>
      <c r="BP58" s="128"/>
      <c r="BQ58" s="128">
        <f t="shared" si="43"/>
        <v>0</v>
      </c>
      <c r="BR58" s="128"/>
      <c r="BS58" s="128">
        <f t="shared" si="44"/>
        <v>0</v>
      </c>
      <c r="BT58" s="128"/>
      <c r="BU58" s="128">
        <f t="shared" si="31"/>
        <v>0</v>
      </c>
      <c r="BV58" s="128"/>
      <c r="BW58" s="128">
        <f t="shared" si="32"/>
        <v>0</v>
      </c>
      <c r="BX58" s="128"/>
      <c r="BY58" s="128">
        <f t="shared" si="33"/>
        <v>0</v>
      </c>
      <c r="BZ58" s="128"/>
      <c r="CA58" s="128">
        <f t="shared" si="34"/>
        <v>0</v>
      </c>
      <c r="CB58" s="128"/>
      <c r="CC58" s="128">
        <f t="shared" si="35"/>
        <v>0</v>
      </c>
      <c r="CD58" s="128">
        <v>4</v>
      </c>
      <c r="CE58" s="128">
        <f t="shared" si="36"/>
        <v>1392</v>
      </c>
      <c r="CF58" s="128"/>
      <c r="CG58" s="128">
        <f t="shared" si="37"/>
        <v>0</v>
      </c>
      <c r="CH58" s="128"/>
      <c r="CI58" s="128">
        <f t="shared" si="38"/>
        <v>0</v>
      </c>
      <c r="CJ58" s="128"/>
      <c r="CK58" s="128">
        <f t="shared" si="39"/>
        <v>0</v>
      </c>
      <c r="CL58" s="128">
        <v>0</v>
      </c>
      <c r="CM58" s="128">
        <f t="shared" si="40"/>
        <v>0</v>
      </c>
      <c r="CN58" s="128">
        <v>0</v>
      </c>
      <c r="CO58" s="128">
        <f t="shared" si="41"/>
        <v>0</v>
      </c>
      <c r="CP58" s="128"/>
      <c r="CQ58" s="128"/>
      <c r="CR58" s="128"/>
      <c r="CS58" s="128"/>
      <c r="CT58" s="128"/>
      <c r="CU58" s="128"/>
      <c r="CV58" s="128"/>
      <c r="CW58" s="128"/>
      <c r="CX58" s="128"/>
    </row>
    <row r="59" spans="1:102" ht="12.75" x14ac:dyDescent="0.2">
      <c r="A59" s="5" t="s">
        <v>129</v>
      </c>
      <c r="B59" s="15">
        <v>60000</v>
      </c>
      <c r="C59" s="15">
        <v>60000</v>
      </c>
      <c r="D59" s="15">
        <v>100000</v>
      </c>
      <c r="E59" s="15">
        <f t="shared" si="26"/>
        <v>40000</v>
      </c>
      <c r="F59" s="10">
        <v>0</v>
      </c>
      <c r="G59" s="15">
        <f t="shared" si="0"/>
        <v>0</v>
      </c>
      <c r="H59" s="10">
        <v>0</v>
      </c>
      <c r="I59" s="15">
        <f t="shared" si="1"/>
        <v>0</v>
      </c>
      <c r="J59" s="10">
        <v>0</v>
      </c>
      <c r="K59" s="15">
        <f t="shared" si="2"/>
        <v>0</v>
      </c>
      <c r="L59" s="10">
        <v>0</v>
      </c>
      <c r="M59" s="15">
        <f t="shared" si="3"/>
        <v>0</v>
      </c>
      <c r="N59" s="10">
        <v>0</v>
      </c>
      <c r="O59" s="15">
        <f t="shared" si="4"/>
        <v>0</v>
      </c>
      <c r="P59" s="10">
        <v>0</v>
      </c>
      <c r="Q59" s="15">
        <f t="shared" si="5"/>
        <v>0</v>
      </c>
      <c r="R59" s="10">
        <v>0</v>
      </c>
      <c r="S59" s="83">
        <f t="shared" si="6"/>
        <v>0</v>
      </c>
      <c r="T59" s="10">
        <v>3</v>
      </c>
      <c r="U59" s="83">
        <f t="shared" si="7"/>
        <v>120000</v>
      </c>
      <c r="V59" s="78">
        <v>0</v>
      </c>
      <c r="W59" s="83">
        <f t="shared" si="8"/>
        <v>0</v>
      </c>
      <c r="X59" s="78">
        <v>0</v>
      </c>
      <c r="Y59" s="83">
        <f t="shared" si="9"/>
        <v>0</v>
      </c>
      <c r="Z59" s="78">
        <v>0</v>
      </c>
      <c r="AA59" s="83">
        <f t="shared" si="10"/>
        <v>0</v>
      </c>
      <c r="AB59" s="78">
        <v>0</v>
      </c>
      <c r="AC59" s="83">
        <f t="shared" si="11"/>
        <v>0</v>
      </c>
      <c r="AD59" s="78">
        <v>0</v>
      </c>
      <c r="AE59" s="83">
        <f t="shared" si="12"/>
        <v>0</v>
      </c>
      <c r="AF59" s="78">
        <v>0</v>
      </c>
      <c r="AG59" s="83">
        <f t="shared" si="13"/>
        <v>0</v>
      </c>
      <c r="AH59" s="79">
        <v>0</v>
      </c>
      <c r="AI59" s="83">
        <f t="shared" si="14"/>
        <v>0</v>
      </c>
      <c r="AJ59" s="79">
        <v>0</v>
      </c>
      <c r="AK59" s="83">
        <f t="shared" si="15"/>
        <v>0</v>
      </c>
      <c r="AL59" s="79">
        <v>0</v>
      </c>
      <c r="AM59" s="83">
        <f t="shared" si="16"/>
        <v>0</v>
      </c>
      <c r="AN59" s="79">
        <v>0</v>
      </c>
      <c r="AO59" s="83">
        <f t="shared" si="17"/>
        <v>0</v>
      </c>
      <c r="AP59" s="79">
        <v>0</v>
      </c>
      <c r="AQ59" s="83">
        <f t="shared" si="18"/>
        <v>0</v>
      </c>
      <c r="AR59" s="79">
        <v>0</v>
      </c>
      <c r="AS59" s="83">
        <f t="shared" si="19"/>
        <v>0</v>
      </c>
      <c r="AT59" s="79">
        <v>0</v>
      </c>
      <c r="AU59" s="83">
        <f t="shared" si="20"/>
        <v>0</v>
      </c>
      <c r="AV59" s="79">
        <v>0</v>
      </c>
      <c r="AW59" s="83">
        <f t="shared" si="21"/>
        <v>0</v>
      </c>
      <c r="AX59" s="79">
        <v>0</v>
      </c>
      <c r="AY59" s="83">
        <f t="shared" si="22"/>
        <v>0</v>
      </c>
      <c r="AZ59" s="79">
        <v>0</v>
      </c>
      <c r="BA59" s="83">
        <f t="shared" si="23"/>
        <v>0</v>
      </c>
      <c r="BB59" s="79">
        <v>0</v>
      </c>
      <c r="BC59" s="83">
        <f t="shared" si="24"/>
        <v>0</v>
      </c>
      <c r="BD59" s="79">
        <v>0</v>
      </c>
      <c r="BE59" s="83">
        <f t="shared" si="25"/>
        <v>0</v>
      </c>
      <c r="BF59" s="79">
        <v>0</v>
      </c>
      <c r="BG59" s="83">
        <f t="shared" si="27"/>
        <v>0</v>
      </c>
      <c r="BH59" s="79">
        <v>0</v>
      </c>
      <c r="BI59" s="83">
        <f t="shared" si="28"/>
        <v>0</v>
      </c>
      <c r="BJ59" s="79">
        <v>0</v>
      </c>
      <c r="BK59" s="300">
        <v>0</v>
      </c>
      <c r="BL59" s="299">
        <v>0</v>
      </c>
      <c r="BM59" s="128">
        <f t="shared" si="45"/>
        <v>0</v>
      </c>
      <c r="BN59" s="128"/>
      <c r="BO59" s="305">
        <f t="shared" si="42"/>
        <v>0</v>
      </c>
      <c r="BP59" s="128"/>
      <c r="BQ59" s="128">
        <f t="shared" si="43"/>
        <v>0</v>
      </c>
      <c r="BR59" s="128"/>
      <c r="BS59" s="128">
        <f t="shared" si="44"/>
        <v>0</v>
      </c>
      <c r="BT59" s="128"/>
      <c r="BU59" s="128">
        <f t="shared" si="31"/>
        <v>0</v>
      </c>
      <c r="BV59" s="128"/>
      <c r="BW59" s="128">
        <f t="shared" si="32"/>
        <v>0</v>
      </c>
      <c r="BX59" s="128"/>
      <c r="BY59" s="128">
        <f t="shared" si="33"/>
        <v>0</v>
      </c>
      <c r="BZ59" s="128"/>
      <c r="CA59" s="128">
        <f t="shared" si="34"/>
        <v>0</v>
      </c>
      <c r="CB59" s="128"/>
      <c r="CC59" s="128">
        <f t="shared" si="35"/>
        <v>0</v>
      </c>
      <c r="CD59" s="128"/>
      <c r="CE59" s="128">
        <f t="shared" si="36"/>
        <v>0</v>
      </c>
      <c r="CF59" s="128"/>
      <c r="CG59" s="128">
        <f t="shared" si="37"/>
        <v>0</v>
      </c>
      <c r="CH59" s="128"/>
      <c r="CI59" s="128">
        <f t="shared" si="38"/>
        <v>0</v>
      </c>
      <c r="CJ59" s="128"/>
      <c r="CK59" s="128">
        <f t="shared" si="39"/>
        <v>0</v>
      </c>
      <c r="CL59" s="128">
        <v>0</v>
      </c>
      <c r="CM59" s="128">
        <f t="shared" si="40"/>
        <v>0</v>
      </c>
      <c r="CN59" s="128">
        <v>0</v>
      </c>
      <c r="CO59" s="128">
        <f t="shared" si="41"/>
        <v>0</v>
      </c>
      <c r="CP59" s="128"/>
      <c r="CQ59" s="128"/>
      <c r="CR59" s="128"/>
      <c r="CS59" s="128"/>
      <c r="CT59" s="128"/>
      <c r="CU59" s="128"/>
      <c r="CV59" s="128"/>
      <c r="CW59" s="128"/>
      <c r="CX59" s="128"/>
    </row>
    <row r="60" spans="1:102" ht="15.75" customHeight="1" x14ac:dyDescent="0.25">
      <c r="A60" s="82" t="s">
        <v>478</v>
      </c>
      <c r="B60" s="84">
        <v>2337</v>
      </c>
      <c r="C60" s="15">
        <v>2337</v>
      </c>
      <c r="D60" s="15">
        <v>4000</v>
      </c>
      <c r="E60" s="15">
        <f t="shared" si="26"/>
        <v>1663</v>
      </c>
      <c r="F60" s="41"/>
      <c r="G60" s="15"/>
      <c r="H60" s="41"/>
      <c r="I60" s="15"/>
      <c r="J60" s="41"/>
      <c r="K60" s="15"/>
      <c r="M60" s="15"/>
      <c r="O60" s="15"/>
      <c r="Q60" s="15"/>
      <c r="S60" s="24"/>
      <c r="T60" s="19">
        <v>10</v>
      </c>
      <c r="U60" s="83">
        <f t="shared" si="7"/>
        <v>16630</v>
      </c>
      <c r="V60" s="7">
        <v>4</v>
      </c>
      <c r="W60" s="83">
        <f t="shared" si="8"/>
        <v>6652</v>
      </c>
      <c r="X60" s="78">
        <v>0</v>
      </c>
      <c r="Y60" s="83">
        <f t="shared" si="9"/>
        <v>0</v>
      </c>
      <c r="Z60" s="78">
        <v>0</v>
      </c>
      <c r="AA60" s="83">
        <f t="shared" si="10"/>
        <v>0</v>
      </c>
      <c r="AB60" s="78">
        <v>0</v>
      </c>
      <c r="AC60" s="83">
        <f t="shared" si="11"/>
        <v>0</v>
      </c>
      <c r="AD60" s="78">
        <v>0</v>
      </c>
      <c r="AE60" s="83">
        <f t="shared" si="12"/>
        <v>0</v>
      </c>
      <c r="AF60" s="78">
        <v>0</v>
      </c>
      <c r="AG60" s="83">
        <f t="shared" si="13"/>
        <v>0</v>
      </c>
      <c r="AH60" s="79">
        <v>0</v>
      </c>
      <c r="AI60" s="83">
        <f t="shared" si="14"/>
        <v>0</v>
      </c>
      <c r="AJ60" s="79">
        <v>0</v>
      </c>
      <c r="AK60" s="83">
        <f t="shared" si="15"/>
        <v>0</v>
      </c>
      <c r="AL60" s="79">
        <v>0</v>
      </c>
      <c r="AM60" s="83">
        <f t="shared" si="16"/>
        <v>0</v>
      </c>
      <c r="AN60" s="79">
        <v>0</v>
      </c>
      <c r="AO60" s="83">
        <f t="shared" si="17"/>
        <v>0</v>
      </c>
      <c r="AP60" s="79">
        <v>0</v>
      </c>
      <c r="AQ60" s="83">
        <f t="shared" si="18"/>
        <v>0</v>
      </c>
      <c r="AR60" s="79">
        <v>0</v>
      </c>
      <c r="AS60" s="83">
        <f t="shared" si="19"/>
        <v>0</v>
      </c>
      <c r="AT60" s="79">
        <v>0</v>
      </c>
      <c r="AU60" s="83">
        <f t="shared" si="20"/>
        <v>0</v>
      </c>
      <c r="AV60" s="79">
        <v>0</v>
      </c>
      <c r="AW60" s="83">
        <f t="shared" si="21"/>
        <v>0</v>
      </c>
      <c r="AX60" s="79">
        <v>0</v>
      </c>
      <c r="AY60" s="83">
        <f t="shared" si="22"/>
        <v>0</v>
      </c>
      <c r="AZ60" s="79">
        <v>0</v>
      </c>
      <c r="BA60" s="83">
        <f t="shared" si="23"/>
        <v>0</v>
      </c>
      <c r="BB60" s="79">
        <v>0</v>
      </c>
      <c r="BC60" s="83">
        <f t="shared" si="24"/>
        <v>0</v>
      </c>
      <c r="BD60" s="79">
        <v>0</v>
      </c>
      <c r="BE60" s="83">
        <f t="shared" si="25"/>
        <v>0</v>
      </c>
      <c r="BF60" s="79">
        <v>0</v>
      </c>
      <c r="BG60" s="83">
        <f t="shared" si="27"/>
        <v>0</v>
      </c>
      <c r="BH60" s="79">
        <v>0</v>
      </c>
      <c r="BI60" s="83">
        <f t="shared" si="28"/>
        <v>0</v>
      </c>
      <c r="BJ60" s="79">
        <v>0</v>
      </c>
      <c r="BK60" s="287">
        <f t="shared" si="29"/>
        <v>0</v>
      </c>
      <c r="BL60" s="299">
        <v>0</v>
      </c>
      <c r="BM60" s="128">
        <f t="shared" si="45"/>
        <v>0</v>
      </c>
      <c r="BN60" s="128"/>
      <c r="BO60" s="305">
        <f t="shared" si="42"/>
        <v>0</v>
      </c>
      <c r="BP60" s="128"/>
      <c r="BQ60" s="128">
        <f t="shared" si="43"/>
        <v>0</v>
      </c>
      <c r="BR60" s="128"/>
      <c r="BS60" s="128">
        <f t="shared" si="44"/>
        <v>0</v>
      </c>
      <c r="BT60" s="128"/>
      <c r="BU60" s="128">
        <f t="shared" si="31"/>
        <v>0</v>
      </c>
      <c r="BV60" s="128"/>
      <c r="BW60" s="128">
        <f t="shared" si="32"/>
        <v>0</v>
      </c>
      <c r="BX60" s="128"/>
      <c r="BY60" s="128">
        <f t="shared" si="33"/>
        <v>0</v>
      </c>
      <c r="BZ60" s="128"/>
      <c r="CA60" s="128">
        <f t="shared" si="34"/>
        <v>0</v>
      </c>
      <c r="CB60" s="128"/>
      <c r="CC60" s="128">
        <f t="shared" si="35"/>
        <v>0</v>
      </c>
      <c r="CD60" s="128"/>
      <c r="CE60" s="128">
        <f t="shared" si="36"/>
        <v>0</v>
      </c>
      <c r="CF60" s="128"/>
      <c r="CG60" s="128">
        <f t="shared" si="37"/>
        <v>0</v>
      </c>
      <c r="CH60" s="128"/>
      <c r="CI60" s="128">
        <f t="shared" si="38"/>
        <v>0</v>
      </c>
      <c r="CJ60" s="128"/>
      <c r="CK60" s="128">
        <f t="shared" si="39"/>
        <v>0</v>
      </c>
      <c r="CL60" s="128">
        <v>0</v>
      </c>
      <c r="CM60" s="128">
        <f t="shared" si="40"/>
        <v>0</v>
      </c>
      <c r="CN60" s="128">
        <v>0</v>
      </c>
      <c r="CO60" s="128">
        <f t="shared" si="41"/>
        <v>0</v>
      </c>
      <c r="CP60" s="128"/>
      <c r="CQ60" s="128"/>
      <c r="CR60" s="128"/>
      <c r="CS60" s="128"/>
      <c r="CT60" s="128"/>
      <c r="CU60" s="128"/>
      <c r="CV60" s="128"/>
      <c r="CW60" s="128"/>
      <c r="CX60" s="128"/>
    </row>
    <row r="61" spans="1:102" ht="12.75" x14ac:dyDescent="0.2">
      <c r="A61" s="23"/>
      <c r="B61" s="23"/>
      <c r="C61" s="23"/>
      <c r="D61" s="23"/>
      <c r="E61" s="23"/>
      <c r="F61" s="41"/>
      <c r="G61" s="15">
        <f>SUM(G2:G59)</f>
        <v>125851</v>
      </c>
      <c r="H61" s="41"/>
      <c r="I61" s="15">
        <f>SUM(I2:I59)</f>
        <v>105000</v>
      </c>
      <c r="J61" s="41"/>
      <c r="K61" s="15">
        <f>SUM(K2:K59)</f>
        <v>5552</v>
      </c>
      <c r="M61" s="15">
        <f>SUM(M2:M59)</f>
        <v>33198</v>
      </c>
      <c r="O61" s="15">
        <f>SUM(O2:O59)</f>
        <v>95970</v>
      </c>
      <c r="Q61" s="15">
        <f>SUM(Q2:Q59)</f>
        <v>109417</v>
      </c>
      <c r="S61" s="83">
        <f>SUM(S2:S59)</f>
        <v>108680</v>
      </c>
      <c r="U61" s="83">
        <f>SUM(U2:U59)</f>
        <v>213745</v>
      </c>
      <c r="W61" s="83">
        <f>SUM(W2:W59)</f>
        <v>182863</v>
      </c>
      <c r="Y61" s="83">
        <f>SUM(Y2:Y59)</f>
        <v>107339</v>
      </c>
      <c r="AA61" s="83">
        <f>SUM(AA2:AA59)</f>
        <v>117648</v>
      </c>
      <c r="AC61" s="83">
        <f>SUM(AC2:AC59)</f>
        <v>79619</v>
      </c>
      <c r="AE61" s="83">
        <f>SUM(AE2:AE59)</f>
        <v>26238</v>
      </c>
      <c r="AG61" s="83">
        <f>SUM(AG2:AG59)</f>
        <v>127943</v>
      </c>
      <c r="AI61" s="83">
        <f>SUM(AI2:AI59)</f>
        <v>207473</v>
      </c>
      <c r="AK61" s="83">
        <f>SUM(AK2:AK59)</f>
        <v>121671</v>
      </c>
      <c r="AM61" s="83">
        <f>SUM(AM2:AM59)</f>
        <v>243995</v>
      </c>
      <c r="AO61" s="83">
        <f>SUM(AO2:AO59)</f>
        <v>24565</v>
      </c>
      <c r="AQ61" s="83">
        <f>SUM(AQ2:AQ59)</f>
        <v>80724</v>
      </c>
      <c r="AS61" s="83">
        <f>SUM(AS2:AS59)</f>
        <v>332676</v>
      </c>
      <c r="AU61" s="83">
        <f>SUM(AU2:AU59)</f>
        <v>70726</v>
      </c>
      <c r="AW61" s="83">
        <f>SUM(AW2:AW59)</f>
        <v>202217</v>
      </c>
      <c r="AY61" s="83">
        <f>SUM(AY2:AY60)</f>
        <v>235047</v>
      </c>
      <c r="BA61" s="83">
        <f>SUM(BA2:BA60)</f>
        <v>205385</v>
      </c>
      <c r="BC61" s="83">
        <f>SUM(BC2:BC60)</f>
        <v>408762</v>
      </c>
      <c r="BE61" s="83">
        <f>SUM(BE2:BE60)</f>
        <v>30555</v>
      </c>
      <c r="BG61" s="83">
        <f>SUM(BG2:BG60)</f>
        <v>95947</v>
      </c>
      <c r="BI61" s="83">
        <f>SUM(BI2:BI60)</f>
        <v>187789</v>
      </c>
      <c r="BK61" s="287">
        <f>SUM(BK2:BK60)</f>
        <v>299506</v>
      </c>
      <c r="BL61" s="128"/>
      <c r="BM61" s="128">
        <f t="shared" si="45"/>
        <v>0</v>
      </c>
      <c r="BN61" s="128"/>
      <c r="BO61" s="305">
        <f t="shared" si="42"/>
        <v>0</v>
      </c>
      <c r="BP61" s="128"/>
      <c r="BQ61" s="128">
        <f t="shared" si="43"/>
        <v>0</v>
      </c>
      <c r="BR61" s="128"/>
      <c r="BS61" s="128">
        <f t="shared" si="44"/>
        <v>0</v>
      </c>
      <c r="BT61" s="128"/>
      <c r="BU61" s="128">
        <f t="shared" si="31"/>
        <v>0</v>
      </c>
      <c r="BV61" s="128"/>
      <c r="BW61" s="128">
        <f t="shared" si="32"/>
        <v>0</v>
      </c>
      <c r="BX61" s="128"/>
      <c r="BY61" s="128">
        <f t="shared" si="33"/>
        <v>0</v>
      </c>
      <c r="BZ61" s="128"/>
      <c r="CA61" s="128">
        <f t="shared" si="34"/>
        <v>0</v>
      </c>
      <c r="CB61" s="128"/>
      <c r="CC61" s="128">
        <f t="shared" si="35"/>
        <v>0</v>
      </c>
      <c r="CD61" s="128"/>
      <c r="CE61" s="128">
        <f t="shared" si="36"/>
        <v>0</v>
      </c>
      <c r="CF61" s="128"/>
      <c r="CG61" s="128">
        <f t="shared" si="37"/>
        <v>0</v>
      </c>
      <c r="CH61" s="128"/>
      <c r="CI61" s="128">
        <f t="shared" si="38"/>
        <v>0</v>
      </c>
      <c r="CJ61" s="128"/>
      <c r="CK61" s="128">
        <f t="shared" si="39"/>
        <v>0</v>
      </c>
      <c r="CL61" s="128">
        <v>0</v>
      </c>
      <c r="CM61" s="128">
        <f t="shared" si="40"/>
        <v>0</v>
      </c>
      <c r="CN61" s="128">
        <v>0</v>
      </c>
      <c r="CO61" s="128">
        <f t="shared" si="41"/>
        <v>0</v>
      </c>
      <c r="CP61" s="128"/>
      <c r="CQ61" s="128"/>
      <c r="CR61" s="128"/>
      <c r="CS61" s="128"/>
      <c r="CT61" s="128"/>
      <c r="CU61" s="128"/>
      <c r="CV61" s="128"/>
      <c r="CW61" s="128"/>
      <c r="CX61" s="128"/>
    </row>
    <row r="62" spans="1:102" ht="12.75" x14ac:dyDescent="0.2">
      <c r="G62" s="15"/>
      <c r="I62" s="15"/>
      <c r="K62" s="15"/>
      <c r="M62" s="15"/>
      <c r="O62" s="15"/>
      <c r="Q62" s="15"/>
      <c r="BM62" s="288">
        <f>SUM(BM3:BM61)</f>
        <v>99416</v>
      </c>
      <c r="BO62" s="304">
        <f>SUM(BO2:BO61)</f>
        <v>79910</v>
      </c>
      <c r="BQ62" s="288">
        <f>SUM(BQ2:BQ61)</f>
        <v>268936</v>
      </c>
      <c r="BS62" s="288">
        <f>SUM(BS2:BS61)</f>
        <v>176442</v>
      </c>
      <c r="BU62" s="288">
        <f>SUM(BU2:BU61)</f>
        <v>85329</v>
      </c>
      <c r="BW62" s="288">
        <f>SUM(BW2:BW61)</f>
        <v>225883</v>
      </c>
      <c r="BY62" s="288">
        <f>SUM(BY2:BY61)</f>
        <v>70185</v>
      </c>
      <c r="CA62" s="288">
        <f>SUM(CA2:CA61)</f>
        <v>188063</v>
      </c>
      <c r="CC62" s="288">
        <f>SUM(CC2:CC61)</f>
        <v>185815</v>
      </c>
      <c r="CE62" s="288">
        <f>SUM(CE2:CE61)</f>
        <v>262375</v>
      </c>
      <c r="CG62" s="288">
        <f>SUM(CG2:CG61)</f>
        <v>191640</v>
      </c>
      <c r="CI62" s="288">
        <f>SUM(CI2:CI61)</f>
        <v>44912</v>
      </c>
      <c r="CK62" s="288">
        <f>SUM(CK2:CK61)</f>
        <v>126410</v>
      </c>
      <c r="CM62" s="288">
        <f>SUM(CM2:CM61)</f>
        <v>71237</v>
      </c>
      <c r="CO62" s="288">
        <f>SUM(CO2:CO61)</f>
        <v>10621</v>
      </c>
    </row>
    <row r="63" spans="1:102" ht="12.75" x14ac:dyDescent="0.2">
      <c r="G63" s="15"/>
      <c r="I63" s="15"/>
      <c r="K63" s="15"/>
      <c r="M63" s="15"/>
      <c r="O63" s="15"/>
      <c r="Q63" s="15"/>
    </row>
  </sheetData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02CB1-FE66-4AF3-97E4-847A48E9C662}">
  <dimension ref="A1:K17"/>
  <sheetViews>
    <sheetView workbookViewId="0">
      <selection activeCell="F21" sqref="F21"/>
    </sheetView>
  </sheetViews>
  <sheetFormatPr baseColWidth="10" defaultRowHeight="12.75" x14ac:dyDescent="0.2"/>
  <cols>
    <col min="2" max="2" width="21.42578125" customWidth="1"/>
  </cols>
  <sheetData>
    <row r="1" spans="1:11" ht="14.25" thickTop="1" thickBot="1" x14ac:dyDescent="0.25">
      <c r="A1" s="71" t="s">
        <v>315</v>
      </c>
      <c r="B1" s="71" t="s">
        <v>316</v>
      </c>
      <c r="C1" s="71" t="s">
        <v>317</v>
      </c>
      <c r="D1" s="71" t="s">
        <v>318</v>
      </c>
      <c r="E1" s="71" t="s">
        <v>319</v>
      </c>
      <c r="F1" s="71" t="s">
        <v>320</v>
      </c>
      <c r="G1" s="71" t="s">
        <v>388</v>
      </c>
      <c r="H1" s="71" t="s">
        <v>389</v>
      </c>
      <c r="I1" s="71" t="s">
        <v>321</v>
      </c>
      <c r="J1" s="71" t="s">
        <v>322</v>
      </c>
      <c r="K1" s="30"/>
    </row>
    <row r="2" spans="1:11" ht="14.25" thickTop="1" thickBot="1" x14ac:dyDescent="0.25">
      <c r="A2" s="306">
        <v>45778</v>
      </c>
      <c r="B2" s="86">
        <v>236000</v>
      </c>
      <c r="C2" s="86">
        <v>94414</v>
      </c>
      <c r="D2" s="86">
        <v>50000</v>
      </c>
      <c r="E2" s="89">
        <v>53225</v>
      </c>
      <c r="F2" s="86"/>
      <c r="G2" s="87">
        <v>2580</v>
      </c>
      <c r="H2" s="87">
        <v>337</v>
      </c>
      <c r="I2" s="103"/>
      <c r="J2" s="89">
        <f>C2-D2-E2-G2-H2</f>
        <v>-11728</v>
      </c>
      <c r="K2" s="90"/>
    </row>
    <row r="3" spans="1:11" ht="14.25" thickTop="1" thickBot="1" x14ac:dyDescent="0.25">
      <c r="A3" s="306">
        <v>45779</v>
      </c>
      <c r="B3" s="65">
        <v>177900</v>
      </c>
      <c r="C3" s="65">
        <v>79910</v>
      </c>
      <c r="D3" s="86">
        <v>50000</v>
      </c>
      <c r="E3" s="89">
        <v>53225</v>
      </c>
      <c r="F3" s="65"/>
      <c r="G3" s="87">
        <v>2580</v>
      </c>
      <c r="H3" s="87">
        <v>337</v>
      </c>
      <c r="I3" s="103"/>
      <c r="J3" s="89">
        <f t="shared" ref="J3:J16" si="0">C3-D3-E3-G3-H3</f>
        <v>-26232</v>
      </c>
      <c r="K3" s="90"/>
    </row>
    <row r="4" spans="1:11" ht="14.25" thickTop="1" thickBot="1" x14ac:dyDescent="0.25">
      <c r="A4" s="306">
        <v>45780</v>
      </c>
      <c r="B4" s="65">
        <v>619900</v>
      </c>
      <c r="C4" s="308">
        <v>268936</v>
      </c>
      <c r="D4" s="86">
        <v>50000</v>
      </c>
      <c r="E4" s="89">
        <v>53225</v>
      </c>
      <c r="F4" s="65"/>
      <c r="G4" s="87">
        <v>2580</v>
      </c>
      <c r="H4" s="87">
        <v>337</v>
      </c>
      <c r="I4" s="103"/>
      <c r="J4" s="89">
        <f t="shared" si="0"/>
        <v>162794</v>
      </c>
      <c r="K4" s="90"/>
    </row>
    <row r="5" spans="1:11" ht="14.25" thickTop="1" thickBot="1" x14ac:dyDescent="0.25">
      <c r="A5" s="306">
        <v>45781</v>
      </c>
      <c r="B5" s="65">
        <v>417800</v>
      </c>
      <c r="C5" s="65">
        <v>176442</v>
      </c>
      <c r="D5" s="86">
        <v>50000</v>
      </c>
      <c r="E5" s="89">
        <v>53225</v>
      </c>
      <c r="F5" s="65"/>
      <c r="G5" s="87">
        <v>2580</v>
      </c>
      <c r="H5" s="87">
        <v>337</v>
      </c>
      <c r="I5" s="103"/>
      <c r="J5" s="89">
        <f t="shared" si="0"/>
        <v>70300</v>
      </c>
      <c r="K5" s="90"/>
    </row>
    <row r="6" spans="1:11" ht="14.25" thickTop="1" thickBot="1" x14ac:dyDescent="0.25">
      <c r="A6" s="306">
        <v>45782</v>
      </c>
      <c r="B6" s="65">
        <v>220900</v>
      </c>
      <c r="C6" s="65">
        <v>85329</v>
      </c>
      <c r="D6" s="86">
        <v>50000</v>
      </c>
      <c r="E6" s="89">
        <v>53225</v>
      </c>
      <c r="F6" s="65"/>
      <c r="G6" s="87">
        <v>2580</v>
      </c>
      <c r="H6" s="87">
        <v>337</v>
      </c>
      <c r="I6" s="103"/>
      <c r="J6" s="89">
        <f t="shared" si="0"/>
        <v>-20813</v>
      </c>
      <c r="K6" s="90"/>
    </row>
    <row r="7" spans="1:11" ht="14.25" thickTop="1" thickBot="1" x14ac:dyDescent="0.25">
      <c r="A7" s="306">
        <v>45783</v>
      </c>
      <c r="B7" s="65">
        <v>552000</v>
      </c>
      <c r="C7" s="65">
        <v>225883</v>
      </c>
      <c r="D7" s="86">
        <v>50000</v>
      </c>
      <c r="E7" s="89">
        <v>53225</v>
      </c>
      <c r="F7" s="65"/>
      <c r="G7" s="87">
        <v>2580</v>
      </c>
      <c r="H7" s="87">
        <v>337</v>
      </c>
      <c r="I7" s="103"/>
      <c r="J7" s="89">
        <f t="shared" si="0"/>
        <v>119741</v>
      </c>
      <c r="K7" s="90"/>
    </row>
    <row r="8" spans="1:11" ht="14.25" thickTop="1" thickBot="1" x14ac:dyDescent="0.25">
      <c r="A8" s="306">
        <v>45784</v>
      </c>
      <c r="B8" s="65">
        <v>169000</v>
      </c>
      <c r="C8" s="65">
        <v>70185</v>
      </c>
      <c r="D8" s="86">
        <v>50000</v>
      </c>
      <c r="E8" s="89">
        <v>53225</v>
      </c>
      <c r="F8" s="65"/>
      <c r="G8" s="87">
        <v>2580</v>
      </c>
      <c r="H8" s="87">
        <v>337</v>
      </c>
      <c r="I8" s="103"/>
      <c r="J8" s="89">
        <f t="shared" si="0"/>
        <v>-35957</v>
      </c>
      <c r="K8" s="90"/>
    </row>
    <row r="9" spans="1:11" ht="14.25" thickTop="1" thickBot="1" x14ac:dyDescent="0.25">
      <c r="A9" s="306">
        <v>45785</v>
      </c>
      <c r="B9" s="65">
        <v>440400</v>
      </c>
      <c r="C9" s="65">
        <v>188063</v>
      </c>
      <c r="D9" s="86">
        <v>50000</v>
      </c>
      <c r="E9" s="89">
        <v>53225</v>
      </c>
      <c r="F9" s="65"/>
      <c r="G9" s="87">
        <v>2580</v>
      </c>
      <c r="H9" s="87">
        <v>337</v>
      </c>
      <c r="I9" s="103"/>
      <c r="J9" s="89">
        <f t="shared" si="0"/>
        <v>81921</v>
      </c>
      <c r="K9" s="90"/>
    </row>
    <row r="10" spans="1:11" ht="14.25" thickTop="1" thickBot="1" x14ac:dyDescent="0.25">
      <c r="A10" s="306">
        <v>45786</v>
      </c>
      <c r="B10" s="65">
        <v>477800</v>
      </c>
      <c r="C10" s="65">
        <v>185115</v>
      </c>
      <c r="D10" s="86">
        <v>50000</v>
      </c>
      <c r="E10" s="89">
        <v>53225</v>
      </c>
      <c r="F10" s="65"/>
      <c r="G10" s="87">
        <v>2580</v>
      </c>
      <c r="H10" s="87">
        <v>337</v>
      </c>
      <c r="I10" s="103"/>
      <c r="J10" s="89">
        <f t="shared" si="0"/>
        <v>78973</v>
      </c>
      <c r="K10" s="90"/>
    </row>
    <row r="11" spans="1:11" ht="14.25" thickTop="1" thickBot="1" x14ac:dyDescent="0.25">
      <c r="A11" s="306">
        <v>45787</v>
      </c>
      <c r="B11" s="65">
        <v>650000</v>
      </c>
      <c r="C11" s="65">
        <v>262375</v>
      </c>
      <c r="D11" s="86">
        <v>50000</v>
      </c>
      <c r="E11" s="89">
        <v>53225</v>
      </c>
      <c r="F11" s="65"/>
      <c r="G11" s="87">
        <v>2580</v>
      </c>
      <c r="H11" s="87">
        <v>337</v>
      </c>
      <c r="I11" s="103"/>
      <c r="J11" s="89">
        <f t="shared" si="0"/>
        <v>156233</v>
      </c>
      <c r="K11" s="90"/>
    </row>
    <row r="12" spans="1:11" ht="14.25" thickTop="1" thickBot="1" x14ac:dyDescent="0.25">
      <c r="A12" s="306">
        <v>45788</v>
      </c>
      <c r="B12" s="65">
        <v>488500</v>
      </c>
      <c r="C12" s="65">
        <v>191640</v>
      </c>
      <c r="D12" s="86">
        <v>50000</v>
      </c>
      <c r="E12" s="89">
        <v>53225</v>
      </c>
      <c r="F12" s="65"/>
      <c r="G12" s="87">
        <v>2580</v>
      </c>
      <c r="H12" s="87">
        <v>337</v>
      </c>
      <c r="I12" s="103"/>
      <c r="J12" s="89">
        <f t="shared" si="0"/>
        <v>85498</v>
      </c>
      <c r="K12" s="90"/>
    </row>
    <row r="13" spans="1:11" ht="14.25" thickTop="1" thickBot="1" x14ac:dyDescent="0.25">
      <c r="A13" s="306">
        <v>45789</v>
      </c>
      <c r="B13" s="65">
        <v>79800</v>
      </c>
      <c r="C13" s="65">
        <v>44912</v>
      </c>
      <c r="D13" s="86">
        <v>50000</v>
      </c>
      <c r="E13" s="89">
        <v>53225</v>
      </c>
      <c r="F13" s="65"/>
      <c r="G13" s="87">
        <v>2580</v>
      </c>
      <c r="H13" s="87">
        <v>337</v>
      </c>
      <c r="I13" s="103"/>
      <c r="J13" s="89">
        <f t="shared" si="0"/>
        <v>-61230</v>
      </c>
      <c r="K13" s="90"/>
    </row>
    <row r="14" spans="1:11" ht="14.25" thickTop="1" thickBot="1" x14ac:dyDescent="0.25">
      <c r="A14" s="306">
        <v>45790</v>
      </c>
      <c r="B14" s="65">
        <v>300400</v>
      </c>
      <c r="C14" s="65">
        <v>126410</v>
      </c>
      <c r="D14" s="86">
        <v>50000</v>
      </c>
      <c r="E14" s="89">
        <v>53225</v>
      </c>
      <c r="F14" s="65"/>
      <c r="G14" s="87">
        <v>2580</v>
      </c>
      <c r="H14" s="87">
        <v>337</v>
      </c>
      <c r="I14" s="103"/>
      <c r="J14" s="89">
        <f t="shared" si="0"/>
        <v>20268</v>
      </c>
      <c r="K14" s="90"/>
    </row>
    <row r="15" spans="1:11" ht="14.25" thickTop="1" thickBot="1" x14ac:dyDescent="0.25">
      <c r="A15" s="306">
        <v>45791</v>
      </c>
      <c r="B15" s="65">
        <v>171600</v>
      </c>
      <c r="C15" s="65">
        <v>71237</v>
      </c>
      <c r="D15" s="86">
        <v>50000</v>
      </c>
      <c r="E15" s="89">
        <v>53225</v>
      </c>
      <c r="F15" s="65"/>
      <c r="G15" s="87">
        <v>2580</v>
      </c>
      <c r="H15" s="87">
        <v>337</v>
      </c>
      <c r="I15" s="103"/>
      <c r="J15" s="89">
        <f t="shared" si="0"/>
        <v>-34905</v>
      </c>
      <c r="K15" s="90"/>
    </row>
    <row r="16" spans="1:11" ht="14.25" thickTop="1" thickBot="1" x14ac:dyDescent="0.25">
      <c r="A16" s="306">
        <v>45792</v>
      </c>
      <c r="B16" s="65">
        <v>27200</v>
      </c>
      <c r="C16" s="65">
        <v>10621</v>
      </c>
      <c r="D16" s="86">
        <v>50000</v>
      </c>
      <c r="E16" s="89">
        <v>53225</v>
      </c>
      <c r="F16" s="65"/>
      <c r="G16" s="87">
        <v>2580</v>
      </c>
      <c r="H16" s="87">
        <v>337</v>
      </c>
      <c r="I16" s="103"/>
      <c r="J16" s="89">
        <f t="shared" si="0"/>
        <v>-95521</v>
      </c>
      <c r="K16" s="90"/>
    </row>
    <row r="17" ht="13.5" thickTop="1" x14ac:dyDescent="0.2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A7947-DB43-415B-A0E0-665CFABEA90B}">
  <dimension ref="A1:F56"/>
  <sheetViews>
    <sheetView workbookViewId="0">
      <selection activeCell="F2" sqref="F2"/>
    </sheetView>
  </sheetViews>
  <sheetFormatPr baseColWidth="10" defaultRowHeight="12.75" x14ac:dyDescent="0.2"/>
  <cols>
    <col min="5" max="5" width="15.28515625" customWidth="1"/>
    <col min="6" max="6" width="22.5703125" customWidth="1"/>
  </cols>
  <sheetData>
    <row r="1" spans="1:6" x14ac:dyDescent="0.2">
      <c r="A1" s="16" t="s">
        <v>1</v>
      </c>
      <c r="B1" s="16" t="s">
        <v>202</v>
      </c>
      <c r="C1" s="16" t="s">
        <v>203</v>
      </c>
      <c r="D1" s="16" t="s">
        <v>204</v>
      </c>
      <c r="E1" s="16" t="s">
        <v>205</v>
      </c>
      <c r="F1" s="282">
        <v>45784</v>
      </c>
    </row>
    <row r="2" spans="1:6" x14ac:dyDescent="0.2">
      <c r="A2" s="16" t="s">
        <v>77</v>
      </c>
      <c r="B2" s="26">
        <v>24000</v>
      </c>
      <c r="C2" s="26">
        <v>1000</v>
      </c>
      <c r="D2" s="26">
        <v>3000</v>
      </c>
      <c r="E2" s="26">
        <f t="shared" ref="E2:E56" si="0">D2-C2</f>
        <v>2000</v>
      </c>
    </row>
    <row r="3" spans="1:6" x14ac:dyDescent="0.2">
      <c r="A3" s="16" t="s">
        <v>78</v>
      </c>
      <c r="B3" s="26">
        <v>30000</v>
      </c>
      <c r="C3" s="26">
        <v>2500</v>
      </c>
      <c r="D3" s="26">
        <v>4000</v>
      </c>
      <c r="E3" s="26">
        <f t="shared" si="0"/>
        <v>1500</v>
      </c>
    </row>
    <row r="4" spans="1:6" x14ac:dyDescent="0.2">
      <c r="A4" s="16" t="s">
        <v>79</v>
      </c>
      <c r="B4" s="26">
        <v>37000</v>
      </c>
      <c r="C4" s="26">
        <v>3083</v>
      </c>
      <c r="D4" s="26">
        <v>5000</v>
      </c>
      <c r="E4" s="26">
        <f t="shared" si="0"/>
        <v>1917</v>
      </c>
    </row>
    <row r="5" spans="1:6" x14ac:dyDescent="0.2">
      <c r="A5" s="16" t="s">
        <v>80</v>
      </c>
      <c r="B5" s="26">
        <v>8000</v>
      </c>
      <c r="C5" s="26">
        <v>8000</v>
      </c>
      <c r="D5" s="26">
        <v>12000</v>
      </c>
      <c r="E5" s="26">
        <f t="shared" si="0"/>
        <v>4000</v>
      </c>
    </row>
    <row r="6" spans="1:6" x14ac:dyDescent="0.2">
      <c r="A6" s="16" t="s">
        <v>81</v>
      </c>
      <c r="B6" s="26">
        <v>2000</v>
      </c>
      <c r="C6" s="26">
        <v>2000</v>
      </c>
      <c r="D6" s="26">
        <v>3000</v>
      </c>
      <c r="E6" s="26">
        <f t="shared" si="0"/>
        <v>1000</v>
      </c>
    </row>
    <row r="7" spans="1:6" x14ac:dyDescent="0.2">
      <c r="A7" s="16" t="s">
        <v>82</v>
      </c>
      <c r="B7" s="26">
        <v>2000</v>
      </c>
      <c r="C7" s="26">
        <v>2000</v>
      </c>
      <c r="D7" s="26">
        <v>3000</v>
      </c>
      <c r="E7" s="26">
        <f t="shared" si="0"/>
        <v>1000</v>
      </c>
    </row>
    <row r="8" spans="1:6" x14ac:dyDescent="0.2">
      <c r="A8" s="16" t="s">
        <v>83</v>
      </c>
      <c r="B8" s="26">
        <v>2000</v>
      </c>
      <c r="C8" s="26">
        <v>2000</v>
      </c>
      <c r="D8" s="26">
        <v>3000</v>
      </c>
      <c r="E8" s="26">
        <f t="shared" si="0"/>
        <v>1000</v>
      </c>
    </row>
    <row r="9" spans="1:6" x14ac:dyDescent="0.2">
      <c r="A9" s="16" t="s">
        <v>84</v>
      </c>
      <c r="B9" s="26">
        <v>46800</v>
      </c>
      <c r="C9" s="26">
        <v>1950</v>
      </c>
      <c r="D9" s="26">
        <v>4000</v>
      </c>
      <c r="E9" s="26">
        <f t="shared" si="0"/>
        <v>2050</v>
      </c>
    </row>
    <row r="10" spans="1:6" x14ac:dyDescent="0.2">
      <c r="A10" s="16" t="s">
        <v>85</v>
      </c>
      <c r="B10" s="26">
        <v>2500</v>
      </c>
      <c r="C10" s="26">
        <v>2500</v>
      </c>
      <c r="D10" s="26">
        <v>3500</v>
      </c>
      <c r="E10" s="26">
        <f t="shared" si="0"/>
        <v>1000</v>
      </c>
    </row>
    <row r="11" spans="1:6" x14ac:dyDescent="0.2">
      <c r="A11" s="16" t="s">
        <v>86</v>
      </c>
      <c r="B11" s="26">
        <v>5000</v>
      </c>
      <c r="C11" s="26">
        <v>6150</v>
      </c>
      <c r="D11" s="26">
        <v>10000</v>
      </c>
      <c r="E11" s="26">
        <f t="shared" si="0"/>
        <v>3850</v>
      </c>
    </row>
    <row r="12" spans="1:6" x14ac:dyDescent="0.2">
      <c r="A12" s="16" t="s">
        <v>87</v>
      </c>
      <c r="B12" s="26">
        <v>6800</v>
      </c>
      <c r="C12" s="26">
        <v>6800</v>
      </c>
      <c r="D12" s="26">
        <v>10000</v>
      </c>
      <c r="E12" s="26">
        <f t="shared" si="0"/>
        <v>3200</v>
      </c>
    </row>
    <row r="13" spans="1:6" x14ac:dyDescent="0.2">
      <c r="A13" s="16" t="s">
        <v>88</v>
      </c>
      <c r="B13" s="26">
        <v>60000</v>
      </c>
      <c r="C13" s="26">
        <v>2500</v>
      </c>
      <c r="D13" s="26">
        <v>5000</v>
      </c>
      <c r="E13" s="26">
        <f t="shared" si="0"/>
        <v>2500</v>
      </c>
    </row>
    <row r="14" spans="1:6" x14ac:dyDescent="0.2">
      <c r="A14" s="16" t="s">
        <v>89</v>
      </c>
      <c r="B14" s="26">
        <v>60000</v>
      </c>
      <c r="C14" s="26">
        <v>2500</v>
      </c>
      <c r="D14" s="26">
        <v>5000</v>
      </c>
      <c r="E14" s="26">
        <f t="shared" si="0"/>
        <v>2500</v>
      </c>
    </row>
    <row r="15" spans="1:6" x14ac:dyDescent="0.2">
      <c r="A15" s="16" t="s">
        <v>90</v>
      </c>
      <c r="B15" s="26">
        <v>56000</v>
      </c>
      <c r="C15" s="26">
        <v>2333</v>
      </c>
      <c r="D15" s="26">
        <v>5000</v>
      </c>
      <c r="E15" s="26">
        <f t="shared" si="0"/>
        <v>2667</v>
      </c>
    </row>
    <row r="16" spans="1:6" x14ac:dyDescent="0.2">
      <c r="A16" s="16" t="s">
        <v>91</v>
      </c>
      <c r="B16" s="43"/>
      <c r="C16" s="43"/>
      <c r="D16" s="26">
        <v>7000</v>
      </c>
      <c r="E16" s="26">
        <f t="shared" si="0"/>
        <v>7000</v>
      </c>
    </row>
    <row r="17" spans="1:5" x14ac:dyDescent="0.2">
      <c r="A17" s="16" t="s">
        <v>252</v>
      </c>
      <c r="B17" s="26">
        <v>46000</v>
      </c>
      <c r="C17" s="26">
        <v>1916</v>
      </c>
      <c r="D17" s="26">
        <v>6000</v>
      </c>
      <c r="E17" s="26">
        <f t="shared" si="0"/>
        <v>4084</v>
      </c>
    </row>
    <row r="18" spans="1:5" x14ac:dyDescent="0.2">
      <c r="A18" s="16" t="s">
        <v>253</v>
      </c>
      <c r="B18" s="26">
        <v>55000</v>
      </c>
      <c r="C18" s="26">
        <v>2291</v>
      </c>
      <c r="D18" s="26">
        <v>4000</v>
      </c>
      <c r="E18" s="26">
        <f t="shared" si="0"/>
        <v>1709</v>
      </c>
    </row>
    <row r="19" spans="1:5" x14ac:dyDescent="0.2">
      <c r="A19" s="16" t="s">
        <v>254</v>
      </c>
      <c r="B19" s="26">
        <v>72000</v>
      </c>
      <c r="C19" s="26">
        <v>3000</v>
      </c>
      <c r="D19" s="26">
        <v>6000</v>
      </c>
      <c r="E19" s="26">
        <f t="shared" si="0"/>
        <v>3000</v>
      </c>
    </row>
    <row r="20" spans="1:5" x14ac:dyDescent="0.2">
      <c r="A20" s="16" t="s">
        <v>255</v>
      </c>
      <c r="B20" s="26">
        <v>7560</v>
      </c>
      <c r="C20" s="26">
        <v>1260</v>
      </c>
      <c r="D20" s="26">
        <v>3000</v>
      </c>
      <c r="E20" s="26">
        <f t="shared" si="0"/>
        <v>1740</v>
      </c>
    </row>
    <row r="21" spans="1:5" x14ac:dyDescent="0.2">
      <c r="A21" s="16" t="s">
        <v>256</v>
      </c>
      <c r="B21" s="26">
        <v>54700</v>
      </c>
      <c r="C21" s="26">
        <v>1823</v>
      </c>
      <c r="D21" s="26">
        <v>4000</v>
      </c>
      <c r="E21" s="26">
        <f t="shared" si="0"/>
        <v>2177</v>
      </c>
    </row>
    <row r="22" spans="1:5" x14ac:dyDescent="0.2">
      <c r="A22" s="16" t="s">
        <v>257</v>
      </c>
      <c r="B22" s="26">
        <v>56000</v>
      </c>
      <c r="C22" s="26">
        <v>1866</v>
      </c>
      <c r="D22" s="26">
        <v>4000</v>
      </c>
      <c r="E22" s="26">
        <f t="shared" si="0"/>
        <v>2134</v>
      </c>
    </row>
    <row r="23" spans="1:5" x14ac:dyDescent="0.2">
      <c r="A23" s="16" t="s">
        <v>258</v>
      </c>
      <c r="B23" s="26">
        <v>55000</v>
      </c>
      <c r="C23" s="26">
        <v>2291</v>
      </c>
      <c r="D23" s="26">
        <v>5000</v>
      </c>
      <c r="E23" s="26">
        <f t="shared" si="0"/>
        <v>2709</v>
      </c>
    </row>
    <row r="24" spans="1:5" x14ac:dyDescent="0.2">
      <c r="A24" s="16" t="s">
        <v>99</v>
      </c>
      <c r="B24" s="26">
        <v>6000</v>
      </c>
      <c r="C24" s="26">
        <v>2500</v>
      </c>
      <c r="D24" s="26">
        <v>5000</v>
      </c>
      <c r="E24" s="26">
        <f t="shared" si="0"/>
        <v>2500</v>
      </c>
    </row>
    <row r="25" spans="1:5" x14ac:dyDescent="0.2">
      <c r="A25" s="16" t="s">
        <v>100</v>
      </c>
      <c r="B25" s="26">
        <v>64000</v>
      </c>
      <c r="C25" s="26">
        <v>2133</v>
      </c>
      <c r="D25" s="26">
        <v>3400</v>
      </c>
      <c r="E25" s="26">
        <f t="shared" si="0"/>
        <v>1267</v>
      </c>
    </row>
    <row r="26" spans="1:5" x14ac:dyDescent="0.2">
      <c r="A26" s="16" t="s">
        <v>101</v>
      </c>
      <c r="B26" s="26">
        <v>63500</v>
      </c>
      <c r="C26" s="26">
        <v>2116</v>
      </c>
      <c r="D26" s="26">
        <v>3400</v>
      </c>
      <c r="E26" s="26">
        <f t="shared" si="0"/>
        <v>1284</v>
      </c>
    </row>
    <row r="27" spans="1:5" x14ac:dyDescent="0.2">
      <c r="A27" s="16" t="s">
        <v>102</v>
      </c>
      <c r="B27" s="26">
        <v>63500</v>
      </c>
      <c r="C27" s="26">
        <v>2116</v>
      </c>
      <c r="D27" s="26">
        <v>3400</v>
      </c>
      <c r="E27" s="26">
        <f t="shared" si="0"/>
        <v>1284</v>
      </c>
    </row>
    <row r="28" spans="1:5" x14ac:dyDescent="0.2">
      <c r="A28" s="16" t="s">
        <v>103</v>
      </c>
      <c r="B28" s="26">
        <v>52500</v>
      </c>
      <c r="C28" s="26">
        <v>1733</v>
      </c>
      <c r="D28" s="26">
        <v>3400</v>
      </c>
      <c r="E28" s="26">
        <f t="shared" si="0"/>
        <v>1667</v>
      </c>
    </row>
    <row r="29" spans="1:5" x14ac:dyDescent="0.2">
      <c r="A29" s="16" t="s">
        <v>104</v>
      </c>
      <c r="B29" s="26">
        <v>79000</v>
      </c>
      <c r="C29" s="26">
        <v>2633</v>
      </c>
      <c r="D29" s="26">
        <v>4000</v>
      </c>
      <c r="E29" s="26">
        <f t="shared" si="0"/>
        <v>1367</v>
      </c>
    </row>
    <row r="30" spans="1:5" x14ac:dyDescent="0.2">
      <c r="A30" s="16" t="s">
        <v>105</v>
      </c>
      <c r="B30" s="26">
        <v>21550</v>
      </c>
      <c r="C30" s="26">
        <v>21550</v>
      </c>
      <c r="D30" s="26">
        <v>40000</v>
      </c>
      <c r="E30" s="26">
        <f t="shared" si="0"/>
        <v>18450</v>
      </c>
    </row>
    <row r="31" spans="1:5" x14ac:dyDescent="0.2">
      <c r="A31" s="16" t="s">
        <v>106</v>
      </c>
      <c r="B31" s="26">
        <v>38400</v>
      </c>
      <c r="C31" s="26">
        <v>38400</v>
      </c>
      <c r="D31" s="26">
        <v>80000</v>
      </c>
      <c r="E31" s="26">
        <f t="shared" si="0"/>
        <v>41600</v>
      </c>
    </row>
    <row r="32" spans="1:5" x14ac:dyDescent="0.2">
      <c r="A32" s="16" t="s">
        <v>107</v>
      </c>
      <c r="B32" s="26">
        <v>25000</v>
      </c>
      <c r="C32" s="26">
        <v>25000</v>
      </c>
      <c r="D32" s="26">
        <v>40000</v>
      </c>
      <c r="E32" s="26">
        <f t="shared" si="0"/>
        <v>15000</v>
      </c>
    </row>
    <row r="33" spans="1:5" x14ac:dyDescent="0.2">
      <c r="A33" s="16" t="s">
        <v>108</v>
      </c>
      <c r="B33" s="26">
        <v>43150</v>
      </c>
      <c r="C33" s="26">
        <v>43150</v>
      </c>
      <c r="D33" s="26">
        <v>85000</v>
      </c>
      <c r="E33" s="26">
        <f t="shared" si="0"/>
        <v>41850</v>
      </c>
    </row>
    <row r="34" spans="1:5" x14ac:dyDescent="0.2">
      <c r="A34" s="16" t="s">
        <v>109</v>
      </c>
      <c r="B34" s="43"/>
      <c r="C34" s="43"/>
      <c r="D34" s="26">
        <v>50000</v>
      </c>
      <c r="E34" s="26">
        <f t="shared" si="0"/>
        <v>50000</v>
      </c>
    </row>
    <row r="35" spans="1:5" x14ac:dyDescent="0.2">
      <c r="A35" s="16" t="s">
        <v>110</v>
      </c>
      <c r="B35" s="43"/>
      <c r="C35" s="43"/>
      <c r="D35" s="26">
        <v>45000</v>
      </c>
      <c r="E35" s="26">
        <f t="shared" si="0"/>
        <v>45000</v>
      </c>
    </row>
    <row r="36" spans="1:5" x14ac:dyDescent="0.2">
      <c r="A36" s="16" t="s">
        <v>111</v>
      </c>
      <c r="B36" s="43"/>
      <c r="C36" s="43"/>
      <c r="D36" s="26">
        <v>85000</v>
      </c>
      <c r="E36" s="26">
        <f t="shared" si="0"/>
        <v>85000</v>
      </c>
    </row>
    <row r="37" spans="1:5" x14ac:dyDescent="0.2">
      <c r="A37" s="16" t="s">
        <v>112</v>
      </c>
      <c r="B37" s="43"/>
      <c r="C37" s="43"/>
      <c r="D37" s="43"/>
      <c r="E37" s="26">
        <f t="shared" si="0"/>
        <v>0</v>
      </c>
    </row>
    <row r="38" spans="1:5" x14ac:dyDescent="0.2">
      <c r="A38" s="16" t="s">
        <v>113</v>
      </c>
      <c r="B38" s="43"/>
      <c r="C38" s="43"/>
      <c r="D38" s="43"/>
      <c r="E38" s="26">
        <f t="shared" si="0"/>
        <v>0</v>
      </c>
    </row>
    <row r="39" spans="1:5" x14ac:dyDescent="0.2">
      <c r="A39" s="16" t="s">
        <v>114</v>
      </c>
      <c r="B39" s="43"/>
      <c r="C39" s="43"/>
      <c r="D39" s="43"/>
      <c r="E39" s="26">
        <f t="shared" si="0"/>
        <v>0</v>
      </c>
    </row>
    <row r="40" spans="1:5" x14ac:dyDescent="0.2">
      <c r="A40" s="16" t="s">
        <v>115</v>
      </c>
      <c r="B40" s="26">
        <v>5500</v>
      </c>
      <c r="C40" s="26">
        <v>5500</v>
      </c>
      <c r="D40" s="26">
        <v>10000</v>
      </c>
      <c r="E40" s="26">
        <f t="shared" si="0"/>
        <v>4500</v>
      </c>
    </row>
    <row r="41" spans="1:5" x14ac:dyDescent="0.2">
      <c r="A41" s="16" t="s">
        <v>116</v>
      </c>
      <c r="B41" s="26">
        <v>5500</v>
      </c>
      <c r="C41" s="26">
        <v>550</v>
      </c>
      <c r="D41" s="26">
        <v>1000</v>
      </c>
      <c r="E41" s="26">
        <f t="shared" si="0"/>
        <v>450</v>
      </c>
    </row>
    <row r="42" spans="1:5" x14ac:dyDescent="0.2">
      <c r="A42" s="16" t="s">
        <v>117</v>
      </c>
      <c r="B42" s="26">
        <v>6500</v>
      </c>
      <c r="C42" s="26">
        <v>6500</v>
      </c>
      <c r="D42" s="26">
        <v>10000</v>
      </c>
      <c r="E42" s="26">
        <f t="shared" si="0"/>
        <v>3500</v>
      </c>
    </row>
    <row r="43" spans="1:5" x14ac:dyDescent="0.2">
      <c r="A43" s="16" t="s">
        <v>118</v>
      </c>
      <c r="B43" s="26">
        <v>6500</v>
      </c>
      <c r="C43" s="26">
        <v>650</v>
      </c>
      <c r="D43" s="26">
        <v>1000</v>
      </c>
      <c r="E43" s="26">
        <f t="shared" si="0"/>
        <v>350</v>
      </c>
    </row>
    <row r="44" spans="1:5" x14ac:dyDescent="0.2">
      <c r="A44" s="16" t="s">
        <v>119</v>
      </c>
      <c r="B44" s="26">
        <v>5500</v>
      </c>
      <c r="C44" s="26">
        <v>5500</v>
      </c>
      <c r="D44" s="26">
        <v>10000</v>
      </c>
      <c r="E44" s="26">
        <f t="shared" si="0"/>
        <v>4500</v>
      </c>
    </row>
    <row r="45" spans="1:5" x14ac:dyDescent="0.2">
      <c r="A45" s="16" t="s">
        <v>120</v>
      </c>
      <c r="B45" s="26">
        <v>550</v>
      </c>
      <c r="C45" s="26">
        <v>550</v>
      </c>
      <c r="D45" s="26">
        <v>1000</v>
      </c>
      <c r="E45" s="26">
        <f t="shared" si="0"/>
        <v>450</v>
      </c>
    </row>
    <row r="46" spans="1:5" x14ac:dyDescent="0.2">
      <c r="A46" s="16" t="s">
        <v>121</v>
      </c>
      <c r="B46" s="26">
        <v>5900</v>
      </c>
      <c r="C46" s="26">
        <v>5900</v>
      </c>
      <c r="D46" s="26">
        <v>10000</v>
      </c>
      <c r="E46" s="26">
        <f t="shared" si="0"/>
        <v>4100</v>
      </c>
    </row>
    <row r="47" spans="1:5" x14ac:dyDescent="0.2">
      <c r="A47" s="16" t="s">
        <v>122</v>
      </c>
      <c r="B47" s="26">
        <v>590</v>
      </c>
      <c r="C47" s="26">
        <v>590</v>
      </c>
      <c r="D47" s="26">
        <v>1000</v>
      </c>
      <c r="E47" s="26">
        <f t="shared" si="0"/>
        <v>410</v>
      </c>
    </row>
    <row r="48" spans="1:5" x14ac:dyDescent="0.2">
      <c r="A48" s="16" t="s">
        <v>197</v>
      </c>
      <c r="B48" s="26">
        <v>1956</v>
      </c>
      <c r="C48" s="26">
        <v>1956</v>
      </c>
      <c r="D48" s="26">
        <v>4000</v>
      </c>
      <c r="E48" s="26">
        <f t="shared" si="0"/>
        <v>2044</v>
      </c>
    </row>
    <row r="49" spans="1:5" x14ac:dyDescent="0.2">
      <c r="A49" s="16" t="s">
        <v>123</v>
      </c>
      <c r="B49" s="26">
        <v>1956</v>
      </c>
      <c r="C49" s="26">
        <v>1956</v>
      </c>
      <c r="D49" s="26">
        <v>4000</v>
      </c>
      <c r="E49" s="26">
        <f t="shared" si="0"/>
        <v>2044</v>
      </c>
    </row>
    <row r="50" spans="1:5" x14ac:dyDescent="0.2">
      <c r="A50" s="16" t="s">
        <v>124</v>
      </c>
      <c r="B50" s="26">
        <v>1956</v>
      </c>
      <c r="C50" s="26">
        <v>1956</v>
      </c>
      <c r="D50" s="26">
        <v>4000</v>
      </c>
      <c r="E50" s="26">
        <f t="shared" si="0"/>
        <v>2044</v>
      </c>
    </row>
    <row r="51" spans="1:5" x14ac:dyDescent="0.2">
      <c r="A51" s="16" t="s">
        <v>125</v>
      </c>
      <c r="B51" s="26">
        <v>1956</v>
      </c>
      <c r="C51" s="26">
        <v>1956</v>
      </c>
      <c r="D51" s="26">
        <v>4000</v>
      </c>
      <c r="E51" s="26">
        <f t="shared" si="0"/>
        <v>2044</v>
      </c>
    </row>
    <row r="52" spans="1:5" x14ac:dyDescent="0.2">
      <c r="A52" s="16" t="s">
        <v>126</v>
      </c>
      <c r="B52" s="26">
        <v>825</v>
      </c>
      <c r="C52" s="26">
        <v>825</v>
      </c>
      <c r="D52" s="26">
        <v>2500</v>
      </c>
      <c r="E52" s="26">
        <f t="shared" si="0"/>
        <v>1675</v>
      </c>
    </row>
    <row r="53" spans="1:5" x14ac:dyDescent="0.2">
      <c r="A53" s="16" t="s">
        <v>127</v>
      </c>
      <c r="B53" s="26">
        <v>103</v>
      </c>
      <c r="C53" s="26">
        <v>103</v>
      </c>
      <c r="D53" s="26">
        <v>200</v>
      </c>
      <c r="E53" s="26">
        <f t="shared" si="0"/>
        <v>97</v>
      </c>
    </row>
    <row r="54" spans="1:5" x14ac:dyDescent="0.2">
      <c r="A54" s="16" t="s">
        <v>128</v>
      </c>
      <c r="B54" s="26">
        <v>352</v>
      </c>
      <c r="C54" s="26">
        <v>352</v>
      </c>
      <c r="D54" s="26">
        <v>700</v>
      </c>
      <c r="E54" s="26">
        <f t="shared" si="0"/>
        <v>348</v>
      </c>
    </row>
    <row r="55" spans="1:5" x14ac:dyDescent="0.2">
      <c r="A55" s="16" t="s">
        <v>129</v>
      </c>
      <c r="B55" s="26">
        <v>60000</v>
      </c>
      <c r="C55" s="26">
        <v>60000</v>
      </c>
      <c r="D55" s="26">
        <v>100000</v>
      </c>
      <c r="E55" s="26">
        <f t="shared" si="0"/>
        <v>40000</v>
      </c>
    </row>
    <row r="56" spans="1:5" ht="15" x14ac:dyDescent="0.25">
      <c r="A56" s="82" t="s">
        <v>478</v>
      </c>
      <c r="B56" s="84">
        <v>2337</v>
      </c>
      <c r="C56" s="26">
        <v>2337</v>
      </c>
      <c r="D56" s="26">
        <v>4000</v>
      </c>
      <c r="E56" s="26">
        <f t="shared" si="0"/>
        <v>1663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L36"/>
  <sheetViews>
    <sheetView workbookViewId="0">
      <selection activeCell="C18" sqref="C18"/>
    </sheetView>
  </sheetViews>
  <sheetFormatPr baseColWidth="10" defaultColWidth="12.5703125" defaultRowHeight="15.75" customHeight="1" x14ac:dyDescent="0.2"/>
  <cols>
    <col min="12" max="12" width="27.42578125" customWidth="1"/>
  </cols>
  <sheetData>
    <row r="1" spans="1:12" ht="14.25" thickTop="1" thickBot="1" x14ac:dyDescent="0.25">
      <c r="A1" s="71" t="s">
        <v>315</v>
      </c>
      <c r="B1" s="71" t="s">
        <v>316</v>
      </c>
      <c r="C1" s="71" t="s">
        <v>317</v>
      </c>
      <c r="D1" s="71" t="s">
        <v>318</v>
      </c>
      <c r="E1" s="71" t="s">
        <v>319</v>
      </c>
      <c r="F1" s="71" t="s">
        <v>320</v>
      </c>
      <c r="G1" s="71" t="s">
        <v>388</v>
      </c>
      <c r="H1" s="71" t="s">
        <v>389</v>
      </c>
      <c r="I1" s="71" t="s">
        <v>321</v>
      </c>
      <c r="J1" s="71" t="s">
        <v>322</v>
      </c>
      <c r="K1" s="23" t="s">
        <v>390</v>
      </c>
      <c r="L1" s="8" t="s">
        <v>391</v>
      </c>
    </row>
    <row r="2" spans="1:12" ht="14.25" thickTop="1" thickBot="1" x14ac:dyDescent="0.25">
      <c r="A2" s="306">
        <v>45717</v>
      </c>
      <c r="B2" s="63">
        <v>328500</v>
      </c>
      <c r="C2" s="63">
        <v>125851</v>
      </c>
      <c r="D2" s="63">
        <v>50000</v>
      </c>
      <c r="E2" s="57">
        <v>53225</v>
      </c>
      <c r="F2" s="86"/>
      <c r="G2" s="87">
        <v>2580</v>
      </c>
      <c r="H2" s="87">
        <v>337</v>
      </c>
      <c r="I2" s="88"/>
      <c r="J2" s="89">
        <f t="shared" ref="J2:J16" si="0">C2-D2-E2-F2-G2-H2-I2</f>
        <v>19709</v>
      </c>
      <c r="K2" s="90">
        <f t="shared" ref="K2:K16" si="1">J2*30/100</f>
        <v>5912.7</v>
      </c>
      <c r="L2" s="91" t="s">
        <v>537</v>
      </c>
    </row>
    <row r="3" spans="1:12" ht="14.25" thickTop="1" thickBot="1" x14ac:dyDescent="0.25">
      <c r="A3" s="85" t="s">
        <v>538</v>
      </c>
      <c r="B3" s="64">
        <v>253400</v>
      </c>
      <c r="C3" s="64">
        <v>105000</v>
      </c>
      <c r="D3" s="63">
        <v>50000</v>
      </c>
      <c r="E3" s="57">
        <v>53225</v>
      </c>
      <c r="F3" s="65"/>
      <c r="G3" s="87">
        <v>2580</v>
      </c>
      <c r="H3" s="87">
        <v>337</v>
      </c>
      <c r="I3" s="88"/>
      <c r="J3" s="89">
        <f t="shared" si="0"/>
        <v>-1142</v>
      </c>
      <c r="K3" s="90">
        <f t="shared" si="1"/>
        <v>-342.6</v>
      </c>
      <c r="L3" s="91" t="s">
        <v>539</v>
      </c>
    </row>
    <row r="4" spans="1:12" ht="14.25" thickTop="1" thickBot="1" x14ac:dyDescent="0.25">
      <c r="A4" s="85" t="s">
        <v>540</v>
      </c>
      <c r="B4" s="64">
        <v>14600</v>
      </c>
      <c r="C4" s="64">
        <v>5552</v>
      </c>
      <c r="D4" s="63">
        <v>50000</v>
      </c>
      <c r="E4" s="57">
        <v>53225</v>
      </c>
      <c r="F4" s="65"/>
      <c r="G4" s="87">
        <v>2580</v>
      </c>
      <c r="H4" s="87">
        <v>337</v>
      </c>
      <c r="I4" s="88"/>
      <c r="J4" s="89">
        <f t="shared" si="0"/>
        <v>-100590</v>
      </c>
      <c r="K4" s="90">
        <f t="shared" si="1"/>
        <v>-30177</v>
      </c>
      <c r="L4" s="92"/>
    </row>
    <row r="5" spans="1:12" ht="14.25" thickTop="1" thickBot="1" x14ac:dyDescent="0.25">
      <c r="A5" s="85" t="s">
        <v>541</v>
      </c>
      <c r="B5" s="64">
        <v>78200</v>
      </c>
      <c r="C5" s="64">
        <v>33198</v>
      </c>
      <c r="D5" s="63">
        <v>50000</v>
      </c>
      <c r="E5" s="57">
        <v>53225</v>
      </c>
      <c r="F5" s="65"/>
      <c r="G5" s="87">
        <v>2580</v>
      </c>
      <c r="H5" s="87">
        <v>337</v>
      </c>
      <c r="I5" s="88"/>
      <c r="J5" s="89">
        <f t="shared" si="0"/>
        <v>-72944</v>
      </c>
      <c r="K5" s="90">
        <f t="shared" si="1"/>
        <v>-21883.200000000001</v>
      </c>
      <c r="L5" s="92"/>
    </row>
    <row r="6" spans="1:12" ht="12.75" x14ac:dyDescent="0.2">
      <c r="A6" s="85" t="s">
        <v>542</v>
      </c>
      <c r="B6" s="64">
        <v>236400</v>
      </c>
      <c r="C6" s="64">
        <v>95970</v>
      </c>
      <c r="D6" s="63">
        <v>50000</v>
      </c>
      <c r="E6" s="57">
        <v>53225</v>
      </c>
      <c r="F6" s="65"/>
      <c r="G6" s="87">
        <v>2580</v>
      </c>
      <c r="H6" s="87">
        <v>337</v>
      </c>
      <c r="I6" s="88"/>
      <c r="J6" s="89">
        <f t="shared" si="0"/>
        <v>-10172</v>
      </c>
      <c r="K6" s="90">
        <f t="shared" si="1"/>
        <v>-3051.6</v>
      </c>
      <c r="L6" s="92"/>
    </row>
    <row r="7" spans="1:12" ht="12.75" x14ac:dyDescent="0.2">
      <c r="A7" s="85" t="s">
        <v>543</v>
      </c>
      <c r="B7" s="64">
        <v>267400</v>
      </c>
      <c r="C7" s="64">
        <v>109417</v>
      </c>
      <c r="D7" s="63">
        <v>50000</v>
      </c>
      <c r="E7" s="57">
        <v>53225</v>
      </c>
      <c r="F7" s="65"/>
      <c r="G7" s="87">
        <v>2580</v>
      </c>
      <c r="H7" s="87">
        <v>337</v>
      </c>
      <c r="I7" s="88"/>
      <c r="J7" s="89">
        <f t="shared" si="0"/>
        <v>3275</v>
      </c>
      <c r="K7" s="90">
        <f t="shared" si="1"/>
        <v>982.5</v>
      </c>
      <c r="L7" s="92"/>
    </row>
    <row r="8" spans="1:12" ht="12.75" x14ac:dyDescent="0.2">
      <c r="A8" s="85" t="s">
        <v>544</v>
      </c>
      <c r="B8" s="64">
        <v>279200</v>
      </c>
      <c r="C8" s="64">
        <v>108680</v>
      </c>
      <c r="D8" s="63">
        <v>50000</v>
      </c>
      <c r="E8" s="57">
        <v>53225</v>
      </c>
      <c r="F8" s="65"/>
      <c r="G8" s="87">
        <v>2580</v>
      </c>
      <c r="H8" s="87">
        <v>337</v>
      </c>
      <c r="I8" s="88"/>
      <c r="J8" s="89">
        <f t="shared" si="0"/>
        <v>2538</v>
      </c>
      <c r="K8" s="90">
        <f t="shared" si="1"/>
        <v>761.4</v>
      </c>
      <c r="L8" s="92"/>
    </row>
    <row r="9" spans="1:12" ht="12.75" x14ac:dyDescent="0.2">
      <c r="A9" s="85" t="s">
        <v>545</v>
      </c>
      <c r="B9" s="64">
        <v>558400</v>
      </c>
      <c r="C9" s="64">
        <v>213745</v>
      </c>
      <c r="D9" s="63">
        <v>50000</v>
      </c>
      <c r="E9" s="57">
        <v>53225</v>
      </c>
      <c r="F9" s="65"/>
      <c r="G9" s="87">
        <v>2580</v>
      </c>
      <c r="H9" s="87">
        <v>337</v>
      </c>
      <c r="I9" s="88"/>
      <c r="J9" s="89">
        <f t="shared" si="0"/>
        <v>107603</v>
      </c>
      <c r="K9" s="90">
        <f t="shared" si="1"/>
        <v>32280.9</v>
      </c>
      <c r="L9" s="91" t="s">
        <v>546</v>
      </c>
    </row>
    <row r="10" spans="1:12" ht="12.75" x14ac:dyDescent="0.2">
      <c r="A10" s="85" t="s">
        <v>547</v>
      </c>
      <c r="B10" s="64">
        <v>441100</v>
      </c>
      <c r="C10" s="64">
        <v>182863</v>
      </c>
      <c r="D10" s="63">
        <v>50000</v>
      </c>
      <c r="E10" s="57">
        <v>53225</v>
      </c>
      <c r="F10" s="65"/>
      <c r="G10" s="87">
        <v>2580</v>
      </c>
      <c r="H10" s="87">
        <v>337</v>
      </c>
      <c r="I10" s="88"/>
      <c r="J10" s="89">
        <f t="shared" si="0"/>
        <v>76721</v>
      </c>
      <c r="K10" s="90">
        <f t="shared" si="1"/>
        <v>23016.3</v>
      </c>
      <c r="L10" s="91" t="s">
        <v>548</v>
      </c>
    </row>
    <row r="11" spans="1:12" ht="12.75" x14ac:dyDescent="0.2">
      <c r="A11" s="85" t="s">
        <v>549</v>
      </c>
      <c r="B11" s="64">
        <v>257400</v>
      </c>
      <c r="C11" s="64">
        <v>107339</v>
      </c>
      <c r="D11" s="63">
        <v>50000</v>
      </c>
      <c r="E11" s="57">
        <v>53225</v>
      </c>
      <c r="F11" s="65"/>
      <c r="G11" s="87">
        <v>2580</v>
      </c>
      <c r="H11" s="87">
        <v>337</v>
      </c>
      <c r="I11" s="88"/>
      <c r="J11" s="89">
        <f t="shared" si="0"/>
        <v>1197</v>
      </c>
      <c r="K11" s="90">
        <f t="shared" si="1"/>
        <v>359.1</v>
      </c>
      <c r="L11" s="92"/>
    </row>
    <row r="12" spans="1:12" ht="12.75" x14ac:dyDescent="0.2">
      <c r="A12" s="85" t="s">
        <v>550</v>
      </c>
      <c r="B12" s="64">
        <v>269100</v>
      </c>
      <c r="C12" s="64">
        <v>117648</v>
      </c>
      <c r="D12" s="63">
        <v>50000</v>
      </c>
      <c r="E12" s="57">
        <v>53225</v>
      </c>
      <c r="F12" s="65"/>
      <c r="G12" s="87">
        <v>2580</v>
      </c>
      <c r="H12" s="87">
        <v>337</v>
      </c>
      <c r="I12" s="88"/>
      <c r="J12" s="89">
        <f t="shared" si="0"/>
        <v>11506</v>
      </c>
      <c r="K12" s="90">
        <f t="shared" si="1"/>
        <v>3451.8</v>
      </c>
      <c r="L12" s="92"/>
    </row>
    <row r="13" spans="1:12" ht="12.75" x14ac:dyDescent="0.2">
      <c r="A13" s="85" t="s">
        <v>551</v>
      </c>
      <c r="B13" s="64">
        <v>178700</v>
      </c>
      <c r="C13" s="64">
        <v>79619</v>
      </c>
      <c r="D13" s="63">
        <v>50000</v>
      </c>
      <c r="E13" s="57">
        <v>53225</v>
      </c>
      <c r="F13" s="65"/>
      <c r="G13" s="87">
        <v>2580</v>
      </c>
      <c r="H13" s="87">
        <v>337</v>
      </c>
      <c r="I13" s="88"/>
      <c r="J13" s="89">
        <f t="shared" si="0"/>
        <v>-26523</v>
      </c>
      <c r="K13" s="90">
        <f t="shared" si="1"/>
        <v>-7956.9</v>
      </c>
      <c r="L13" s="92"/>
    </row>
    <row r="14" spans="1:12" ht="12.75" x14ac:dyDescent="0.2">
      <c r="A14" s="85" t="s">
        <v>552</v>
      </c>
      <c r="B14" s="64">
        <v>59600</v>
      </c>
      <c r="C14" s="64">
        <v>26281</v>
      </c>
      <c r="D14" s="63">
        <v>50000</v>
      </c>
      <c r="E14" s="57">
        <v>53225</v>
      </c>
      <c r="F14" s="65"/>
      <c r="G14" s="87">
        <v>2580</v>
      </c>
      <c r="H14" s="87">
        <v>337</v>
      </c>
      <c r="I14" s="88"/>
      <c r="J14" s="89">
        <f t="shared" si="0"/>
        <v>-79861</v>
      </c>
      <c r="K14" s="90">
        <f t="shared" si="1"/>
        <v>-23958.3</v>
      </c>
      <c r="L14" s="92"/>
    </row>
    <row r="15" spans="1:12" ht="12.75" x14ac:dyDescent="0.2">
      <c r="A15" s="85" t="s">
        <v>553</v>
      </c>
      <c r="B15" s="64">
        <v>322500</v>
      </c>
      <c r="C15" s="64">
        <v>127943</v>
      </c>
      <c r="D15" s="63">
        <v>50000</v>
      </c>
      <c r="E15" s="57">
        <v>53225</v>
      </c>
      <c r="F15" s="65"/>
      <c r="G15" s="87">
        <v>2580</v>
      </c>
      <c r="H15" s="87">
        <v>337</v>
      </c>
      <c r="I15" s="88"/>
      <c r="J15" s="89">
        <f t="shared" si="0"/>
        <v>21801</v>
      </c>
      <c r="K15" s="90">
        <f t="shared" si="1"/>
        <v>6540.3</v>
      </c>
      <c r="L15" s="92"/>
    </row>
    <row r="16" spans="1:12" ht="12.75" x14ac:dyDescent="0.2">
      <c r="A16" s="306">
        <v>45731</v>
      </c>
      <c r="B16" s="64">
        <v>510200</v>
      </c>
      <c r="C16" s="64">
        <v>207473</v>
      </c>
      <c r="D16" s="63">
        <v>50000</v>
      </c>
      <c r="E16" s="57">
        <v>53225</v>
      </c>
      <c r="F16" s="65"/>
      <c r="G16" s="87">
        <v>2580</v>
      </c>
      <c r="H16" s="87">
        <v>337</v>
      </c>
      <c r="I16" s="88"/>
      <c r="J16" s="89">
        <f t="shared" si="0"/>
        <v>101331</v>
      </c>
      <c r="K16" s="90">
        <f t="shared" si="1"/>
        <v>30399.3</v>
      </c>
      <c r="L16" s="91" t="s">
        <v>554</v>
      </c>
    </row>
    <row r="17" spans="1:12" ht="12.75" x14ac:dyDescent="0.2">
      <c r="A17" s="93"/>
      <c r="B17" s="94">
        <f>SUM(B2:B16)</f>
        <v>4054700</v>
      </c>
      <c r="C17" s="95"/>
      <c r="D17" s="41"/>
      <c r="E17" s="41"/>
      <c r="F17" s="95"/>
      <c r="G17" s="96"/>
      <c r="H17" s="96"/>
      <c r="I17" s="23"/>
      <c r="J17" s="89">
        <f>SUM(J2:J16)</f>
        <v>54449</v>
      </c>
      <c r="K17" s="90">
        <f>SUM(K2:K16)</f>
        <v>16334.699999999997</v>
      </c>
      <c r="L17" s="92"/>
    </row>
    <row r="18" spans="1:12" ht="12.75" x14ac:dyDescent="0.2">
      <c r="A18" s="93"/>
      <c r="B18" s="95"/>
      <c r="C18" s="95"/>
      <c r="D18" s="41"/>
      <c r="E18" s="41"/>
      <c r="F18" s="95"/>
      <c r="G18" s="96"/>
      <c r="H18" s="96"/>
      <c r="I18" s="23"/>
      <c r="J18" s="23"/>
      <c r="K18" s="23"/>
      <c r="L18" s="8"/>
    </row>
    <row r="19" spans="1:12" ht="12.75" x14ac:dyDescent="0.2">
      <c r="A19" s="71" t="s">
        <v>315</v>
      </c>
      <c r="B19" s="71" t="s">
        <v>316</v>
      </c>
      <c r="C19" s="71" t="s">
        <v>317</v>
      </c>
      <c r="D19" s="71" t="s">
        <v>318</v>
      </c>
      <c r="E19" s="71" t="s">
        <v>319</v>
      </c>
      <c r="F19" s="71" t="s">
        <v>320</v>
      </c>
      <c r="G19" s="71" t="s">
        <v>388</v>
      </c>
      <c r="H19" s="71" t="s">
        <v>389</v>
      </c>
      <c r="I19" s="71" t="s">
        <v>321</v>
      </c>
      <c r="J19" s="71" t="s">
        <v>322</v>
      </c>
      <c r="K19" s="23" t="s">
        <v>390</v>
      </c>
      <c r="L19" s="8"/>
    </row>
    <row r="20" spans="1:12" ht="12.75" x14ac:dyDescent="0.2">
      <c r="A20" s="306">
        <v>45732</v>
      </c>
      <c r="B20" s="64">
        <v>313800</v>
      </c>
      <c r="C20" s="64">
        <v>154479</v>
      </c>
      <c r="D20" s="63">
        <v>50000</v>
      </c>
      <c r="E20" s="57">
        <v>53225</v>
      </c>
      <c r="F20" s="65"/>
      <c r="G20" s="87">
        <v>2580</v>
      </c>
      <c r="H20" s="87">
        <v>337</v>
      </c>
      <c r="I20" s="88"/>
      <c r="J20" s="89">
        <f t="shared" ref="J20:J33" si="2">C20-D20-E20-F20-G20-H20-I20</f>
        <v>48337</v>
      </c>
      <c r="K20" s="90">
        <f t="shared" ref="K20:K33" si="3">J20*30/100</f>
        <v>14501.1</v>
      </c>
      <c r="L20" s="8"/>
    </row>
    <row r="21" spans="1:12" ht="12.75" x14ac:dyDescent="0.2">
      <c r="A21" s="85" t="s">
        <v>555</v>
      </c>
      <c r="B21" s="64">
        <v>531600</v>
      </c>
      <c r="C21" s="64">
        <v>243995</v>
      </c>
      <c r="D21" s="63">
        <v>50000</v>
      </c>
      <c r="E21" s="57">
        <v>53225</v>
      </c>
      <c r="F21" s="65"/>
      <c r="G21" s="87">
        <v>2580</v>
      </c>
      <c r="H21" s="87">
        <v>337</v>
      </c>
      <c r="I21" s="88"/>
      <c r="J21" s="89">
        <f t="shared" si="2"/>
        <v>137853</v>
      </c>
      <c r="K21" s="90">
        <f t="shared" si="3"/>
        <v>41355.9</v>
      </c>
      <c r="L21" s="8"/>
    </row>
    <row r="22" spans="1:12" ht="12.75" x14ac:dyDescent="0.2">
      <c r="A22" s="85" t="s">
        <v>556</v>
      </c>
      <c r="B22" s="64">
        <v>63100</v>
      </c>
      <c r="C22" s="64">
        <v>24565</v>
      </c>
      <c r="D22" s="63">
        <v>50000</v>
      </c>
      <c r="E22" s="57">
        <v>53225</v>
      </c>
      <c r="F22" s="65"/>
      <c r="G22" s="87">
        <v>2580</v>
      </c>
      <c r="H22" s="87">
        <v>337</v>
      </c>
      <c r="I22" s="88"/>
      <c r="J22" s="89">
        <f t="shared" si="2"/>
        <v>-81577</v>
      </c>
      <c r="K22" s="90">
        <f t="shared" si="3"/>
        <v>-24473.1</v>
      </c>
      <c r="L22" s="8"/>
    </row>
    <row r="23" spans="1:12" ht="12.75" x14ac:dyDescent="0.2">
      <c r="A23" s="85" t="s">
        <v>557</v>
      </c>
      <c r="B23" s="64">
        <v>185100</v>
      </c>
      <c r="C23" s="64">
        <v>80724</v>
      </c>
      <c r="D23" s="63">
        <v>50000</v>
      </c>
      <c r="E23" s="57">
        <v>53225</v>
      </c>
      <c r="F23" s="65"/>
      <c r="G23" s="87">
        <v>2580</v>
      </c>
      <c r="H23" s="87">
        <v>337</v>
      </c>
      <c r="I23" s="88"/>
      <c r="J23" s="89">
        <f t="shared" si="2"/>
        <v>-25418</v>
      </c>
      <c r="K23" s="90">
        <f t="shared" si="3"/>
        <v>-7625.4</v>
      </c>
      <c r="L23" s="8"/>
    </row>
    <row r="24" spans="1:12" ht="12.75" x14ac:dyDescent="0.2">
      <c r="A24" s="85" t="s">
        <v>558</v>
      </c>
      <c r="B24" s="64">
        <v>872200</v>
      </c>
      <c r="C24" s="64">
        <v>332676</v>
      </c>
      <c r="D24" s="63">
        <v>50000</v>
      </c>
      <c r="E24" s="57">
        <v>53225</v>
      </c>
      <c r="F24" s="65"/>
      <c r="G24" s="87">
        <v>2580</v>
      </c>
      <c r="H24" s="87">
        <v>337</v>
      </c>
      <c r="I24" s="88"/>
      <c r="J24" s="89">
        <f t="shared" si="2"/>
        <v>226534</v>
      </c>
      <c r="K24" s="90">
        <f t="shared" si="3"/>
        <v>67960.2</v>
      </c>
      <c r="L24" s="8"/>
    </row>
    <row r="25" spans="1:12" ht="12.75" x14ac:dyDescent="0.2">
      <c r="A25" s="85" t="s">
        <v>559</v>
      </c>
      <c r="B25" s="64">
        <v>183800</v>
      </c>
      <c r="C25" s="64">
        <v>70726</v>
      </c>
      <c r="D25" s="63">
        <v>50000</v>
      </c>
      <c r="E25" s="57">
        <v>53225</v>
      </c>
      <c r="F25" s="65"/>
      <c r="G25" s="87">
        <v>2580</v>
      </c>
      <c r="H25" s="87">
        <v>337</v>
      </c>
      <c r="I25" s="88"/>
      <c r="J25" s="89">
        <f t="shared" si="2"/>
        <v>-35416</v>
      </c>
      <c r="K25" s="90">
        <f t="shared" si="3"/>
        <v>-10624.8</v>
      </c>
      <c r="L25" s="8"/>
    </row>
    <row r="26" spans="1:12" ht="12.75" x14ac:dyDescent="0.2">
      <c r="A26" s="85" t="s">
        <v>560</v>
      </c>
      <c r="B26" s="97">
        <v>411200</v>
      </c>
      <c r="C26" s="97">
        <v>202217</v>
      </c>
      <c r="D26" s="63">
        <v>50000</v>
      </c>
      <c r="E26" s="57">
        <v>53225</v>
      </c>
      <c r="F26" s="65"/>
      <c r="G26" s="87">
        <v>2580</v>
      </c>
      <c r="H26" s="87">
        <v>337</v>
      </c>
      <c r="I26" s="88"/>
      <c r="J26" s="89">
        <f t="shared" si="2"/>
        <v>96075</v>
      </c>
      <c r="K26" s="90">
        <f t="shared" si="3"/>
        <v>28822.5</v>
      </c>
      <c r="L26" s="8"/>
    </row>
    <row r="27" spans="1:12" ht="12.75" x14ac:dyDescent="0.2">
      <c r="A27" s="85" t="s">
        <v>561</v>
      </c>
      <c r="B27" s="97">
        <v>607800</v>
      </c>
      <c r="C27" s="97">
        <v>235047</v>
      </c>
      <c r="D27" s="63">
        <v>50000</v>
      </c>
      <c r="E27" s="57">
        <v>53225</v>
      </c>
      <c r="F27" s="65"/>
      <c r="G27" s="87">
        <v>2580</v>
      </c>
      <c r="H27" s="87">
        <v>337</v>
      </c>
      <c r="I27" s="88"/>
      <c r="J27" s="89">
        <f t="shared" si="2"/>
        <v>128905</v>
      </c>
      <c r="K27" s="90">
        <f t="shared" si="3"/>
        <v>38671.5</v>
      </c>
      <c r="L27" s="8"/>
    </row>
    <row r="28" spans="1:12" ht="12.75" x14ac:dyDescent="0.2">
      <c r="A28" s="85" t="s">
        <v>562</v>
      </c>
      <c r="B28" s="97">
        <v>523100</v>
      </c>
      <c r="C28" s="97">
        <v>205385</v>
      </c>
      <c r="D28" s="63">
        <v>50000</v>
      </c>
      <c r="E28" s="57">
        <v>53225</v>
      </c>
      <c r="F28" s="65"/>
      <c r="G28" s="87">
        <v>2580</v>
      </c>
      <c r="H28" s="87">
        <v>337</v>
      </c>
      <c r="I28" s="88"/>
      <c r="J28" s="89">
        <f t="shared" si="2"/>
        <v>99243</v>
      </c>
      <c r="K28" s="90">
        <f t="shared" si="3"/>
        <v>29772.9</v>
      </c>
      <c r="L28" s="8"/>
    </row>
    <row r="29" spans="1:12" ht="12.75" x14ac:dyDescent="0.2">
      <c r="A29" s="85" t="s">
        <v>563</v>
      </c>
      <c r="B29" s="97">
        <v>980000</v>
      </c>
      <c r="C29" s="97">
        <v>408762</v>
      </c>
      <c r="D29" s="63">
        <v>50000</v>
      </c>
      <c r="E29" s="57">
        <v>53225</v>
      </c>
      <c r="F29" s="65"/>
      <c r="G29" s="87">
        <v>2580</v>
      </c>
      <c r="H29" s="87">
        <v>337</v>
      </c>
      <c r="I29" s="88"/>
      <c r="J29" s="89">
        <f t="shared" si="2"/>
        <v>302620</v>
      </c>
      <c r="K29" s="90">
        <f t="shared" si="3"/>
        <v>90786</v>
      </c>
      <c r="L29" s="8"/>
    </row>
    <row r="30" spans="1:12" ht="12.75" x14ac:dyDescent="0.2">
      <c r="A30" s="85" t="s">
        <v>564</v>
      </c>
      <c r="B30" s="97">
        <v>76900</v>
      </c>
      <c r="C30" s="97">
        <v>30555</v>
      </c>
      <c r="D30" s="63">
        <v>50000</v>
      </c>
      <c r="E30" s="57">
        <v>53225</v>
      </c>
      <c r="F30" s="65"/>
      <c r="G30" s="87">
        <v>2580</v>
      </c>
      <c r="H30" s="87">
        <v>337</v>
      </c>
      <c r="I30" s="88"/>
      <c r="J30" s="89">
        <f t="shared" si="2"/>
        <v>-75587</v>
      </c>
      <c r="K30" s="90">
        <f t="shared" si="3"/>
        <v>-22676.1</v>
      </c>
      <c r="L30" s="8"/>
    </row>
    <row r="31" spans="1:12" ht="12.75" x14ac:dyDescent="0.2">
      <c r="A31" s="85" t="s">
        <v>565</v>
      </c>
      <c r="B31" s="97">
        <v>260700</v>
      </c>
      <c r="C31" s="97">
        <v>95947</v>
      </c>
      <c r="D31" s="63">
        <v>50000</v>
      </c>
      <c r="E31" s="57">
        <v>53225</v>
      </c>
      <c r="F31" s="65"/>
      <c r="G31" s="87">
        <v>2580</v>
      </c>
      <c r="H31" s="87">
        <v>337</v>
      </c>
      <c r="I31" s="88"/>
      <c r="J31" s="89">
        <f t="shared" si="2"/>
        <v>-10195</v>
      </c>
      <c r="K31" s="90">
        <f t="shared" si="3"/>
        <v>-3058.5</v>
      </c>
      <c r="L31" s="98"/>
    </row>
    <row r="32" spans="1:12" ht="12.75" x14ac:dyDescent="0.2">
      <c r="A32" s="99" t="s">
        <v>566</v>
      </c>
      <c r="B32" s="100">
        <v>412200</v>
      </c>
      <c r="C32" s="100">
        <v>187789</v>
      </c>
      <c r="D32" s="63">
        <v>50000</v>
      </c>
      <c r="E32" s="57">
        <v>53225</v>
      </c>
      <c r="F32" s="101"/>
      <c r="G32" s="87">
        <v>2580</v>
      </c>
      <c r="H32" s="87">
        <v>337</v>
      </c>
      <c r="I32" s="102"/>
      <c r="J32" s="89">
        <f t="shared" si="2"/>
        <v>81647</v>
      </c>
      <c r="K32" s="90">
        <f t="shared" si="3"/>
        <v>24494.1</v>
      </c>
      <c r="L32" s="92"/>
    </row>
    <row r="33" spans="1:12" ht="12.75" x14ac:dyDescent="0.2">
      <c r="A33" s="85" t="s">
        <v>567</v>
      </c>
      <c r="B33" s="103">
        <v>782800</v>
      </c>
      <c r="C33" s="103">
        <v>299506</v>
      </c>
      <c r="D33" s="63">
        <v>50000</v>
      </c>
      <c r="E33" s="57">
        <v>53225</v>
      </c>
      <c r="F33" s="88"/>
      <c r="G33" s="87">
        <v>2580</v>
      </c>
      <c r="H33" s="87">
        <v>337</v>
      </c>
      <c r="I33" s="88"/>
      <c r="J33" s="89">
        <f t="shared" si="2"/>
        <v>193364</v>
      </c>
      <c r="K33" s="90">
        <f t="shared" si="3"/>
        <v>58009.2</v>
      </c>
      <c r="L33" s="92"/>
    </row>
    <row r="34" spans="1:12" ht="12.75" x14ac:dyDescent="0.2">
      <c r="A34" s="85" t="s">
        <v>568</v>
      </c>
      <c r="B34" s="88"/>
      <c r="C34" s="88"/>
      <c r="D34" s="63">
        <v>50000</v>
      </c>
      <c r="E34" s="57">
        <v>53225</v>
      </c>
      <c r="F34" s="88"/>
      <c r="G34" s="87">
        <v>2580</v>
      </c>
      <c r="H34" s="87">
        <v>337</v>
      </c>
      <c r="I34" s="88"/>
      <c r="J34" s="89"/>
      <c r="K34" s="90"/>
      <c r="L34" s="92"/>
    </row>
    <row r="35" spans="1:12" ht="12.75" x14ac:dyDescent="0.2">
      <c r="A35" s="85" t="s">
        <v>569</v>
      </c>
      <c r="B35" s="88"/>
      <c r="C35" s="88"/>
      <c r="D35" s="63">
        <v>50000</v>
      </c>
      <c r="E35" s="57">
        <v>53225</v>
      </c>
      <c r="F35" s="88"/>
      <c r="G35" s="87">
        <v>2580</v>
      </c>
      <c r="H35" s="87">
        <v>337</v>
      </c>
      <c r="I35" s="88"/>
      <c r="J35" s="104"/>
      <c r="K35" s="90"/>
      <c r="L35" s="92"/>
    </row>
    <row r="36" spans="1:12" ht="12.75" x14ac:dyDescent="0.2">
      <c r="J36" s="59">
        <f>SUM(J20:J35)</f>
        <v>1086385</v>
      </c>
      <c r="K36" s="105">
        <f>SUM(K20:K35)</f>
        <v>325915.5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INV. FEB</vt:lpstr>
      <vt:lpstr>INV. ENE</vt:lpstr>
      <vt:lpstr>GANAN. ENE</vt:lpstr>
      <vt:lpstr>PRECIOS</vt:lpstr>
      <vt:lpstr>GANAN. FEB</vt:lpstr>
      <vt:lpstr>TABLA DIARIA</vt:lpstr>
      <vt:lpstr>TABLA FEBRERO</vt:lpstr>
      <vt:lpstr>Hoja1</vt:lpstr>
      <vt:lpstr>INVENTARIO MAR</vt:lpstr>
      <vt:lpstr>Mayo Inventario</vt:lpstr>
      <vt:lpstr>GANANCIA MARZO Y MAYO</vt:lpstr>
      <vt:lpstr>TABLA MAYO</vt:lpstr>
      <vt:lpstr>Hoja2</vt:lpstr>
      <vt:lpstr>TABLA MARZO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2025-04-01T21:47:07Z</dcterms:created>
  <dcterms:modified xsi:type="dcterms:W3CDTF">2025-05-17T21:09:12Z</dcterms:modified>
</cp:coreProperties>
</file>